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oms" sheetId="2" state="visible" r:id="rId2"/>
    <sheet xmlns:r="http://schemas.openxmlformats.org/officeDocument/2006/relationships" name="Type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'Rooms'!$A$1:$M$554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Rooms sheet (per-room data: clearances, remarks) or the Types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Types sheet = default per room type (e.g. ID shop drawing status of K01C applies to every K01C room).</t>
        </is>
      </c>
    </row>
    <row r="11" ht="15" customHeight="1" s="11">
      <c r="A11" s="13" t="inlineStr">
        <is>
          <t>• Rooms sheet = per room. If a column with the same header exists in Rooms and is filled, it overrides the Types value for that room only.</t>
        </is>
      </c>
    </row>
    <row r="12" ht="15" customHeight="1" s="11">
      <c r="A12" s="13" t="inlineStr">
        <is>
          <t>• Room counts and percentages are calculated automatically by the page from the Rooms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Rooms (per room) or Types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DSA room tag from the drawings (e.g. AL02G03) is kept in the column "DSA 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Rooms (clearances, dates, remarks), Types (drawing ref, revision, statuses, dates), Config (data last updated, updated by). Spare columns to the right of Rooms/Types and spare rows below Fields/Lists are open for adding new information. Filtering and sorting are allowed on Rooms and Types. To change locked cells: Review &gt; Unprotect Sheet (password held by the Technical Department).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DSA 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inlineStr">
        <is>
          <t>A - Approved</t>
        </is>
      </c>
      <c r="F4" s="24" t="n">
        <v>46301</v>
      </c>
      <c r="G4" s="25" t="inlineStr">
        <is>
          <t>A - Approved</t>
        </is>
      </c>
      <c r="H4" s="25" t="inlineStr">
        <is>
          <t>A - Approved</t>
        </is>
      </c>
      <c r="I4" s="25" t="inlineStr">
        <is>
          <t>A - Approved</t>
        </is>
      </c>
      <c r="J4" s="25" t="inlineStr">
        <is>
          <t>A - Approved</t>
        </is>
      </c>
      <c r="K4" s="25" t="inlineStr">
        <is>
          <t>A - Approved</t>
        </is>
      </c>
      <c r="L4" s="25" t="inlineStr">
        <is>
          <t>A - Approved</t>
        </is>
      </c>
      <c r="M4" s="25" t="inlineStr">
        <is>
          <t>A - Approved</t>
        </is>
      </c>
      <c r="N4" s="25" t="inlineStr">
        <is>
          <t>A - Approved</t>
        </is>
      </c>
      <c r="O4" s="25" t="inlineStr">
        <is>
          <t>A - Approved</t>
        </is>
      </c>
      <c r="P4" s="25" t="inlineStr">
        <is>
          <t>A - Approved</t>
        </is>
      </c>
      <c r="Q4" s="25" t="inlineStr">
        <is>
          <t>A - Approved</t>
        </is>
      </c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Q62">
    <cfRule type="expression" rank="0" priority="2" equalAverage="0" aboveAverage="0" dxfId="5" text="" percent="0" bottom="0">
      <formula>LEFT(E2,3)="A -"</formula>
    </cfRule>
    <cfRule type="expression" rank="0" priority="3" equalAverage="0" aboveAverage="0" dxfId="5" text="" percent="0" bottom="0">
      <formula>LEFT(E2,3)="B -"</formula>
    </cfRule>
    <cfRule type="expression" rank="0" priority="4" equalAverage="0" aboveAverage="0" dxfId="6" text="" percent="0" bottom="0">
      <formula>LEFT(E2,3)="C -"</formula>
    </cfRule>
    <cfRule type="expression" rank="0" priority="5" equalAverage="0" aboveAverage="0" dxfId="7" text="" percent="0" bottom="0">
      <formula>LEFT(E2,3)="D -"</formula>
    </cfRule>
  </conditionalFormatting>
  <dataValidations count="2">
    <dataValidation sqref="E2:E62 G2:Q62" showDropDown="0" showInputMessage="0" showErrorMessage="0" allowBlank="1" type="list" errorStyle="stop" operator="between">
      <formula1>Lists!$A$2:$A$30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DSA Room Tag</t>
        </is>
      </c>
      <c r="B32" s="10" t="inlineStr">
        <is>
          <t>DSA room tag (drawing)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E34" s="10" t="n"/>
      <c r="F34" s="10" t="n"/>
    </row>
    <row r="35" ht="15" customHeight="1" s="11">
      <c r="E35" s="10" t="n"/>
      <c r="F35" s="10" t="n"/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COUNTIFS(Rooms!$E:$E,$A2,Rooms!$B:$B,"Tower A")</f>
        <v/>
      </c>
      <c r="D2" s="17">
        <f>C2/COUNTIF(Rooms!$B:$B,"Tower A")</f>
        <v/>
      </c>
      <c r="E2" s="10">
        <f>COUNTIFS(Rooms!$E:$E,$A2,Rooms!$B:$B,"Tower B")</f>
        <v/>
      </c>
      <c r="F2" s="17">
        <f>E2/COUNTIF(Rooms!$B:$B,"Tower B")</f>
        <v/>
      </c>
      <c r="G2" s="10">
        <f>C2+E2</f>
        <v/>
      </c>
      <c r="H2" s="17">
        <f>G2/(COUNTA(Rooms!$A:$A)-1)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COUNTIFS(Rooms!$E:$E,$A3,Rooms!$B:$B,"Tower A")</f>
        <v/>
      </c>
      <c r="D3" s="17">
        <f>C3/COUNTIF(Rooms!$B:$B,"Tower A")</f>
        <v/>
      </c>
      <c r="E3" s="10">
        <f>COUNTIFS(Rooms!$E:$E,$A3,Rooms!$B:$B,"Tower B")</f>
        <v/>
      </c>
      <c r="F3" s="17">
        <f>E3/COUNTIF(Rooms!$B:$B,"Tower B")</f>
        <v/>
      </c>
      <c r="G3" s="10">
        <f>C3+E3</f>
        <v/>
      </c>
      <c r="H3" s="17">
        <f>G3/(COUNTA(Rooms!$A:$A)-1)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COUNTIFS(Rooms!$E:$E,$A4,Rooms!$B:$B,"Tower A")</f>
        <v/>
      </c>
      <c r="D4" s="17">
        <f>C4/COUNTIF(Rooms!$B:$B,"Tower A")</f>
        <v/>
      </c>
      <c r="E4" s="10">
        <f>COUNTIFS(Rooms!$E:$E,$A4,Rooms!$B:$B,"Tower B")</f>
        <v/>
      </c>
      <c r="F4" s="17">
        <f>E4/COUNTIF(Rooms!$B:$B,"Tower B")</f>
        <v/>
      </c>
      <c r="G4" s="10">
        <f>C4+E4</f>
        <v/>
      </c>
      <c r="H4" s="17">
        <f>G4/(COUNTA(Rooms!$A:$A)-1)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COUNTIFS(Rooms!$E:$E,$A5,Rooms!$B:$B,"Tower A")</f>
        <v/>
      </c>
      <c r="D5" s="17">
        <f>C5/COUNTIF(Rooms!$B:$B,"Tower A")</f>
        <v/>
      </c>
      <c r="E5" s="10">
        <f>COUNTIFS(Rooms!$E:$E,$A5,Rooms!$B:$B,"Tower B")</f>
        <v/>
      </c>
      <c r="F5" s="17">
        <f>E5/COUNTIF(Rooms!$B:$B,"Tower B")</f>
        <v/>
      </c>
      <c r="G5" s="10">
        <f>C5+E5</f>
        <v/>
      </c>
      <c r="H5" s="17">
        <f>G5/(COUNTA(Rooms!$A:$A)-1)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COUNTIFS(Rooms!$E:$E,$A6,Rooms!$B:$B,"Tower A")</f>
        <v/>
      </c>
      <c r="D6" s="17">
        <f>C6/COUNTIF(Rooms!$B:$B,"Tower A")</f>
        <v/>
      </c>
      <c r="E6" s="10">
        <f>COUNTIFS(Rooms!$E:$E,$A6,Rooms!$B:$B,"Tower B")</f>
        <v/>
      </c>
      <c r="F6" s="17">
        <f>E6/COUNTIF(Rooms!$B:$B,"Tower B")</f>
        <v/>
      </c>
      <c r="G6" s="10">
        <f>C6+E6</f>
        <v/>
      </c>
      <c r="H6" s="17">
        <f>G6/(COUNTA(Rooms!$A:$A)-1)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COUNTIFS(Rooms!$E:$E,$A7,Rooms!$B:$B,"Tower A")</f>
        <v/>
      </c>
      <c r="D7" s="17">
        <f>C7/COUNTIF(Rooms!$B:$B,"Tower A")</f>
        <v/>
      </c>
      <c r="E7" s="10">
        <f>COUNTIFS(Rooms!$E:$E,$A7,Rooms!$B:$B,"Tower B")</f>
        <v/>
      </c>
      <c r="F7" s="17">
        <f>E7/COUNTIF(Rooms!$B:$B,"Tower B")</f>
        <v/>
      </c>
      <c r="G7" s="10">
        <f>C7+E7</f>
        <v/>
      </c>
      <c r="H7" s="17">
        <f>G7/(COUNTA(Rooms!$A:$A)-1)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COUNTIFS(Rooms!$E:$E,$A8,Rooms!$B:$B,"Tower A")</f>
        <v/>
      </c>
      <c r="D8" s="17">
        <f>C8/COUNTIF(Rooms!$B:$B,"Tower A")</f>
        <v/>
      </c>
      <c r="E8" s="10">
        <f>COUNTIFS(Rooms!$E:$E,$A8,Rooms!$B:$B,"Tower B")</f>
        <v/>
      </c>
      <c r="F8" s="17">
        <f>E8/COUNTIF(Rooms!$B:$B,"Tower B")</f>
        <v/>
      </c>
      <c r="G8" s="10">
        <f>C8+E8</f>
        <v/>
      </c>
      <c r="H8" s="17">
        <f>G8/(COUNTA(Rooms!$A:$A)-1)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COUNTIFS(Rooms!$E:$E,$A9,Rooms!$B:$B,"Tower A")</f>
        <v/>
      </c>
      <c r="D9" s="17">
        <f>C9/COUNTIF(Rooms!$B:$B,"Tower A")</f>
        <v/>
      </c>
      <c r="E9" s="10">
        <f>COUNTIFS(Rooms!$E:$E,$A9,Rooms!$B:$B,"Tower B")</f>
        <v/>
      </c>
      <c r="F9" s="17">
        <f>E9/COUNTIF(Rooms!$B:$B,"Tower B")</f>
        <v/>
      </c>
      <c r="G9" s="10">
        <f>C9+E9</f>
        <v/>
      </c>
      <c r="H9" s="17">
        <f>G9/(COUNTA(Rooms!$A:$A)-1)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COUNTIFS(Rooms!$E:$E,$A10,Rooms!$B:$B,"Tower A")</f>
        <v/>
      </c>
      <c r="D10" s="17">
        <f>C10/COUNTIF(Rooms!$B:$B,"Tower A")</f>
        <v/>
      </c>
      <c r="E10" s="10">
        <f>COUNTIFS(Rooms!$E:$E,$A10,Rooms!$B:$B,"Tower B")</f>
        <v/>
      </c>
      <c r="F10" s="17">
        <f>E10/COUNTIF(Rooms!$B:$B,"Tower B")</f>
        <v/>
      </c>
      <c r="G10" s="10">
        <f>C10+E10</f>
        <v/>
      </c>
      <c r="H10" s="17">
        <f>G10/(COUNTA(Rooms!$A:$A)-1)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COUNTIFS(Rooms!$E:$E,$A11,Rooms!$B:$B,"Tower A")</f>
        <v/>
      </c>
      <c r="D11" s="17">
        <f>C11/COUNTIF(Rooms!$B:$B,"Tower A")</f>
        <v/>
      </c>
      <c r="E11" s="10">
        <f>COUNTIFS(Rooms!$E:$E,$A11,Rooms!$B:$B,"Tower B")</f>
        <v/>
      </c>
      <c r="F11" s="17">
        <f>E11/COUNTIF(Rooms!$B:$B,"Tower B")</f>
        <v/>
      </c>
      <c r="G11" s="10">
        <f>C11+E11</f>
        <v/>
      </c>
      <c r="H11" s="17">
        <f>G11/(COUNTA(Rooms!$A:$A)-1)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COUNTIFS(Rooms!$E:$E,$A12,Rooms!$B:$B,"Tower A")</f>
        <v/>
      </c>
      <c r="D12" s="17">
        <f>C12/COUNTIF(Rooms!$B:$B,"Tower A")</f>
        <v/>
      </c>
      <c r="E12" s="10">
        <f>COUNTIFS(Rooms!$E:$E,$A12,Rooms!$B:$B,"Tower B")</f>
        <v/>
      </c>
      <c r="F12" s="17">
        <f>E12/COUNTIF(Rooms!$B:$B,"Tower B")</f>
        <v/>
      </c>
      <c r="G12" s="10">
        <f>C12+E12</f>
        <v/>
      </c>
      <c r="H12" s="17">
        <f>G12/(COUNTA(Rooms!$A:$A)-1)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COUNTIFS(Rooms!$E:$E,$A13,Rooms!$B:$B,"Tower A")</f>
        <v/>
      </c>
      <c r="D13" s="17">
        <f>C13/COUNTIF(Rooms!$B:$B,"Tower A")</f>
        <v/>
      </c>
      <c r="E13" s="10">
        <f>COUNTIFS(Rooms!$E:$E,$A13,Rooms!$B:$B,"Tower B")</f>
        <v/>
      </c>
      <c r="F13" s="17">
        <f>E13/COUNTIF(Rooms!$B:$B,"Tower B")</f>
        <v/>
      </c>
      <c r="G13" s="10">
        <f>C13+E13</f>
        <v/>
      </c>
      <c r="H13" s="17">
        <f>G13/(COUNTA(Rooms!$A:$A)-1)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COUNTIFS(Rooms!$E:$E,$A14,Rooms!$B:$B,"Tower A")</f>
        <v/>
      </c>
      <c r="D14" s="17">
        <f>C14/COUNTIF(Rooms!$B:$B,"Tower A")</f>
        <v/>
      </c>
      <c r="E14" s="10">
        <f>COUNTIFS(Rooms!$E:$E,$A14,Rooms!$B:$B,"Tower B")</f>
        <v/>
      </c>
      <c r="F14" s="17">
        <f>E14/COUNTIF(Rooms!$B:$B,"Tower B")</f>
        <v/>
      </c>
      <c r="G14" s="10">
        <f>C14+E14</f>
        <v/>
      </c>
      <c r="H14" s="17">
        <f>G14/(COUNTA(Rooms!$A:$A)-1)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COUNTIFS(Rooms!$E:$E,$A15,Rooms!$B:$B,"Tower A")</f>
        <v/>
      </c>
      <c r="D15" s="17">
        <f>C15/COUNTIF(Rooms!$B:$B,"Tower A")</f>
        <v/>
      </c>
      <c r="E15" s="10">
        <f>COUNTIFS(Rooms!$E:$E,$A15,Rooms!$B:$B,"Tower B")</f>
        <v/>
      </c>
      <c r="F15" s="17">
        <f>E15/COUNTIF(Rooms!$B:$B,"Tower B")</f>
        <v/>
      </c>
      <c r="G15" s="10">
        <f>C15+E15</f>
        <v/>
      </c>
      <c r="H15" s="17">
        <f>G15/(COUNTA(Rooms!$A:$A)-1)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COUNTIFS(Rooms!$E:$E,$A16,Rooms!$B:$B,"Tower A")</f>
        <v/>
      </c>
      <c r="D16" s="17">
        <f>C16/COUNTIF(Rooms!$B:$B,"Tower A")</f>
        <v/>
      </c>
      <c r="E16" s="10">
        <f>COUNTIFS(Rooms!$E:$E,$A16,Rooms!$B:$B,"Tower B")</f>
        <v/>
      </c>
      <c r="F16" s="17">
        <f>E16/COUNTIF(Rooms!$B:$B,"Tower B")</f>
        <v/>
      </c>
      <c r="G16" s="10">
        <f>C16+E16</f>
        <v/>
      </c>
      <c r="H16" s="17">
        <f>G16/(COUNTA(Rooms!$A:$A)-1)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COUNTIFS(Rooms!$E:$E,$A17,Rooms!$B:$B,"Tower A")</f>
        <v/>
      </c>
      <c r="D17" s="17">
        <f>C17/COUNTIF(Rooms!$B:$B,"Tower A")</f>
        <v/>
      </c>
      <c r="E17" s="10">
        <f>COUNTIFS(Rooms!$E:$E,$A17,Rooms!$B:$B,"Tower B")</f>
        <v/>
      </c>
      <c r="F17" s="17">
        <f>E17/COUNTIF(Rooms!$B:$B,"Tower B")</f>
        <v/>
      </c>
      <c r="G17" s="10">
        <f>C17+E17</f>
        <v/>
      </c>
      <c r="H17" s="17">
        <f>G17/(COUNTA(Rooms!$A:$A)-1)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COUNTIFS(Rooms!$E:$E,$A18,Rooms!$B:$B,"Tower A")</f>
        <v/>
      </c>
      <c r="D18" s="17">
        <f>C18/COUNTIF(Rooms!$B:$B,"Tower A")</f>
        <v/>
      </c>
      <c r="E18" s="10">
        <f>COUNTIFS(Rooms!$E:$E,$A18,Rooms!$B:$B,"Tower B")</f>
        <v/>
      </c>
      <c r="F18" s="17">
        <f>E18/COUNTIF(Rooms!$B:$B,"Tower B")</f>
        <v/>
      </c>
      <c r="G18" s="10">
        <f>C18+E18</f>
        <v/>
      </c>
      <c r="H18" s="17">
        <f>G18/(COUNTA(Rooms!$A:$A)-1)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COUNTIFS(Rooms!$E:$E,$A19,Rooms!$B:$B,"Tower A")</f>
        <v/>
      </c>
      <c r="D19" s="17">
        <f>C19/COUNTIF(Rooms!$B:$B,"Tower A")</f>
        <v/>
      </c>
      <c r="E19" s="10">
        <f>COUNTIFS(Rooms!$E:$E,$A19,Rooms!$B:$B,"Tower B")</f>
        <v/>
      </c>
      <c r="F19" s="17">
        <f>E19/COUNTIF(Rooms!$B:$B,"Tower B")</f>
        <v/>
      </c>
      <c r="G19" s="10">
        <f>C19+E19</f>
        <v/>
      </c>
      <c r="H19" s="17">
        <f>G19/(COUNTA(Rooms!$A:$A)-1)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COUNTIFS(Rooms!$E:$E,$A20,Rooms!$B:$B,"Tower A")</f>
        <v/>
      </c>
      <c r="D20" s="17">
        <f>C20/COUNTIF(Rooms!$B:$B,"Tower A")</f>
        <v/>
      </c>
      <c r="E20" s="10">
        <f>COUNTIFS(Rooms!$E:$E,$A20,Rooms!$B:$B,"Tower B")</f>
        <v/>
      </c>
      <c r="F20" s="17">
        <f>E20/COUNTIF(Rooms!$B:$B,"Tower B")</f>
        <v/>
      </c>
      <c r="G20" s="10">
        <f>C20+E20</f>
        <v/>
      </c>
      <c r="H20" s="17">
        <f>G20/(COUNTA(Rooms!$A:$A)-1)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COUNTIFS(Rooms!$E:$E,$A21,Rooms!$B:$B,"Tower A")</f>
        <v/>
      </c>
      <c r="D21" s="17">
        <f>C21/COUNTIF(Rooms!$B:$B,"Tower A")</f>
        <v/>
      </c>
      <c r="E21" s="10">
        <f>COUNTIFS(Rooms!$E:$E,$A21,Rooms!$B:$B,"Tower B")</f>
        <v/>
      </c>
      <c r="F21" s="17">
        <f>E21/COUNTIF(Rooms!$B:$B,"Tower B")</f>
        <v/>
      </c>
      <c r="G21" s="10">
        <f>C21+E21</f>
        <v/>
      </c>
      <c r="H21" s="17">
        <f>G21/(COUNTA(Rooms!$A:$A)-1)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COUNTIFS(Rooms!$E:$E,$A22,Rooms!$B:$B,"Tower A")</f>
        <v/>
      </c>
      <c r="D22" s="17">
        <f>C22/COUNTIF(Rooms!$B:$B,"Tower A")</f>
        <v/>
      </c>
      <c r="E22" s="10">
        <f>COUNTIFS(Rooms!$E:$E,$A22,Rooms!$B:$B,"Tower B")</f>
        <v/>
      </c>
      <c r="F22" s="17">
        <f>E22/COUNTIF(Rooms!$B:$B,"Tower B")</f>
        <v/>
      </c>
      <c r="G22" s="10">
        <f>C22+E22</f>
        <v/>
      </c>
      <c r="H22" s="17">
        <f>G22/(COUNTA(Rooms!$A:$A)-1)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COUNTIFS(Rooms!$E:$E,$A23,Rooms!$B:$B,"Tower A")</f>
        <v/>
      </c>
      <c r="D23" s="17">
        <f>C23/COUNTIF(Rooms!$B:$B,"Tower A")</f>
        <v/>
      </c>
      <c r="E23" s="10">
        <f>COUNTIFS(Rooms!$E:$E,$A23,Rooms!$B:$B,"Tower B")</f>
        <v/>
      </c>
      <c r="F23" s="17">
        <f>E23/COUNTIF(Rooms!$B:$B,"Tower B")</f>
        <v/>
      </c>
      <c r="G23" s="10">
        <f>C23+E23</f>
        <v/>
      </c>
      <c r="H23" s="17">
        <f>G23/(COUNTA(Rooms!$A:$A)-1)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COUNTIFS(Rooms!$E:$E,$A24,Rooms!$B:$B,"Tower A")</f>
        <v/>
      </c>
      <c r="D24" s="17">
        <f>C24/COUNTIF(Rooms!$B:$B,"Tower A")</f>
        <v/>
      </c>
      <c r="E24" s="10">
        <f>COUNTIFS(Rooms!$E:$E,$A24,Rooms!$B:$B,"Tower B")</f>
        <v/>
      </c>
      <c r="F24" s="17">
        <f>E24/COUNTIF(Rooms!$B:$B,"Tower B")</f>
        <v/>
      </c>
      <c r="G24" s="10">
        <f>C24+E24</f>
        <v/>
      </c>
      <c r="H24" s="17">
        <f>G24/(COUNTA(Rooms!$A:$A)-1)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COUNTIFS(Rooms!$E:$E,$A25,Rooms!$B:$B,"Tower A")</f>
        <v/>
      </c>
      <c r="D25" s="17">
        <f>C25/COUNTIF(Rooms!$B:$B,"Tower A")</f>
        <v/>
      </c>
      <c r="E25" s="10">
        <f>COUNTIFS(Rooms!$E:$E,$A25,Rooms!$B:$B,"Tower B")</f>
        <v/>
      </c>
      <c r="F25" s="17">
        <f>E25/COUNTIF(Rooms!$B:$B,"Tower B")</f>
        <v/>
      </c>
      <c r="G25" s="10">
        <f>C25+E25</f>
        <v/>
      </c>
      <c r="H25" s="17">
        <f>G25/(COUNTA(Rooms!$A:$A)-1)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COUNTIFS(Rooms!$E:$E,$A26,Rooms!$B:$B,"Tower A")</f>
        <v/>
      </c>
      <c r="D26" s="17">
        <f>C26/COUNTIF(Rooms!$B:$B,"Tower A")</f>
        <v/>
      </c>
      <c r="E26" s="10">
        <f>COUNTIFS(Rooms!$E:$E,$A26,Rooms!$B:$B,"Tower B")</f>
        <v/>
      </c>
      <c r="F26" s="17">
        <f>E26/COUNTIF(Rooms!$B:$B,"Tower B")</f>
        <v/>
      </c>
      <c r="G26" s="10">
        <f>C26+E26</f>
        <v/>
      </c>
      <c r="H26" s="17">
        <f>G26/(COUNTA(Rooms!$A:$A)-1)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COUNTIFS(Rooms!$E:$E,$A27,Rooms!$B:$B,"Tower A")</f>
        <v/>
      </c>
      <c r="D27" s="17">
        <f>C27/COUNTIF(Rooms!$B:$B,"Tower A")</f>
        <v/>
      </c>
      <c r="E27" s="10">
        <f>COUNTIFS(Rooms!$E:$E,$A27,Rooms!$B:$B,"Tower B")</f>
        <v/>
      </c>
      <c r="F27" s="17">
        <f>E27/COUNTIF(Rooms!$B:$B,"Tower B")</f>
        <v/>
      </c>
      <c r="G27" s="10">
        <f>C27+E27</f>
        <v/>
      </c>
      <c r="H27" s="17">
        <f>G27/(COUNTA(Rooms!$A:$A)-1)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COUNTIFS(Rooms!$E:$E,$A28,Rooms!$B:$B,"Tower A")</f>
        <v/>
      </c>
      <c r="D28" s="17">
        <f>C28/COUNTIF(Rooms!$B:$B,"Tower A")</f>
        <v/>
      </c>
      <c r="E28" s="10">
        <f>COUNTIFS(Rooms!$E:$E,$A28,Rooms!$B:$B,"Tower B")</f>
        <v/>
      </c>
      <c r="F28" s="17">
        <f>E28/COUNTIF(Rooms!$B:$B,"Tower B")</f>
        <v/>
      </c>
      <c r="G28" s="10">
        <f>C28+E28</f>
        <v/>
      </c>
      <c r="H28" s="17">
        <f>G28/(COUNTA(Rooms!$A:$A)-1)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COUNTIFS(Rooms!$E:$E,$A29,Rooms!$B:$B,"Tower A")</f>
        <v/>
      </c>
      <c r="D29" s="17">
        <f>C29/COUNTIF(Rooms!$B:$B,"Tower A")</f>
        <v/>
      </c>
      <c r="E29" s="10">
        <f>COUNTIFS(Rooms!$E:$E,$A29,Rooms!$B:$B,"Tower B")</f>
        <v/>
      </c>
      <c r="F29" s="17">
        <f>E29/COUNTIF(Rooms!$B:$B,"Tower B")</f>
        <v/>
      </c>
      <c r="G29" s="10">
        <f>C29+E29</f>
        <v/>
      </c>
      <c r="H29" s="17">
        <f>G29/(COUNTA(Rooms!$A:$A)-1)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COUNTIFS(Rooms!$E:$E,$A30,Rooms!$B:$B,"Tower A")</f>
        <v/>
      </c>
      <c r="D30" s="17">
        <f>C30/COUNTIF(Rooms!$B:$B,"Tower A")</f>
        <v/>
      </c>
      <c r="E30" s="10">
        <f>COUNTIFS(Rooms!$E:$E,$A30,Rooms!$B:$B,"Tower B")</f>
        <v/>
      </c>
      <c r="F30" s="17">
        <f>E30/COUNTIF(Rooms!$B:$B,"Tower B")</f>
        <v/>
      </c>
      <c r="G30" s="10">
        <f>C30+E30</f>
        <v/>
      </c>
      <c r="H30" s="17">
        <f>G30/(COUNTA(Rooms!$A:$A)-1)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COUNTIFS(Rooms!$E:$E,$A31,Rooms!$B:$B,"Tower A")</f>
        <v/>
      </c>
      <c r="D31" s="17">
        <f>C31/COUNTIF(Rooms!$B:$B,"Tower A")</f>
        <v/>
      </c>
      <c r="E31" s="10">
        <f>COUNTIFS(Rooms!$E:$E,$A31,Rooms!$B:$B,"Tower B")</f>
        <v/>
      </c>
      <c r="F31" s="17">
        <f>E31/COUNTIF(Rooms!$B:$B,"Tower B")</f>
        <v/>
      </c>
      <c r="G31" s="10">
        <f>C31+E31</f>
        <v/>
      </c>
      <c r="H31" s="17">
        <f>G31/(COUNTA(Rooms!$A:$A)-1)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COUNTIFS(Rooms!$E:$E,$A32,Rooms!$B:$B,"Tower A")</f>
        <v/>
      </c>
      <c r="D32" s="17">
        <f>C32/COUNTIF(Rooms!$B:$B,"Tower A")</f>
        <v/>
      </c>
      <c r="E32" s="10">
        <f>COUNTIFS(Rooms!$E:$E,$A32,Rooms!$B:$B,"Tower B")</f>
        <v/>
      </c>
      <c r="F32" s="17">
        <f>E32/COUNTIF(Rooms!$B:$B,"Tower B")</f>
        <v/>
      </c>
      <c r="G32" s="10">
        <f>C32+E32</f>
        <v/>
      </c>
      <c r="H32" s="17">
        <f>G32/(COUNTA(Rooms!$A:$A)-1)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COUNTIFS(Rooms!$E:$E,$A33,Rooms!$B:$B,"Tower A")</f>
        <v/>
      </c>
      <c r="D33" s="17">
        <f>C33/COUNTIF(Rooms!$B:$B,"Tower A")</f>
        <v/>
      </c>
      <c r="E33" s="10">
        <f>COUNTIFS(Rooms!$E:$E,$A33,Rooms!$B:$B,"Tower B")</f>
        <v/>
      </c>
      <c r="F33" s="17">
        <f>E33/COUNTIF(Rooms!$B:$B,"Tower B")</f>
        <v/>
      </c>
      <c r="G33" s="10">
        <f>C33+E33</f>
        <v/>
      </c>
      <c r="H33" s="17">
        <f>G33/(COUNTA(Rooms!$A:$A)-1)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COUNTIFS(Rooms!$E:$E,$A34,Rooms!$B:$B,"Tower A")</f>
        <v/>
      </c>
      <c r="D34" s="17">
        <f>C34/COUNTIF(Rooms!$B:$B,"Tower A")</f>
        <v/>
      </c>
      <c r="E34" s="10">
        <f>COUNTIFS(Rooms!$E:$E,$A34,Rooms!$B:$B,"Tower B")</f>
        <v/>
      </c>
      <c r="F34" s="17">
        <f>E34/COUNTIF(Rooms!$B:$B,"Tower B")</f>
        <v/>
      </c>
      <c r="G34" s="10">
        <f>C34+E34</f>
        <v/>
      </c>
      <c r="H34" s="17">
        <f>G34/(COUNTA(Rooms!$A:$A)-1)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COUNTIFS(Rooms!$E:$E,$A35,Rooms!$B:$B,"Tower A")</f>
        <v/>
      </c>
      <c r="D35" s="17">
        <f>C35/COUNTIF(Rooms!$B:$B,"Tower A")</f>
        <v/>
      </c>
      <c r="E35" s="10">
        <f>COUNTIFS(Rooms!$E:$E,$A35,Rooms!$B:$B,"Tower B")</f>
        <v/>
      </c>
      <c r="F35" s="17">
        <f>E35/COUNTIF(Rooms!$B:$B,"Tower B")</f>
        <v/>
      </c>
      <c r="G35" s="10">
        <f>C35+E35</f>
        <v/>
      </c>
      <c r="H35" s="17">
        <f>G35/(COUNTA(Rooms!$A:$A)-1)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COUNTIFS(Rooms!$E:$E,$A36,Rooms!$B:$B,"Tower A")</f>
        <v/>
      </c>
      <c r="D36" s="17">
        <f>C36/COUNTIF(Rooms!$B:$B,"Tower A")</f>
        <v/>
      </c>
      <c r="E36" s="10">
        <f>COUNTIFS(Rooms!$E:$E,$A36,Rooms!$B:$B,"Tower B")</f>
        <v/>
      </c>
      <c r="F36" s="17">
        <f>E36/COUNTIF(Rooms!$B:$B,"Tower B")</f>
        <v/>
      </c>
      <c r="G36" s="10">
        <f>C36+E36</f>
        <v/>
      </c>
      <c r="H36" s="17">
        <f>G36/(COUNTA(Rooms!$A:$A)-1)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COUNTIFS(Rooms!$E:$E,$A37,Rooms!$B:$B,"Tower A")</f>
        <v/>
      </c>
      <c r="D37" s="17">
        <f>C37/COUNTIF(Rooms!$B:$B,"Tower A")</f>
        <v/>
      </c>
      <c r="E37" s="10">
        <f>COUNTIFS(Rooms!$E:$E,$A37,Rooms!$B:$B,"Tower B")</f>
        <v/>
      </c>
      <c r="F37" s="17">
        <f>E37/COUNTIF(Rooms!$B:$B,"Tower B")</f>
        <v/>
      </c>
      <c r="G37" s="10">
        <f>C37+E37</f>
        <v/>
      </c>
      <c r="H37" s="17">
        <f>G37/(COUNTA(Rooms!$A:$A)-1)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COUNTIFS(Rooms!$E:$E,$A38,Rooms!$B:$B,"Tower A")</f>
        <v/>
      </c>
      <c r="D38" s="17">
        <f>C38/COUNTIF(Rooms!$B:$B,"Tower A")</f>
        <v/>
      </c>
      <c r="E38" s="10">
        <f>COUNTIFS(Rooms!$E:$E,$A38,Rooms!$B:$B,"Tower B")</f>
        <v/>
      </c>
      <c r="F38" s="17">
        <f>E38/COUNTIF(Rooms!$B:$B,"Tower B")</f>
        <v/>
      </c>
      <c r="G38" s="10">
        <f>C38+E38</f>
        <v/>
      </c>
      <c r="H38" s="17">
        <f>G38/(COUNTA(Rooms!$A:$A)-1)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COUNTIFS(Rooms!$E:$E,$A39,Rooms!$B:$B,"Tower A")</f>
        <v/>
      </c>
      <c r="D39" s="17">
        <f>C39/COUNTIF(Rooms!$B:$B,"Tower A")</f>
        <v/>
      </c>
      <c r="E39" s="10">
        <f>COUNTIFS(Rooms!$E:$E,$A39,Rooms!$B:$B,"Tower B")</f>
        <v/>
      </c>
      <c r="F39" s="17">
        <f>E39/COUNTIF(Rooms!$B:$B,"Tower B")</f>
        <v/>
      </c>
      <c r="G39" s="10">
        <f>C39+E39</f>
        <v/>
      </c>
      <c r="H39" s="17">
        <f>G39/(COUNTA(Rooms!$A:$A)-1)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COUNTIFS(Rooms!$E:$E,$A40,Rooms!$B:$B,"Tower A")</f>
        <v/>
      </c>
      <c r="D40" s="17">
        <f>C40/COUNTIF(Rooms!$B:$B,"Tower A")</f>
        <v/>
      </c>
      <c r="E40" s="10">
        <f>COUNTIFS(Rooms!$E:$E,$A40,Rooms!$B:$B,"Tower B")</f>
        <v/>
      </c>
      <c r="F40" s="17">
        <f>E40/COUNTIF(Rooms!$B:$B,"Tower B")</f>
        <v/>
      </c>
      <c r="G40" s="10">
        <f>C40+E40</f>
        <v/>
      </c>
      <c r="H40" s="17">
        <f>G40/(COUNTA(Rooms!$A:$A)-1)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COUNTIFS(Rooms!$E:$E,$A41,Rooms!$B:$B,"Tower A")</f>
        <v/>
      </c>
      <c r="D41" s="17">
        <f>C41/COUNTIF(Rooms!$B:$B,"Tower A")</f>
        <v/>
      </c>
      <c r="E41" s="10">
        <f>COUNTIFS(Rooms!$E:$E,$A41,Rooms!$B:$B,"Tower B")</f>
        <v/>
      </c>
      <c r="F41" s="17">
        <f>E41/COUNTIF(Rooms!$B:$B,"Tower B")</f>
        <v/>
      </c>
      <c r="G41" s="10">
        <f>C41+E41</f>
        <v/>
      </c>
      <c r="H41" s="17">
        <f>G41/(COUNTA(Rooms!$A:$A)-1)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COUNTIFS(Rooms!$E:$E,$A42,Rooms!$B:$B,"Tower A")</f>
        <v/>
      </c>
      <c r="D42" s="17">
        <f>C42/COUNTIF(Rooms!$B:$B,"Tower A")</f>
        <v/>
      </c>
      <c r="E42" s="10">
        <f>COUNTIFS(Rooms!$E:$E,$A42,Rooms!$B:$B,"Tower B")</f>
        <v/>
      </c>
      <c r="F42" s="17">
        <f>E42/COUNTIF(Rooms!$B:$B,"Tower B")</f>
        <v/>
      </c>
      <c r="G42" s="10">
        <f>C42+E42</f>
        <v/>
      </c>
      <c r="H42" s="17">
        <f>G42/(COUNTA(Rooms!$A:$A)-1)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COUNTIFS(Rooms!$E:$E,$A43,Rooms!$B:$B,"Tower A")</f>
        <v/>
      </c>
      <c r="D43" s="17">
        <f>C43/COUNTIF(Rooms!$B:$B,"Tower A")</f>
        <v/>
      </c>
      <c r="E43" s="10">
        <f>COUNTIFS(Rooms!$E:$E,$A43,Rooms!$B:$B,"Tower B")</f>
        <v/>
      </c>
      <c r="F43" s="17">
        <f>E43/COUNTIF(Rooms!$B:$B,"Tower B")</f>
        <v/>
      </c>
      <c r="G43" s="10">
        <f>C43+E43</f>
        <v/>
      </c>
      <c r="H43" s="17">
        <f>G43/(COUNTA(Rooms!$A:$A)-1)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COUNTIFS(Rooms!$E:$E,$A44,Rooms!$B:$B,"Tower A")</f>
        <v/>
      </c>
      <c r="D44" s="17">
        <f>C44/COUNTIF(Rooms!$B:$B,"Tower A")</f>
        <v/>
      </c>
      <c r="E44" s="10">
        <f>COUNTIFS(Rooms!$E:$E,$A44,Rooms!$B:$B,"Tower B")</f>
        <v/>
      </c>
      <c r="F44" s="17">
        <f>E44/COUNTIF(Rooms!$B:$B,"Tower B")</f>
        <v/>
      </c>
      <c r="G44" s="10">
        <f>C44+E44</f>
        <v/>
      </c>
      <c r="H44" s="17">
        <f>G44/(COUNTA(Rooms!$A:$A)-1)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COUNTIFS(Rooms!$E:$E,$A45,Rooms!$B:$B,"Tower A")</f>
        <v/>
      </c>
      <c r="D45" s="17">
        <f>C45/COUNTIF(Rooms!$B:$B,"Tower A")</f>
        <v/>
      </c>
      <c r="E45" s="10">
        <f>COUNTIFS(Rooms!$E:$E,$A45,Rooms!$B:$B,"Tower B")</f>
        <v/>
      </c>
      <c r="F45" s="17">
        <f>E45/COUNTIF(Rooms!$B:$B,"Tower B")</f>
        <v/>
      </c>
      <c r="G45" s="10">
        <f>C45+E45</f>
        <v/>
      </c>
      <c r="H45" s="17">
        <f>G45/(COUNTA(Rooms!$A:$A)-1)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COUNTIFS(Rooms!$E:$E,$A46,Rooms!$B:$B,"Tower A")</f>
        <v/>
      </c>
      <c r="D46" s="17">
        <f>C46/COUNTIF(Rooms!$B:$B,"Tower A")</f>
        <v/>
      </c>
      <c r="E46" s="10">
        <f>COUNTIFS(Rooms!$E:$E,$A46,Rooms!$B:$B,"Tower B")</f>
        <v/>
      </c>
      <c r="F46" s="17">
        <f>E46/COUNTIF(Rooms!$B:$B,"Tower B")</f>
        <v/>
      </c>
      <c r="G46" s="10">
        <f>C46+E46</f>
        <v/>
      </c>
      <c r="H46" s="17">
        <f>G46/(COUNTA(Rooms!$A:$A)-1)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COUNTIFS(Rooms!$E:$E,$A47,Rooms!$B:$B,"Tower A")</f>
        <v/>
      </c>
      <c r="D47" s="17">
        <f>C47/COUNTIF(Rooms!$B:$B,"Tower A")</f>
        <v/>
      </c>
      <c r="E47" s="10">
        <f>COUNTIFS(Rooms!$E:$E,$A47,Rooms!$B:$B,"Tower B")</f>
        <v/>
      </c>
      <c r="F47" s="17">
        <f>E47/COUNTIF(Rooms!$B:$B,"Tower B")</f>
        <v/>
      </c>
      <c r="G47" s="10">
        <f>C47+E47</f>
        <v/>
      </c>
      <c r="H47" s="17">
        <f>G47/(COUNTA(Rooms!$A:$A)-1)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COUNTIFS(Rooms!$E:$E,$A48,Rooms!$B:$B,"Tower A")</f>
        <v/>
      </c>
      <c r="D48" s="17">
        <f>C48/COUNTIF(Rooms!$B:$B,"Tower A")</f>
        <v/>
      </c>
      <c r="E48" s="10">
        <f>COUNTIFS(Rooms!$E:$E,$A48,Rooms!$B:$B,"Tower B")</f>
        <v/>
      </c>
      <c r="F48" s="17">
        <f>E48/COUNTIF(Rooms!$B:$B,"Tower B")</f>
        <v/>
      </c>
      <c r="G48" s="10">
        <f>C48+E48</f>
        <v/>
      </c>
      <c r="H48" s="17">
        <f>G48/(COUNTA(Rooms!$A:$A)-1)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COUNTIFS(Rooms!$E:$E,$A49,Rooms!$B:$B,"Tower A")</f>
        <v/>
      </c>
      <c r="D49" s="17">
        <f>C49/COUNTIF(Rooms!$B:$B,"Tower A")</f>
        <v/>
      </c>
      <c r="E49" s="10">
        <f>COUNTIFS(Rooms!$E:$E,$A49,Rooms!$B:$B,"Tower B")</f>
        <v/>
      </c>
      <c r="F49" s="17">
        <f>E49/COUNTIF(Rooms!$B:$B,"Tower B")</f>
        <v/>
      </c>
      <c r="G49" s="10">
        <f>C49+E49</f>
        <v/>
      </c>
      <c r="H49" s="17">
        <f>G49/(COUNTA(Rooms!$A:$A)-1)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COUNTIFS(Rooms!$E:$E,$A50,Rooms!$B:$B,"Tower A")</f>
        <v/>
      </c>
      <c r="D50" s="17">
        <f>C50/COUNTIF(Rooms!$B:$B,"Tower A")</f>
        <v/>
      </c>
      <c r="E50" s="10">
        <f>COUNTIFS(Rooms!$E:$E,$A50,Rooms!$B:$B,"Tower B")</f>
        <v/>
      </c>
      <c r="F50" s="17">
        <f>E50/COUNTIF(Rooms!$B:$B,"Tower B")</f>
        <v/>
      </c>
      <c r="G50" s="10">
        <f>C50+E50</f>
        <v/>
      </c>
      <c r="H50" s="17">
        <f>G50/(COUNTA(Rooms!$A:$A)-1)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COUNTIFS(Rooms!$E:$E,$A51,Rooms!$B:$B,"Tower A")</f>
        <v/>
      </c>
      <c r="D51" s="17">
        <f>C51/COUNTIF(Rooms!$B:$B,"Tower A")</f>
        <v/>
      </c>
      <c r="E51" s="10">
        <f>COUNTIFS(Rooms!$E:$E,$A51,Rooms!$B:$B,"Tower B")</f>
        <v/>
      </c>
      <c r="F51" s="17">
        <f>E51/COUNTIF(Rooms!$B:$B,"Tower B")</f>
        <v/>
      </c>
      <c r="G51" s="10">
        <f>C51+E51</f>
        <v/>
      </c>
      <c r="H51" s="17">
        <f>G51/(COUNTA(Rooms!$A:$A)-1)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COUNTIFS(Rooms!$E:$E,$A52,Rooms!$B:$B,"Tower A")</f>
        <v/>
      </c>
      <c r="D52" s="17">
        <f>C52/COUNTIF(Rooms!$B:$B,"Tower A")</f>
        <v/>
      </c>
      <c r="E52" s="10">
        <f>COUNTIFS(Rooms!$E:$E,$A52,Rooms!$B:$B,"Tower B")</f>
        <v/>
      </c>
      <c r="F52" s="17">
        <f>E52/COUNTIF(Rooms!$B:$B,"Tower B")</f>
        <v/>
      </c>
      <c r="G52" s="10">
        <f>C52+E52</f>
        <v/>
      </c>
      <c r="H52" s="17">
        <f>G52/(COUNTA(Rooms!$A:$A)-1)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COUNTIFS(Rooms!$E:$E,$A53,Rooms!$B:$B,"Tower A")</f>
        <v/>
      </c>
      <c r="D53" s="17">
        <f>C53/COUNTIF(Rooms!$B:$B,"Tower A")</f>
        <v/>
      </c>
      <c r="E53" s="10">
        <f>COUNTIFS(Rooms!$E:$E,$A53,Rooms!$B:$B,"Tower B")</f>
        <v/>
      </c>
      <c r="F53" s="17">
        <f>E53/COUNTIF(Rooms!$B:$B,"Tower B")</f>
        <v/>
      </c>
      <c r="G53" s="10">
        <f>C53+E53</f>
        <v/>
      </c>
      <c r="H53" s="17">
        <f>G53/(COUNTA(Rooms!$A:$A)-1)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COUNTIFS(Rooms!$E:$E,$A54,Rooms!$B:$B,"Tower A")</f>
        <v/>
      </c>
      <c r="D54" s="17">
        <f>C54/COUNTIF(Rooms!$B:$B,"Tower A")</f>
        <v/>
      </c>
      <c r="E54" s="10">
        <f>COUNTIFS(Rooms!$E:$E,$A54,Rooms!$B:$B,"Tower B")</f>
        <v/>
      </c>
      <c r="F54" s="17">
        <f>E54/COUNTIF(Rooms!$B:$B,"Tower B")</f>
        <v/>
      </c>
      <c r="G54" s="10">
        <f>C54+E54</f>
        <v/>
      </c>
      <c r="H54" s="17">
        <f>G54/(COUNTA(Rooms!$A:$A)-1)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COUNTIFS(Rooms!$E:$E,$A55,Rooms!$B:$B,"Tower A")</f>
        <v/>
      </c>
      <c r="D55" s="17">
        <f>C55/COUNTIF(Rooms!$B:$B,"Tower A")</f>
        <v/>
      </c>
      <c r="E55" s="10">
        <f>COUNTIFS(Rooms!$E:$E,$A55,Rooms!$B:$B,"Tower B")</f>
        <v/>
      </c>
      <c r="F55" s="17">
        <f>E55/COUNTIF(Rooms!$B:$B,"Tower B")</f>
        <v/>
      </c>
      <c r="G55" s="10">
        <f>C55+E55</f>
        <v/>
      </c>
      <c r="H55" s="17">
        <f>G55/(COUNTA(Rooms!$A:$A)-1)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COUNTIFS(Rooms!$E:$E,$A56,Rooms!$B:$B,"Tower A")</f>
        <v/>
      </c>
      <c r="D56" s="17">
        <f>C56/COUNTIF(Rooms!$B:$B,"Tower A")</f>
        <v/>
      </c>
      <c r="E56" s="10">
        <f>COUNTIFS(Rooms!$E:$E,$A56,Rooms!$B:$B,"Tower B")</f>
        <v/>
      </c>
      <c r="F56" s="17">
        <f>E56/COUNTIF(Rooms!$B:$B,"Tower B")</f>
        <v/>
      </c>
      <c r="G56" s="10">
        <f>C56+E56</f>
        <v/>
      </c>
      <c r="H56" s="17">
        <f>G56/(COUNTA(Rooms!$A:$A)-1)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COUNTIFS(Rooms!$E:$E,$A57,Rooms!$B:$B,"Tower A")</f>
        <v/>
      </c>
      <c r="D57" s="17">
        <f>C57/COUNTIF(Rooms!$B:$B,"Tower A")</f>
        <v/>
      </c>
      <c r="E57" s="10">
        <f>COUNTIFS(Rooms!$E:$E,$A57,Rooms!$B:$B,"Tower B")</f>
        <v/>
      </c>
      <c r="F57" s="17">
        <f>E57/COUNTIF(Rooms!$B:$B,"Tower B")</f>
        <v/>
      </c>
      <c r="G57" s="10">
        <f>C57+E57</f>
        <v/>
      </c>
      <c r="H57" s="17">
        <f>G57/(COUNTA(Rooms!$A:$A)-1)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COUNTIFS(Rooms!$E:$E,$A58,Rooms!$B:$B,"Tower A")</f>
        <v/>
      </c>
      <c r="D58" s="17">
        <f>C58/COUNTIF(Rooms!$B:$B,"Tower A")</f>
        <v/>
      </c>
      <c r="E58" s="10">
        <f>COUNTIFS(Rooms!$E:$E,$A58,Rooms!$B:$B,"Tower B")</f>
        <v/>
      </c>
      <c r="F58" s="17">
        <f>E58/COUNTIF(Rooms!$B:$B,"Tower B")</f>
        <v/>
      </c>
      <c r="G58" s="10">
        <f>C58+E58</f>
        <v/>
      </c>
      <c r="H58" s="17">
        <f>G58/(COUNTA(Rooms!$A:$A)-1)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COUNTIFS(Rooms!$E:$E,$A59,Rooms!$B:$B,"Tower A")</f>
        <v/>
      </c>
      <c r="D59" s="17">
        <f>C59/COUNTIF(Rooms!$B:$B,"Tower A")</f>
        <v/>
      </c>
      <c r="E59" s="10">
        <f>COUNTIFS(Rooms!$E:$E,$A59,Rooms!$B:$B,"Tower B")</f>
        <v/>
      </c>
      <c r="F59" s="17">
        <f>E59/COUNTIF(Rooms!$B:$B,"Tower B")</f>
        <v/>
      </c>
      <c r="G59" s="10">
        <f>C59+E59</f>
        <v/>
      </c>
      <c r="H59" s="17">
        <f>G59/(COUNTA(Rooms!$A:$A)-1)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COUNTIFS(Rooms!$E:$E,$A60,Rooms!$B:$B,"Tower A")</f>
        <v/>
      </c>
      <c r="D60" s="17">
        <f>C60/COUNTIF(Rooms!$B:$B,"Tower A")</f>
        <v/>
      </c>
      <c r="E60" s="10">
        <f>COUNTIFS(Rooms!$E:$E,$A60,Rooms!$B:$B,"Tower B")</f>
        <v/>
      </c>
      <c r="F60" s="17">
        <f>E60/COUNTIF(Rooms!$B:$B,"Tower B")</f>
        <v/>
      </c>
      <c r="G60" s="10">
        <f>C60+E60</f>
        <v/>
      </c>
      <c r="H60" s="17">
        <f>G60/(COUNTA(Rooms!$A:$A)-1)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COUNTIFS(Rooms!$E:$E,$A61,Rooms!$B:$B,"Tower A")</f>
        <v/>
      </c>
      <c r="D61" s="17">
        <f>C61/COUNTIF(Rooms!$B:$B,"Tower A")</f>
        <v/>
      </c>
      <c r="E61" s="10">
        <f>COUNTIFS(Rooms!$E:$E,$A61,Rooms!$B:$B,"Tower B")</f>
        <v/>
      </c>
      <c r="F61" s="17">
        <f>E61/COUNTIF(Rooms!$B:$B,"Tower B")</f>
        <v/>
      </c>
      <c r="G61" s="10">
        <f>C61+E61</f>
        <v/>
      </c>
      <c r="H61" s="17">
        <f>G61/(COUNTA(Rooms!$A:$A)-1)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COUNTIFS(Rooms!$E:$E,$A62,Rooms!$B:$B,"Tower A")</f>
        <v/>
      </c>
      <c r="D62" s="17">
        <f>C62/COUNTIF(Rooms!$B:$B,"Tower A")</f>
        <v/>
      </c>
      <c r="E62" s="10">
        <f>COUNTIFS(Rooms!$E:$E,$A62,Rooms!$B:$B,"Tower B")</f>
        <v/>
      </c>
      <c r="F62" s="17">
        <f>E62/COUNTIF(Rooms!$B:$B,"Tower B")</f>
        <v/>
      </c>
      <c r="G62" s="10">
        <f>C62+E62</f>
        <v/>
      </c>
      <c r="H62" s="17">
        <f>G62/(COUNTA(Rooms!$A:$A)-1)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45" customWidth="1" style="10" min="3" max="3"/>
    <col width="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n"/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 - Approved</t>
        </is>
      </c>
      <c r="B2" s="10" t="inlineStr">
        <is>
          <t>green</t>
        </is>
      </c>
      <c r="C2" s="10" t="inlineStr">
        <is>
          <t>Code A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 - Approved as Noted</t>
        </is>
      </c>
      <c r="B3" s="10" t="inlineStr">
        <is>
          <t>green</t>
        </is>
      </c>
      <c r="C3" s="10" t="inlineStr">
        <is>
          <t>Code B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C - Revise &amp; Resubmit</t>
        </is>
      </c>
      <c r="B4" s="10" t="inlineStr">
        <is>
          <t>amber</t>
        </is>
      </c>
      <c r="C4" s="10" t="inlineStr">
        <is>
          <t>Code C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D - Rejected</t>
        </is>
      </c>
      <c r="B5" s="10" t="inlineStr">
        <is>
          <t>red</t>
        </is>
      </c>
      <c r="C5" s="10" t="inlineStr">
        <is>
          <t>Code D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Under Review</t>
        </is>
      </c>
      <c r="B6" s="10" t="inlineStr">
        <is>
          <t>blue</t>
        </is>
      </c>
      <c r="C6" s="10" t="inlineStr">
        <is>
          <t>Submitted, awaiting consultant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In Preparation</t>
        </is>
      </c>
      <c r="B7" s="10" t="inlineStr">
        <is>
          <t>grey</t>
        </is>
      </c>
      <c r="C7" s="10" t="inlineStr">
        <is>
          <t>Being prepared by BUJV / subcontractor</t>
        </is>
      </c>
    </row>
    <row r="8" ht="15" customHeight="1" s="11">
      <c r="A8" s="10" t="inlineStr">
        <is>
          <t>Not Submitted</t>
        </is>
      </c>
      <c r="B8" s="10" t="inlineStr">
        <is>
          <t>grey</t>
        </is>
      </c>
    </row>
    <row r="9" ht="15" customHeight="1" s="11">
      <c r="A9" s="10" t="inlineStr">
        <is>
          <t>N/A</t>
        </is>
      </c>
      <c r="B9" s="10" t="inlineStr">
        <is>
          <t>grey</t>
        </is>
      </c>
      <c r="C9" s="10" t="inlineStr">
        <is>
          <t>Not applicable</t>
        </is>
      </c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2026-10-09T11:14:21Z</dcterms:modified>
  <cp:revision>0</cp:revision>
</cp:coreProperties>
</file>