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LS" sheetId="4" state="visible" r:id="rId4"/>
    <sheet xmlns:r="http://schemas.openxmlformats.org/officeDocument/2006/relationships" name="Fields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Lists" sheetId="7" state="visible" r:id="rId7"/>
    <sheet xmlns:r="http://schemas.openxmlformats.org/officeDocument/2006/relationships" name="Config" sheetId="8" state="visible" r:id="rId8"/>
  </sheets>
  <definedNames>
    <definedName name="_xlnm._FilterDatabase" localSheetId="1" hidden="1">'Clearances'!$A$1:$M$554</definedName>
    <definedName name="_xlnm._FilterDatabase" localSheetId="2" hidden="1">'Shop Drawings'!$A$1:$AD$62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dd\-mmm\-yyyy"/>
    <numFmt numFmtId="166" formatCode="dd-mmm-yyyy"/>
  </numFmts>
  <fonts count="11">
    <font>
      <name val="Calibri"/>
      <charset val="1"/>
      <family val="2"/>
      <color theme="1"/>
      <sz val="11"/>
    </font>
    <font>
      <name val="Cambria"/>
      <charset val="1"/>
      <b val="1"/>
      <color rgb="FF1F3A5F"/>
      <sz val="14"/>
    </font>
    <font>
      <name val="Cambria"/>
      <charset val="1"/>
      <color rgb="FF000000"/>
      <sz val="11"/>
    </font>
    <font>
      <name val="Cambria"/>
      <charset val="1"/>
      <b val="1"/>
      <color rgb="FF1F3A5F"/>
      <sz val="11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libri"/>
      <b val="1"/>
      <color rgb="FF1F3A5F"/>
      <sz val="11"/>
    </font>
    <font>
      <b val="1"/>
      <color rgb="FFFFFFFF"/>
      <sz val="10"/>
    </font>
    <font>
      <b val="1"/>
      <color rgb="FF000000"/>
      <sz val="10"/>
    </font>
    <font>
      <color rgb="FF000000"/>
      <sz val="11"/>
    </font>
    <font>
      <b val="1"/>
      <color rgb="FF1F3A5F"/>
      <sz val="11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3" borderId="0" applyAlignment="1" applyProtection="1" pivotButton="0" quotePrefix="0" xfId="0">
      <alignment horizontal="center" vertical="center"/>
      <protection locked="0" hidden="0"/>
    </xf>
    <xf numFmtId="165" fontId="0" fillId="3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center"/>
    </xf>
    <xf numFmtId="165" fontId="0" fillId="3" borderId="0" applyProtection="1" pivotButton="0" quotePrefix="0" xfId="0">
      <protection locked="0" hidden="0"/>
    </xf>
    <xf numFmtId="0" fontId="7" fillId="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Protection="1" pivotButton="0" quotePrefix="0" xfId="0">
      <protection locked="0" hidden="0"/>
    </xf>
    <xf numFmtId="166" fontId="9" fillId="0" borderId="2" applyProtection="1" pivotButton="0" quotePrefix="0" xfId="0">
      <protection locked="0" hidden="0"/>
    </xf>
    <xf numFmtId="49" fontId="9" fillId="0" borderId="2" applyAlignment="1" applyProtection="1" pivotButton="0" quotePrefix="0" xfId="0">
      <alignment horizontal="center"/>
      <protection locked="0" hidden="0"/>
    </xf>
    <xf numFmtId="0" fontId="9" fillId="0" borderId="2" applyAlignment="1" applyProtection="1" pivotButton="0" quotePrefix="0" xfId="0">
      <alignment horizontal="center"/>
      <protection locked="0" hidden="0"/>
    </xf>
    <xf numFmtId="164" fontId="0" fillId="0" borderId="0" pivotButton="0" quotePrefix="0" xfId="0"/>
    <xf numFmtId="0" fontId="10" fillId="0" borderId="0" pivotButton="0" quotePrefix="0" xfId="0"/>
  </cellXfs>
  <cellStyles count="1">
    <cellStyle name="Normal" xfId="0" builtinId="0"/>
  </cellStyles>
  <dxfs count="18">
    <dxf>
      <fill>
        <patternFill patternType="solid">
          <fgColor rgb="FFB5E6A2"/>
          <bgColor rgb="FFB5E6A2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numFmt numFmtId="166" formatCode="General;General;General;&quot;Coordinated&quot;"/>
      <fill>
        <patternFill patternType="solid">
          <fgColor rgb="FFB5E6A2"/>
          <bgColor rgb="FFB5E6A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zoomScaleNormal="100" workbookViewId="0">
      <selection activeCell="A1" sqref="A1"/>
    </sheetView>
  </sheetViews>
  <sheetFormatPr baseColWidth="8" defaultColWidth="8.7109375" defaultRowHeight="15"/>
  <cols>
    <col width="130" customWidth="1" min="1" max="1"/>
  </cols>
  <sheetData>
    <row r="1" ht="17.85" customHeight="1">
      <c r="A1" s="1" t="inlineStr">
        <is>
          <t>WPH – Room QR Status Register</t>
        </is>
      </c>
    </row>
    <row r="2" ht="28.35" customHeight="1">
      <c r="A2" s="2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>
      <c r="A3" s="2" t="n"/>
    </row>
    <row r="4" ht="15" customHeight="1">
      <c r="A4" s="3" t="inlineStr">
        <is>
          <t>HOW TO UPDATE</t>
        </is>
      </c>
    </row>
    <row r="5" ht="15" customHeight="1">
      <c r="A5" s="2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>
      <c r="A6" s="2" t="inlineStr">
        <is>
          <t>2. Save the file (keep the same file name: WPH_Room_Register.xlsx).</t>
        </is>
      </c>
    </row>
    <row r="7" ht="15" customHeight="1">
      <c r="A7" s="2" t="inlineStr">
        <is>
          <t>3. Upload it to the GitHub repository (Add file &gt; Upload files, replace the old one). The QR pages update within a few minutes.</t>
        </is>
      </c>
    </row>
    <row r="8" ht="15" customHeight="1">
      <c r="A8" s="2" t="n"/>
    </row>
    <row r="9" ht="15" customHeight="1">
      <c r="A9" s="3" t="inlineStr">
        <is>
          <t>HOW VALUES ARE RESOLVED</t>
        </is>
      </c>
    </row>
    <row r="10" ht="15" customHeight="1">
      <c r="A10" s="2" t="inlineStr">
        <is>
          <t>• Shop Drawings sheet = default per room type (e.g. ID shop drawing status of K01C applies to every K01C room).</t>
        </is>
      </c>
    </row>
    <row r="11" ht="15" customHeight="1">
      <c r="A11" s="2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>
      <c r="A12" s="2" t="inlineStr">
        <is>
          <t>• Room counts and percentages are calculated automatically by the page from the Clearances sheet. Do not type them.</t>
        </is>
      </c>
    </row>
    <row r="13" ht="15" customHeight="1">
      <c r="A13" s="2" t="n"/>
    </row>
    <row r="14" ht="15" customHeight="1">
      <c r="A14" s="3" t="inlineStr">
        <is>
          <t>HOW TO ADD NEW INFORMATION (no code changes)</t>
        </is>
      </c>
    </row>
    <row r="15" ht="15" customHeight="1">
      <c r="A15" s="2" t="inlineStr">
        <is>
          <t>1. Add a new column to Clearances (per room) or Shop Drawings (per type) with a clear header, e.g. "Snagging Status".</t>
        </is>
      </c>
    </row>
    <row r="16" ht="28.35" customHeight="1">
      <c r="A16" s="2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>
      <c r="A17" s="2" t="inlineStr">
        <is>
          <t xml:space="preserve">   If you skip step 2 the new column still appears on the page, under "Other information".</t>
        </is>
      </c>
    </row>
    <row r="18" ht="15" customHeight="1">
      <c r="A18" s="2" t="inlineStr">
        <is>
          <t>3. New status words can be added to the Lists sheet with a colour (green / amber / red / blue / grey).</t>
        </is>
      </c>
    </row>
    <row r="19" ht="15" customHeight="1">
      <c r="A19" s="2" t="n"/>
    </row>
    <row r="20" ht="15" customHeight="1">
      <c r="A20" s="3" t="inlineStr">
        <is>
          <t>ROOM IDENTIFICATION</t>
        </is>
      </c>
    </row>
    <row r="21" ht="15" customHeight="1">
      <c r="A21" s="2" t="inlineStr">
        <is>
          <t>QR ID = Tower - Level - Room Type, as per the Room Typology drawings and Room Matrix, e.g. A-L02-F03 = Tower A, Level 02, Family room type F03.</t>
        </is>
      </c>
    </row>
    <row r="22" ht="28.35" customHeight="1">
      <c r="A22" s="2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>
      <c r="A23" s="2" t="inlineStr">
        <is>
          <t>The design room tag from the DSA typology drawings (e.g. AL02G03) is kept in the column "Design Room Tag" for cross-reference.</t>
        </is>
      </c>
    </row>
    <row r="24" ht="28.35" customHeight="1">
      <c r="A24" s="2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>
      <c r="A25" s="2" t="n"/>
    </row>
    <row r="26" ht="15" customHeight="1">
      <c r="A26" s="3" t="inlineStr">
        <is>
          <t>DRAWING vs. MATRIX CHECK</t>
        </is>
      </c>
    </row>
    <row r="27" ht="28.35" customHeight="1">
      <c r="A27" s="2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>
      <c r="A28" s="2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8" t="inlineStr">
        <is>
          <t>SHEET PROTECTION</t>
        </is>
      </c>
    </row>
    <row r="31" ht="60" customHeight="1">
      <c r="A31" s="9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8" t="inlineStr">
        <is>
          <t>COORDINATION SKETCH</t>
        </is>
      </c>
    </row>
    <row r="34" ht="45" customHeight="1">
      <c r="A34" s="9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6">
      <c r="A36" s="8" t="inlineStr">
        <is>
          <t>STATUS CODES (Shop Drawings sheet)</t>
        </is>
      </c>
    </row>
    <row r="37" ht="45" customHeight="1">
      <c r="A37" s="9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  <row r="39">
      <c r="A39" s="31" t="n"/>
    </row>
    <row r="40">
      <c r="A40" s="9" t="n"/>
    </row>
    <row r="42">
      <c r="A42" s="31" t="inlineStr">
        <is>
          <t>FLS – FIRE LIFE &amp; SAFETY (FLS sheet)</t>
        </is>
      </c>
    </row>
    <row r="43">
      <c r="A43" s="9" t="inlineStr">
        <is>
          <t>One row per tower/level. Each item has a Material status and a Shop Drawing status (codes A / B / UR / C / TBS) with dates. Civil: Steel Doors, Wooden Doors, Fire Sealant, Hardware. MEP: Fire Sealant, Fire Alarm, Fire Fighting. Shown on the level QR page and on every room QR page of that level. A room can override its level by adding the same column header in Clearances.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2" sqref="J12"/>
    </sheetView>
  </sheetViews>
  <sheetFormatPr baseColWidth="8" defaultColWidth="8.7109375" defaultRowHeight="15"/>
  <cols>
    <col width="12" customWidth="1" min="1" max="1"/>
    <col width="8" customWidth="1" min="2" max="3"/>
    <col width="12.5703125" customWidth="1" min="4" max="4"/>
    <col width="11" customWidth="1" min="5" max="5"/>
    <col width="15" customWidth="1" min="6" max="6"/>
    <col width="18" customWidth="1" min="7" max="7"/>
    <col width="14" customWidth="1" min="8" max="8"/>
    <col width="18" customWidth="1" min="9" max="9"/>
    <col width="14" customWidth="1" min="10" max="10"/>
    <col width="40" customWidth="1" min="11" max="11"/>
    <col width="22" customWidth="1" min="12" max="12"/>
    <col width="60" customWidth="1" min="13" max="13"/>
  </cols>
  <sheetData>
    <row r="1" ht="33.75" customHeight="1">
      <c r="A1" s="4" t="inlineStr">
        <is>
          <t>QR ID</t>
        </is>
      </c>
      <c r="B1" s="4" t="inlineStr">
        <is>
          <t>Tower</t>
        </is>
      </c>
      <c r="C1" s="4" t="inlineStr">
        <is>
          <t>Level</t>
        </is>
      </c>
      <c r="D1" s="4" t="inlineStr">
        <is>
          <t>Design Room Tag</t>
        </is>
      </c>
      <c r="E1" s="4" t="inlineStr">
        <is>
          <t>Room Type</t>
        </is>
      </c>
      <c r="F1" s="4" t="inlineStr">
        <is>
          <t>Room Category</t>
        </is>
      </c>
      <c r="G1" s="4" t="inlineStr">
        <is>
          <t>MEP Clearance</t>
        </is>
      </c>
      <c r="H1" s="4" t="inlineStr">
        <is>
          <t>MEP Clearance Date</t>
        </is>
      </c>
      <c r="I1" s="4" t="inlineStr">
        <is>
          <t>ELV Clearance</t>
        </is>
      </c>
      <c r="J1" s="4" t="inlineStr">
        <is>
          <t>ELV Clearance Date</t>
        </is>
      </c>
      <c r="K1" s="4" t="inlineStr">
        <is>
          <t>Remarks</t>
        </is>
      </c>
      <c r="L1" s="4" t="inlineStr">
        <is>
          <t>ID Source</t>
        </is>
      </c>
      <c r="M1" s="4" t="inlineStr">
        <is>
          <t>QR URL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</row>
    <row r="2" ht="15" customHeight="1">
      <c r="A2" t="inlineStr">
        <is>
          <t>A-L02-BS</t>
        </is>
      </c>
      <c r="B2" t="inlineStr">
        <is>
          <t>Tower A</t>
        </is>
      </c>
      <c r="C2" t="inlineStr">
        <is>
          <t>L02</t>
        </is>
      </c>
      <c r="D2" t="inlineStr">
        <is>
          <t>AL02G04</t>
        </is>
      </c>
      <c r="E2" t="inlineStr">
        <is>
          <t>BS</t>
        </is>
      </c>
      <c r="F2" t="inlineStr">
        <is>
          <t>Suite</t>
        </is>
      </c>
      <c r="G2" s="11" t="n"/>
      <c r="H2" s="22" t="n"/>
      <c r="I2" s="11" t="n"/>
      <c r="J2" s="22" t="n"/>
      <c r="K2" s="11" t="n"/>
      <c r="L2" t="inlineStr">
        <is>
          <t>Type per Room Matrix (drawing shows BS01)</t>
        </is>
      </c>
      <c r="M2">
        <f>Config!$B$3&amp;"?room="&amp;A2</f>
        <v/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 ht="15" customHeight="1">
      <c r="A3" t="inlineStr">
        <is>
          <t>A-L02-F03</t>
        </is>
      </c>
      <c r="B3" t="inlineStr">
        <is>
          <t>Tower A</t>
        </is>
      </c>
      <c r="C3" t="inlineStr">
        <is>
          <t>L02</t>
        </is>
      </c>
      <c r="D3" t="inlineStr">
        <is>
          <t>AL02G03</t>
        </is>
      </c>
      <c r="E3" t="inlineStr">
        <is>
          <t>F03</t>
        </is>
      </c>
      <c r="F3" t="inlineStr">
        <is>
          <t>Family</t>
        </is>
      </c>
      <c r="G3" s="11" t="inlineStr">
        <is>
          <t>Provided</t>
        </is>
      </c>
      <c r="H3" s="22" t="n">
        <v>46301</v>
      </c>
      <c r="I3" s="11" t="inlineStr">
        <is>
          <t>Provided</t>
        </is>
      </c>
      <c r="J3" s="22" t="n">
        <v>46301</v>
      </c>
      <c r="K3" s="11" t="n"/>
      <c r="L3" t="inlineStr">
        <is>
          <t>Typology drawing R01</t>
        </is>
      </c>
      <c r="M3">
        <f>Config!$B$3&amp;"?room="&amp;A3</f>
        <v/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 ht="15" customHeight="1">
      <c r="A4" t="inlineStr">
        <is>
          <t>A-L02-F04</t>
        </is>
      </c>
      <c r="B4" t="inlineStr">
        <is>
          <t>Tower A</t>
        </is>
      </c>
      <c r="C4" t="inlineStr">
        <is>
          <t>L02</t>
        </is>
      </c>
      <c r="D4" t="inlineStr">
        <is>
          <t>AL02G11</t>
        </is>
      </c>
      <c r="E4" t="inlineStr">
        <is>
          <t>F04</t>
        </is>
      </c>
      <c r="F4" t="inlineStr">
        <is>
          <t>Family</t>
        </is>
      </c>
      <c r="G4" s="11" t="n"/>
      <c r="H4" s="22" t="n"/>
      <c r="I4" s="11" t="n"/>
      <c r="J4" s="22" t="n"/>
      <c r="K4" s="11" t="n"/>
      <c r="L4" t="inlineStr">
        <is>
          <t>Typology drawing R01</t>
        </is>
      </c>
      <c r="M4">
        <f>Config!$B$3&amp;"?room="&amp;A4</f>
        <v/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 ht="15" customHeight="1">
      <c r="A5" t="inlineStr">
        <is>
          <t>A-L02-FADA</t>
        </is>
      </c>
      <c r="B5" t="inlineStr">
        <is>
          <t>Tower A</t>
        </is>
      </c>
      <c r="C5" t="inlineStr">
        <is>
          <t>L02</t>
        </is>
      </c>
      <c r="D5" t="inlineStr">
        <is>
          <t>AL02G46</t>
        </is>
      </c>
      <c r="E5" t="inlineStr">
        <is>
          <t>FADA</t>
        </is>
      </c>
      <c r="F5" t="inlineStr">
        <is>
          <t>Family ADA</t>
        </is>
      </c>
      <c r="G5" s="11" t="n"/>
      <c r="H5" s="22" t="n"/>
      <c r="I5" s="11" t="n"/>
      <c r="J5" s="22" t="n"/>
      <c r="K5" s="11" t="n"/>
      <c r="L5" t="inlineStr">
        <is>
          <t>Typology drawing R01</t>
        </is>
      </c>
      <c r="M5">
        <f>Config!$B$3&amp;"?room="&amp;A5</f>
        <v/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 ht="15" customHeight="1">
      <c r="A6" t="inlineStr">
        <is>
          <t>A-L02-K01-01</t>
        </is>
      </c>
      <c r="B6" t="inlineStr">
        <is>
          <t>Tower A</t>
        </is>
      </c>
      <c r="C6" t="inlineStr">
        <is>
          <t>L02</t>
        </is>
      </c>
      <c r="D6" t="inlineStr">
        <is>
          <t>AL02G19</t>
        </is>
      </c>
      <c r="E6" t="inlineStr">
        <is>
          <t>K01</t>
        </is>
      </c>
      <c r="F6" t="inlineStr">
        <is>
          <t>King</t>
        </is>
      </c>
      <c r="G6" s="11" t="n"/>
      <c r="H6" s="22" t="n"/>
      <c r="I6" s="11" t="n"/>
      <c r="J6" s="22" t="n"/>
      <c r="K6" s="11" t="n"/>
      <c r="L6" t="inlineStr">
        <is>
          <t>Typology drawing R01</t>
        </is>
      </c>
      <c r="M6">
        <f>Config!$B$3&amp;"?room="&amp;A6</f>
        <v/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 ht="15" customHeight="1">
      <c r="A7" t="inlineStr">
        <is>
          <t>A-L02-K01-02</t>
        </is>
      </c>
      <c r="B7" t="inlineStr">
        <is>
          <t>Tower A</t>
        </is>
      </c>
      <c r="C7" t="inlineStr">
        <is>
          <t>L02</t>
        </is>
      </c>
      <c r="D7" t="inlineStr">
        <is>
          <t>AL02G23</t>
        </is>
      </c>
      <c r="E7" t="inlineStr">
        <is>
          <t>K01</t>
        </is>
      </c>
      <c r="F7" t="inlineStr">
        <is>
          <t>King</t>
        </is>
      </c>
      <c r="G7" s="11" t="n"/>
      <c r="H7" s="22" t="n"/>
      <c r="I7" s="11" t="n"/>
      <c r="J7" s="22" t="n"/>
      <c r="K7" s="11" t="n"/>
      <c r="L7" t="inlineStr">
        <is>
          <t>Typology drawing R01</t>
        </is>
      </c>
      <c r="M7">
        <f>Config!$B$3&amp;"?room="&amp;A7</f>
        <v/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 ht="15" customHeight="1">
      <c r="A8" t="inlineStr">
        <is>
          <t>A-L02-K01-03</t>
        </is>
      </c>
      <c r="B8" t="inlineStr">
        <is>
          <t>Tower A</t>
        </is>
      </c>
      <c r="C8" t="inlineStr">
        <is>
          <t>L02</t>
        </is>
      </c>
      <c r="D8" t="inlineStr">
        <is>
          <t>AL02G27</t>
        </is>
      </c>
      <c r="E8" t="inlineStr">
        <is>
          <t>K01</t>
        </is>
      </c>
      <c r="F8" t="inlineStr">
        <is>
          <t>King</t>
        </is>
      </c>
      <c r="G8" s="11" t="n"/>
      <c r="H8" s="22" t="n"/>
      <c r="I8" s="11" t="n"/>
      <c r="J8" s="22" t="n"/>
      <c r="K8" s="11" t="n"/>
      <c r="L8" t="inlineStr">
        <is>
          <t>Typology drawing R01</t>
        </is>
      </c>
      <c r="M8">
        <f>Config!$B$3&amp;"?room="&amp;A8</f>
        <v/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 ht="15" customHeight="1">
      <c r="A9" t="inlineStr">
        <is>
          <t>A-L02-K01B-01</t>
        </is>
      </c>
      <c r="B9" t="inlineStr">
        <is>
          <t>Tower A</t>
        </is>
      </c>
      <c r="C9" t="inlineStr">
        <is>
          <t>L02</t>
        </is>
      </c>
      <c r="D9" t="inlineStr">
        <is>
          <t>AL02G26</t>
        </is>
      </c>
      <c r="E9" t="inlineStr">
        <is>
          <t>K01B</t>
        </is>
      </c>
      <c r="F9" t="inlineStr">
        <is>
          <t>King</t>
        </is>
      </c>
      <c r="G9" s="11" t="n"/>
      <c r="H9" s="22" t="n"/>
      <c r="I9" s="11" t="n"/>
      <c r="J9" s="22" t="n"/>
      <c r="K9" s="11" t="n"/>
      <c r="L9" t="inlineStr">
        <is>
          <t>Typology drawing R01</t>
        </is>
      </c>
      <c r="M9">
        <f>Config!$B$3&amp;"?room="&amp;A9</f>
        <v/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 ht="15" customHeight="1">
      <c r="A10" t="inlineStr">
        <is>
          <t>A-L02-K01B-02</t>
        </is>
      </c>
      <c r="B10" t="inlineStr">
        <is>
          <t>Tower A</t>
        </is>
      </c>
      <c r="C10" t="inlineStr">
        <is>
          <t>L02</t>
        </is>
      </c>
      <c r="D10" t="inlineStr">
        <is>
          <t>AL02G30</t>
        </is>
      </c>
      <c r="E10" t="inlineStr">
        <is>
          <t>K01B</t>
        </is>
      </c>
      <c r="F10" t="inlineStr">
        <is>
          <t>King</t>
        </is>
      </c>
      <c r="G10" s="11" t="n"/>
      <c r="H10" s="22" t="n"/>
      <c r="I10" s="11" t="n"/>
      <c r="J10" s="22" t="n"/>
      <c r="K10" s="11" t="n"/>
      <c r="L10" t="inlineStr">
        <is>
          <t>Typology drawing R01</t>
        </is>
      </c>
      <c r="M10">
        <f>Config!$B$3&amp;"?room="&amp;A10</f>
        <v/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 ht="15" customHeight="1">
      <c r="A11" t="inlineStr">
        <is>
          <t>A-L02-K01C-01</t>
        </is>
      </c>
      <c r="B11" t="inlineStr">
        <is>
          <t>Tower A</t>
        </is>
      </c>
      <c r="C11" t="inlineStr">
        <is>
          <t>L02</t>
        </is>
      </c>
      <c r="D11" t="inlineStr">
        <is>
          <t>AL02G07</t>
        </is>
      </c>
      <c r="E11" t="inlineStr">
        <is>
          <t>K01C</t>
        </is>
      </c>
      <c r="F11" t="inlineStr">
        <is>
          <t>King</t>
        </is>
      </c>
      <c r="G11" s="11" t="n"/>
      <c r="H11" s="22" t="n"/>
      <c r="I11" s="11" t="n"/>
      <c r="J11" s="22" t="n"/>
      <c r="K11" s="11" t="n"/>
      <c r="L11" t="inlineStr">
        <is>
          <t>Typology drawing R01</t>
        </is>
      </c>
      <c r="M11">
        <f>Config!$B$3&amp;"?room="&amp;A11</f>
        <v/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 ht="15" customHeight="1">
      <c r="A12" t="inlineStr">
        <is>
          <t>A-L02-K01C-02</t>
        </is>
      </c>
      <c r="B12" t="inlineStr">
        <is>
          <t>Tower A</t>
        </is>
      </c>
      <c r="C12" t="inlineStr">
        <is>
          <t>L02</t>
        </is>
      </c>
      <c r="D12" t="inlineStr">
        <is>
          <t>AL02G31</t>
        </is>
      </c>
      <c r="E12" t="inlineStr">
        <is>
          <t>K01C</t>
        </is>
      </c>
      <c r="F12" t="inlineStr">
        <is>
          <t>King</t>
        </is>
      </c>
      <c r="G12" s="11" t="n"/>
      <c r="H12" s="22" t="n"/>
      <c r="I12" s="11" t="n"/>
      <c r="J12" s="22" t="n"/>
      <c r="K12" s="11" t="n"/>
      <c r="L12" t="inlineStr">
        <is>
          <t>Typology drawing R01</t>
        </is>
      </c>
      <c r="M12">
        <f>Config!$B$3&amp;"?room="&amp;A12</f>
        <v/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 ht="15" customHeight="1">
      <c r="A13" t="inlineStr">
        <is>
          <t>A-L02-K01C-03</t>
        </is>
      </c>
      <c r="B13" t="inlineStr">
        <is>
          <t>Tower A</t>
        </is>
      </c>
      <c r="C13" t="inlineStr">
        <is>
          <t>L02</t>
        </is>
      </c>
      <c r="D13" t="inlineStr">
        <is>
          <t>AL02G35</t>
        </is>
      </c>
      <c r="E13" t="inlineStr">
        <is>
          <t>K01C</t>
        </is>
      </c>
      <c r="F13" t="inlineStr">
        <is>
          <t>King</t>
        </is>
      </c>
      <c r="G13" s="11" t="n"/>
      <c r="H13" s="22" t="n"/>
      <c r="I13" s="11" t="n"/>
      <c r="J13" s="22" t="n"/>
      <c r="K13" s="11" t="n"/>
      <c r="L13" t="inlineStr">
        <is>
          <t>Typology drawing R01</t>
        </is>
      </c>
      <c r="M13">
        <f>Config!$B$3&amp;"?room="&amp;A13</f>
        <v/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 ht="15" customHeight="1">
      <c r="A14" t="inlineStr">
        <is>
          <t>A-L02-K01D</t>
        </is>
      </c>
      <c r="B14" t="inlineStr">
        <is>
          <t>Tower A</t>
        </is>
      </c>
      <c r="C14" t="inlineStr">
        <is>
          <t>L02</t>
        </is>
      </c>
      <c r="D14" t="inlineStr">
        <is>
          <t>AL02G39</t>
        </is>
      </c>
      <c r="E14" t="inlineStr">
        <is>
          <t>K01D</t>
        </is>
      </c>
      <c r="F14" t="inlineStr">
        <is>
          <t>King</t>
        </is>
      </c>
      <c r="G14" s="11" t="n"/>
      <c r="H14" s="22" t="n"/>
      <c r="I14" s="11" t="n"/>
      <c r="J14" s="22" t="n"/>
      <c r="K14" s="11" t="n"/>
      <c r="L14" t="inlineStr">
        <is>
          <t>Typology drawing R01</t>
        </is>
      </c>
      <c r="M14">
        <f>Config!$B$3&amp;"?room="&amp;A14</f>
        <v/>
      </c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 ht="15" customHeight="1">
      <c r="A15" t="inlineStr">
        <is>
          <t>A-L02-K02-01</t>
        </is>
      </c>
      <c r="B15" t="inlineStr">
        <is>
          <t>Tower A</t>
        </is>
      </c>
      <c r="C15" t="inlineStr">
        <is>
          <t>L02</t>
        </is>
      </c>
      <c r="D15" t="inlineStr">
        <is>
          <t>AL02G25</t>
        </is>
      </c>
      <c r="E15" t="inlineStr">
        <is>
          <t>K02</t>
        </is>
      </c>
      <c r="F15" t="inlineStr">
        <is>
          <t>King</t>
        </is>
      </c>
      <c r="G15" s="11" t="n"/>
      <c r="H15" s="22" t="n"/>
      <c r="I15" s="11" t="n"/>
      <c r="J15" s="22" t="n"/>
      <c r="K15" s="11" t="n"/>
      <c r="L15" t="inlineStr">
        <is>
          <t>Typology drawing R01</t>
        </is>
      </c>
      <c r="M15">
        <f>Config!$B$3&amp;"?room="&amp;A15</f>
        <v/>
      </c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 ht="15" customHeight="1">
      <c r="A16" t="inlineStr">
        <is>
          <t>A-L02-K02-02</t>
        </is>
      </c>
      <c r="B16" t="inlineStr">
        <is>
          <t>Tower A</t>
        </is>
      </c>
      <c r="C16" t="inlineStr">
        <is>
          <t>L02</t>
        </is>
      </c>
      <c r="D16" t="inlineStr">
        <is>
          <t>AL02G29</t>
        </is>
      </c>
      <c r="E16" t="inlineStr">
        <is>
          <t>K02</t>
        </is>
      </c>
      <c r="F16" t="inlineStr">
        <is>
          <t>King</t>
        </is>
      </c>
      <c r="G16" s="11" t="n"/>
      <c r="H16" s="22" t="n"/>
      <c r="I16" s="11" t="n"/>
      <c r="J16" s="22" t="n"/>
      <c r="K16" s="11" t="n"/>
      <c r="L16" t="inlineStr">
        <is>
          <t>Typology drawing R01</t>
        </is>
      </c>
      <c r="M16">
        <f>Config!$B$3&amp;"?room="&amp;A16</f>
        <v/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 ht="15" customHeight="1">
      <c r="A17" t="inlineStr">
        <is>
          <t>A-L02-K02B-01</t>
        </is>
      </c>
      <c r="B17" t="inlineStr">
        <is>
          <t>Tower A</t>
        </is>
      </c>
      <c r="C17" t="inlineStr">
        <is>
          <t>L02</t>
        </is>
      </c>
      <c r="D17" t="inlineStr">
        <is>
          <t>AL02G24</t>
        </is>
      </c>
      <c r="E17" t="inlineStr">
        <is>
          <t>K02B</t>
        </is>
      </c>
      <c r="F17" t="inlineStr">
        <is>
          <t>King</t>
        </is>
      </c>
      <c r="G17" s="11" t="n"/>
      <c r="H17" s="22" t="n"/>
      <c r="I17" s="11" t="n"/>
      <c r="J17" s="22" t="n"/>
      <c r="K17" s="11" t="n"/>
      <c r="L17" t="inlineStr">
        <is>
          <t>Typology drawing R01</t>
        </is>
      </c>
      <c r="M17">
        <f>Config!$B$3&amp;"?room="&amp;A17</f>
        <v/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 ht="15" customHeight="1">
      <c r="A18" t="inlineStr">
        <is>
          <t>A-L02-K02B-02</t>
        </is>
      </c>
      <c r="B18" t="inlineStr">
        <is>
          <t>Tower A</t>
        </is>
      </c>
      <c r="C18" t="inlineStr">
        <is>
          <t>L02</t>
        </is>
      </c>
      <c r="D18" t="inlineStr">
        <is>
          <t>AL02G28</t>
        </is>
      </c>
      <c r="E18" t="inlineStr">
        <is>
          <t>K02B</t>
        </is>
      </c>
      <c r="F18" t="inlineStr">
        <is>
          <t>King</t>
        </is>
      </c>
      <c r="G18" s="11" t="n"/>
      <c r="H18" s="22" t="n"/>
      <c r="I18" s="11" t="n"/>
      <c r="J18" s="22" t="n"/>
      <c r="K18" s="11" t="n"/>
      <c r="L18" t="inlineStr">
        <is>
          <t>Typology drawing R01</t>
        </is>
      </c>
      <c r="M18">
        <f>Config!$B$3&amp;"?room="&amp;A18</f>
        <v/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 ht="15" customHeight="1">
      <c r="A19" t="inlineStr">
        <is>
          <t>A-L02-K02B-03</t>
        </is>
      </c>
      <c r="B19" t="inlineStr">
        <is>
          <t>Tower A</t>
        </is>
      </c>
      <c r="C19" t="inlineStr">
        <is>
          <t>L02</t>
        </is>
      </c>
      <c r="D19" t="inlineStr">
        <is>
          <t>AL02G36</t>
        </is>
      </c>
      <c r="E19" t="inlineStr">
        <is>
          <t>K02B</t>
        </is>
      </c>
      <c r="F19" t="inlineStr">
        <is>
          <t>King</t>
        </is>
      </c>
      <c r="G19" s="11" t="n"/>
      <c r="H19" s="22" t="n"/>
      <c r="I19" s="11" t="n"/>
      <c r="J19" s="22" t="n"/>
      <c r="K19" s="11" t="n"/>
      <c r="L19" t="inlineStr">
        <is>
          <t>Typology drawing R01</t>
        </is>
      </c>
      <c r="M19">
        <f>Config!$B$3&amp;"?room="&amp;A19</f>
        <v/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 ht="15" customHeight="1">
      <c r="A20" t="inlineStr">
        <is>
          <t>A-L02-K02C2-01</t>
        </is>
      </c>
      <c r="B20" t="inlineStr">
        <is>
          <t>Tower A</t>
        </is>
      </c>
      <c r="C20" t="inlineStr">
        <is>
          <t>L02</t>
        </is>
      </c>
      <c r="D20" t="inlineStr">
        <is>
          <t>AL02G20</t>
        </is>
      </c>
      <c r="E20" t="inlineStr">
        <is>
          <t>K02C2</t>
        </is>
      </c>
      <c r="F20" t="inlineStr">
        <is>
          <t>King</t>
        </is>
      </c>
      <c r="G20" s="11" t="n"/>
      <c r="H20" s="22" t="n"/>
      <c r="I20" s="11" t="n"/>
      <c r="J20" s="22" t="n"/>
      <c r="K20" s="11" t="n"/>
      <c r="L20" t="inlineStr">
        <is>
          <t>Typology drawing R01</t>
        </is>
      </c>
      <c r="M20">
        <f>Config!$B$3&amp;"?room="&amp;A20</f>
        <v/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 ht="15" customHeight="1">
      <c r="A21" t="inlineStr">
        <is>
          <t>A-L02-K02C2-02</t>
        </is>
      </c>
      <c r="B21" t="inlineStr">
        <is>
          <t>Tower A</t>
        </is>
      </c>
      <c r="C21" t="inlineStr">
        <is>
          <t>L02</t>
        </is>
      </c>
      <c r="D21" t="inlineStr">
        <is>
          <t>AL02G32</t>
        </is>
      </c>
      <c r="E21" t="inlineStr">
        <is>
          <t>K02C2</t>
        </is>
      </c>
      <c r="F21" t="inlineStr">
        <is>
          <t>King</t>
        </is>
      </c>
      <c r="G21" s="11" t="n"/>
      <c r="H21" s="22" t="n"/>
      <c r="I21" s="11" t="n"/>
      <c r="J21" s="22" t="n"/>
      <c r="K21" s="11" t="n"/>
      <c r="L21" t="inlineStr">
        <is>
          <t>Typology drawing R01</t>
        </is>
      </c>
      <c r="M21">
        <f>Config!$B$3&amp;"?room="&amp;A21</f>
        <v/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 ht="15" customHeight="1">
      <c r="A22" t="inlineStr">
        <is>
          <t>A-L02-K02D1</t>
        </is>
      </c>
      <c r="B22" t="inlineStr">
        <is>
          <t>Tower A</t>
        </is>
      </c>
      <c r="C22" t="inlineStr">
        <is>
          <t>L02</t>
        </is>
      </c>
      <c r="D22" t="inlineStr">
        <is>
          <t>AL02G12</t>
        </is>
      </c>
      <c r="E22" t="inlineStr">
        <is>
          <t>K02D1</t>
        </is>
      </c>
      <c r="F22" t="inlineStr">
        <is>
          <t>King</t>
        </is>
      </c>
      <c r="G22" s="11" t="n"/>
      <c r="H22" s="22" t="n"/>
      <c r="I22" s="11" t="n"/>
      <c r="J22" s="22" t="n"/>
      <c r="K22" s="11" t="n"/>
      <c r="L22" t="inlineStr">
        <is>
          <t>Typology drawing R01</t>
        </is>
      </c>
      <c r="M22">
        <f>Config!$B$3&amp;"?room="&amp;A22</f>
        <v/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 ht="15" customHeight="1">
      <c r="A23" t="inlineStr">
        <is>
          <t>A-L02-Q01</t>
        </is>
      </c>
      <c r="B23" t="inlineStr">
        <is>
          <t>Tower A</t>
        </is>
      </c>
      <c r="C23" t="inlineStr">
        <is>
          <t>L02</t>
        </is>
      </c>
      <c r="D23" t="inlineStr">
        <is>
          <t>AL02G21</t>
        </is>
      </c>
      <c r="E23" t="inlineStr">
        <is>
          <t>Q01</t>
        </is>
      </c>
      <c r="F23" t="inlineStr">
        <is>
          <t>Queen</t>
        </is>
      </c>
      <c r="G23" s="11" t="n"/>
      <c r="H23" s="22" t="n"/>
      <c r="I23" s="11" t="n"/>
      <c r="J23" s="22" t="n"/>
      <c r="K23" s="11" t="n"/>
      <c r="L23" t="inlineStr">
        <is>
          <t>Typology drawing R01</t>
        </is>
      </c>
      <c r="M23">
        <f>Config!$B$3&amp;"?room="&amp;A23</f>
        <v/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 ht="15" customHeight="1">
      <c r="A24" t="inlineStr">
        <is>
          <t>A-L02-Q01C-01</t>
        </is>
      </c>
      <c r="B24" t="inlineStr">
        <is>
          <t>Tower A</t>
        </is>
      </c>
      <c r="C24" t="inlineStr">
        <is>
          <t>L02</t>
        </is>
      </c>
      <c r="D24" t="inlineStr">
        <is>
          <t>AL02G05</t>
        </is>
      </c>
      <c r="E24" t="inlineStr">
        <is>
          <t>Q01C</t>
        </is>
      </c>
      <c r="F24" t="inlineStr">
        <is>
          <t>Queen</t>
        </is>
      </c>
      <c r="G24" s="11" t="n"/>
      <c r="H24" s="22" t="n"/>
      <c r="I24" s="11" t="n"/>
      <c r="J24" s="22" t="n"/>
      <c r="K24" s="11" t="n"/>
      <c r="L24" t="inlineStr">
        <is>
          <t>Typology drawing R01</t>
        </is>
      </c>
      <c r="M24">
        <f>Config!$B$3&amp;"?room="&amp;A24</f>
        <v/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 ht="15" customHeight="1">
      <c r="A25" t="inlineStr">
        <is>
          <t>A-L02-Q01C-02</t>
        </is>
      </c>
      <c r="B25" t="inlineStr">
        <is>
          <t>Tower A</t>
        </is>
      </c>
      <c r="C25" t="inlineStr">
        <is>
          <t>L02</t>
        </is>
      </c>
      <c r="D25" t="inlineStr">
        <is>
          <t>AL02G09</t>
        </is>
      </c>
      <c r="E25" t="inlineStr">
        <is>
          <t>Q01C</t>
        </is>
      </c>
      <c r="F25" t="inlineStr">
        <is>
          <t>Queen</t>
        </is>
      </c>
      <c r="G25" s="11" t="n"/>
      <c r="H25" s="22" t="n"/>
      <c r="I25" s="11" t="n"/>
      <c r="J25" s="22" t="n"/>
      <c r="K25" s="11" t="n"/>
      <c r="L25" t="inlineStr">
        <is>
          <t>Typology drawing R01</t>
        </is>
      </c>
      <c r="M25">
        <f>Config!$B$3&amp;"?room="&amp;A25</f>
        <v/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 ht="15" customHeight="1">
      <c r="A26" t="inlineStr">
        <is>
          <t>A-L02-Q01C-03</t>
        </is>
      </c>
      <c r="B26" t="inlineStr">
        <is>
          <t>Tower A</t>
        </is>
      </c>
      <c r="C26" t="inlineStr">
        <is>
          <t>L02</t>
        </is>
      </c>
      <c r="D26" t="inlineStr">
        <is>
          <t>AL02G33</t>
        </is>
      </c>
      <c r="E26" t="inlineStr">
        <is>
          <t>Q01C</t>
        </is>
      </c>
      <c r="F26" t="inlineStr">
        <is>
          <t>Queen</t>
        </is>
      </c>
      <c r="G26" s="11" t="n"/>
      <c r="H26" s="22" t="n"/>
      <c r="I26" s="11" t="n"/>
      <c r="J26" s="22" t="n"/>
      <c r="K26" s="11" t="n"/>
      <c r="L26" t="inlineStr">
        <is>
          <t>Typology drawing R01</t>
        </is>
      </c>
      <c r="M26">
        <f>Config!$B$3&amp;"?room="&amp;A26</f>
        <v/>
      </c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 ht="15" customHeight="1">
      <c r="A27" t="inlineStr">
        <is>
          <t>A-L02-Q01C1</t>
        </is>
      </c>
      <c r="B27" t="inlineStr">
        <is>
          <t>Tower A</t>
        </is>
      </c>
      <c r="C27" t="inlineStr">
        <is>
          <t>L02</t>
        </is>
      </c>
      <c r="D27" t="inlineStr">
        <is>
          <t>AL02G14</t>
        </is>
      </c>
      <c r="E27" t="inlineStr">
        <is>
          <t>Q01C1</t>
        </is>
      </c>
      <c r="F27" t="inlineStr">
        <is>
          <t>Queen</t>
        </is>
      </c>
      <c r="G27" s="11" t="n"/>
      <c r="H27" s="22" t="n"/>
      <c r="I27" s="11" t="n"/>
      <c r="J27" s="22" t="n"/>
      <c r="K27" s="11" t="n"/>
      <c r="L27" t="inlineStr">
        <is>
          <t>Typology drawing R01</t>
        </is>
      </c>
      <c r="M27">
        <f>Config!$B$3&amp;"?room="&amp;A27</f>
        <v/>
      </c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 ht="15" customHeight="1">
      <c r="A28" t="inlineStr">
        <is>
          <t>A-L02-Q02A</t>
        </is>
      </c>
      <c r="B28" t="inlineStr">
        <is>
          <t>Tower A</t>
        </is>
      </c>
      <c r="C28" t="inlineStr">
        <is>
          <t>L02</t>
        </is>
      </c>
      <c r="D28" t="inlineStr">
        <is>
          <t>AL02G10</t>
        </is>
      </c>
      <c r="E28" t="inlineStr">
        <is>
          <t>Q02A</t>
        </is>
      </c>
      <c r="F28" t="inlineStr">
        <is>
          <t>Queen</t>
        </is>
      </c>
      <c r="G28" s="11" t="n"/>
      <c r="H28" s="22" t="n"/>
      <c r="I28" s="11" t="n"/>
      <c r="J28" s="22" t="n"/>
      <c r="K28" s="11" t="n"/>
      <c r="L28" t="inlineStr">
        <is>
          <t>Typology drawing R01</t>
        </is>
      </c>
      <c r="M28">
        <f>Config!$B$3&amp;"?room="&amp;A28</f>
        <v/>
      </c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 ht="15" customHeight="1">
      <c r="A29" t="inlineStr">
        <is>
          <t>A-L02-Q02C2-01</t>
        </is>
      </c>
      <c r="B29" t="inlineStr">
        <is>
          <t>Tower A</t>
        </is>
      </c>
      <c r="C29" t="inlineStr">
        <is>
          <t>L02</t>
        </is>
      </c>
      <c r="D29" t="inlineStr">
        <is>
          <t>AL02G22</t>
        </is>
      </c>
      <c r="E29" t="inlineStr">
        <is>
          <t>Q02C2</t>
        </is>
      </c>
      <c r="F29" t="inlineStr">
        <is>
          <t>Queen</t>
        </is>
      </c>
      <c r="G29" s="11" t="n"/>
      <c r="H29" s="22" t="n"/>
      <c r="I29" s="11" t="n"/>
      <c r="J29" s="22" t="n"/>
      <c r="K29" s="11" t="n"/>
      <c r="L29" t="inlineStr">
        <is>
          <t>Typology drawing R01</t>
        </is>
      </c>
      <c r="M29">
        <f>Config!$B$3&amp;"?room="&amp;A29</f>
        <v/>
      </c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 ht="15" customHeight="1">
      <c r="A30" t="inlineStr">
        <is>
          <t>A-L02-Q02C2-02</t>
        </is>
      </c>
      <c r="B30" t="inlineStr">
        <is>
          <t>Tower A</t>
        </is>
      </c>
      <c r="C30" t="inlineStr">
        <is>
          <t>L02</t>
        </is>
      </c>
      <c r="D30" t="inlineStr">
        <is>
          <t>AL02G34</t>
        </is>
      </c>
      <c r="E30" t="inlineStr">
        <is>
          <t>Q02C2</t>
        </is>
      </c>
      <c r="F30" t="inlineStr">
        <is>
          <t>Queen</t>
        </is>
      </c>
      <c r="G30" s="11" t="n"/>
      <c r="H30" s="22" t="n"/>
      <c r="I30" s="11" t="n"/>
      <c r="J30" s="22" t="n"/>
      <c r="K30" s="11" t="n"/>
      <c r="L30" t="inlineStr">
        <is>
          <t>Typology drawing R01</t>
        </is>
      </c>
      <c r="M30">
        <f>Config!$B$3&amp;"?room="&amp;A30</f>
        <v/>
      </c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 ht="15" customHeight="1">
      <c r="A31" t="inlineStr">
        <is>
          <t>A-L02-Q02E</t>
        </is>
      </c>
      <c r="B31" t="inlineStr">
        <is>
          <t>Tower A</t>
        </is>
      </c>
      <c r="C31" t="inlineStr">
        <is>
          <t>L02</t>
        </is>
      </c>
      <c r="D31" t="inlineStr">
        <is>
          <t>AL02G41</t>
        </is>
      </c>
      <c r="E31" t="inlineStr">
        <is>
          <t>Q02E</t>
        </is>
      </c>
      <c r="F31" t="inlineStr">
        <is>
          <t>Queen</t>
        </is>
      </c>
      <c r="G31" s="11" t="n"/>
      <c r="H31" s="22" t="n"/>
      <c r="I31" s="11" t="n"/>
      <c r="J31" s="22" t="n"/>
      <c r="K31" s="11" t="n"/>
      <c r="L31" t="inlineStr">
        <is>
          <t>Typology drawing R01</t>
        </is>
      </c>
      <c r="M31">
        <f>Config!$B$3&amp;"?room="&amp;A31</f>
        <v/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 ht="15" customHeight="1">
      <c r="A32" t="inlineStr">
        <is>
          <t>A-L02-Q03</t>
        </is>
      </c>
      <c r="B32" t="inlineStr">
        <is>
          <t>Tower A</t>
        </is>
      </c>
      <c r="C32" t="inlineStr">
        <is>
          <t>L02</t>
        </is>
      </c>
      <c r="D32" t="inlineStr">
        <is>
          <t>AL02G08</t>
        </is>
      </c>
      <c r="E32" t="inlineStr">
        <is>
          <t>Q03</t>
        </is>
      </c>
      <c r="F32" t="inlineStr">
        <is>
          <t>Queen</t>
        </is>
      </c>
      <c r="G32" s="11" t="n"/>
      <c r="H32" s="22" t="n"/>
      <c r="I32" s="11" t="n"/>
      <c r="J32" s="22" t="n"/>
      <c r="K32" s="11" t="n"/>
      <c r="L32" t="inlineStr">
        <is>
          <t>Typology drawing R01</t>
        </is>
      </c>
      <c r="M32">
        <f>Config!$B$3&amp;"?room="&amp;A32</f>
        <v/>
      </c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 ht="15" customHeight="1">
      <c r="A33" t="inlineStr">
        <is>
          <t>A-L02-QADA1</t>
        </is>
      </c>
      <c r="B33" t="inlineStr">
        <is>
          <t>Tower A</t>
        </is>
      </c>
      <c r="C33" t="inlineStr">
        <is>
          <t>L02</t>
        </is>
      </c>
      <c r="D33" t="inlineStr">
        <is>
          <t>AL02G37</t>
        </is>
      </c>
      <c r="E33" t="inlineStr">
        <is>
          <t>QADA1</t>
        </is>
      </c>
      <c r="F33" t="inlineStr">
        <is>
          <t>Queen ADA</t>
        </is>
      </c>
      <c r="G33" s="11" t="n"/>
      <c r="H33" s="22" t="n"/>
      <c r="I33" s="11" t="n"/>
      <c r="J33" s="22" t="n"/>
      <c r="K33" s="11" t="n"/>
      <c r="L33" t="inlineStr">
        <is>
          <t>Typology drawing R01</t>
        </is>
      </c>
      <c r="M33">
        <f>Config!$B$3&amp;"?room="&amp;A33</f>
        <v/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 ht="15" customHeight="1">
      <c r="A34" t="inlineStr">
        <is>
          <t>A-L02-S05</t>
        </is>
      </c>
      <c r="B34" t="inlineStr">
        <is>
          <t>Tower A</t>
        </is>
      </c>
      <c r="C34" t="inlineStr">
        <is>
          <t>L02</t>
        </is>
      </c>
      <c r="D34" t="inlineStr">
        <is>
          <t>AL02G16</t>
        </is>
      </c>
      <c r="E34" t="inlineStr">
        <is>
          <t>S05</t>
        </is>
      </c>
      <c r="F34" t="inlineStr">
        <is>
          <t>Suite</t>
        </is>
      </c>
      <c r="G34" s="11" t="n"/>
      <c r="H34" s="22" t="n"/>
      <c r="I34" s="11" t="n"/>
      <c r="J34" s="22" t="n"/>
      <c r="K34" s="11" t="n"/>
      <c r="L34" t="inlineStr">
        <is>
          <t>Typology drawing R01</t>
        </is>
      </c>
      <c r="M34">
        <f>Config!$B$3&amp;"?room="&amp;A34</f>
        <v/>
      </c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 ht="15" customHeight="1">
      <c r="A35" t="inlineStr">
        <is>
          <t>A-L02-S06</t>
        </is>
      </c>
      <c r="B35" t="inlineStr">
        <is>
          <t>Tower A</t>
        </is>
      </c>
      <c r="C35" t="inlineStr">
        <is>
          <t>L02</t>
        </is>
      </c>
      <c r="D35" t="inlineStr">
        <is>
          <t>AL02G43</t>
        </is>
      </c>
      <c r="E35" t="inlineStr">
        <is>
          <t>S06</t>
        </is>
      </c>
      <c r="F35" t="inlineStr">
        <is>
          <t>Suite</t>
        </is>
      </c>
      <c r="G35" s="11" t="n"/>
      <c r="H35" s="22" t="n"/>
      <c r="I35" s="11" t="n"/>
      <c r="J35" s="22" t="n"/>
      <c r="K35" s="11" t="n"/>
      <c r="L35" t="inlineStr">
        <is>
          <t>Typology drawing R01</t>
        </is>
      </c>
      <c r="M35">
        <f>Config!$B$3&amp;"?room="&amp;A35</f>
        <v/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 ht="15" customHeight="1">
      <c r="A36" t="inlineStr">
        <is>
          <t>A-L03-F03</t>
        </is>
      </c>
      <c r="B36" t="inlineStr">
        <is>
          <t>Tower A</t>
        </is>
      </c>
      <c r="C36" t="inlineStr">
        <is>
          <t>L03</t>
        </is>
      </c>
      <c r="D36" t="inlineStr">
        <is>
          <t>AL03G03</t>
        </is>
      </c>
      <c r="E36" t="inlineStr">
        <is>
          <t>F03</t>
        </is>
      </c>
      <c r="F36" t="inlineStr">
        <is>
          <t>Family</t>
        </is>
      </c>
      <c r="G36" s="11" t="n"/>
      <c r="H36" s="22" t="n"/>
      <c r="I36" s="11" t="n"/>
      <c r="J36" s="22" t="n"/>
      <c r="K36" s="11" t="n"/>
      <c r="L36" t="inlineStr">
        <is>
          <t>Typology drawing R01</t>
        </is>
      </c>
      <c r="M36">
        <f>Config!$B$3&amp;"?room="&amp;A36</f>
        <v/>
      </c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 ht="15" customHeight="1">
      <c r="A37" t="inlineStr">
        <is>
          <t>A-L03-F03A</t>
        </is>
      </c>
      <c r="B37" t="inlineStr">
        <is>
          <t>Tower A</t>
        </is>
      </c>
      <c r="C37" t="inlineStr">
        <is>
          <t>L03</t>
        </is>
      </c>
      <c r="D37" t="inlineStr">
        <is>
          <t>AL03G04</t>
        </is>
      </c>
      <c r="E37" t="inlineStr">
        <is>
          <t>F03A</t>
        </is>
      </c>
      <c r="F37" t="inlineStr">
        <is>
          <t>Family</t>
        </is>
      </c>
      <c r="G37" s="11" t="n"/>
      <c r="H37" s="22" t="n"/>
      <c r="I37" s="11" t="n"/>
      <c r="J37" s="22" t="n"/>
      <c r="K37" s="11" t="n"/>
      <c r="L37" t="inlineStr">
        <is>
          <t>Typology drawing R01</t>
        </is>
      </c>
      <c r="M37">
        <f>Config!$B$3&amp;"?room="&amp;A37</f>
        <v/>
      </c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 ht="15" customHeight="1">
      <c r="A38" t="inlineStr">
        <is>
          <t>A-L03-F04</t>
        </is>
      </c>
      <c r="B38" t="inlineStr">
        <is>
          <t>Tower A</t>
        </is>
      </c>
      <c r="C38" t="inlineStr">
        <is>
          <t>L03</t>
        </is>
      </c>
      <c r="D38" t="inlineStr">
        <is>
          <t>AL03G11</t>
        </is>
      </c>
      <c r="E38" t="inlineStr">
        <is>
          <t>F04</t>
        </is>
      </c>
      <c r="F38" t="inlineStr">
        <is>
          <t>Family</t>
        </is>
      </c>
      <c r="G38" s="11" t="n"/>
      <c r="H38" s="22" t="n"/>
      <c r="I38" s="11" t="n"/>
      <c r="J38" s="22" t="n"/>
      <c r="K38" s="11" t="n"/>
      <c r="L38" t="inlineStr">
        <is>
          <t>Typology drawing R01</t>
        </is>
      </c>
      <c r="M38">
        <f>Config!$B$3&amp;"?room="&amp;A38</f>
        <v/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 ht="15" customHeight="1">
      <c r="A39" t="inlineStr">
        <is>
          <t>A-L03-F05</t>
        </is>
      </c>
      <c r="B39" t="inlineStr">
        <is>
          <t>Tower A</t>
        </is>
      </c>
      <c r="C39" t="inlineStr">
        <is>
          <t>L03</t>
        </is>
      </c>
      <c r="D39" t="inlineStr">
        <is>
          <t>AL03G46</t>
        </is>
      </c>
      <c r="E39" t="inlineStr">
        <is>
          <t>F05</t>
        </is>
      </c>
      <c r="F39" t="inlineStr">
        <is>
          <t>Family</t>
        </is>
      </c>
      <c r="G39" s="11" t="n"/>
      <c r="H39" s="22" t="n"/>
      <c r="I39" s="11" t="n"/>
      <c r="J39" s="22" t="n"/>
      <c r="K39" s="11" t="n"/>
      <c r="L39" t="inlineStr">
        <is>
          <t>Typology drawing R01</t>
        </is>
      </c>
      <c r="M39">
        <f>Config!$B$3&amp;"?room="&amp;A39</f>
        <v/>
      </c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 ht="15" customHeight="1">
      <c r="A40" t="inlineStr">
        <is>
          <t>A-L03-K01-01</t>
        </is>
      </c>
      <c r="B40" t="inlineStr">
        <is>
          <t>Tower A</t>
        </is>
      </c>
      <c r="C40" t="inlineStr">
        <is>
          <t>L03</t>
        </is>
      </c>
      <c r="D40" t="inlineStr">
        <is>
          <t>AL03G19</t>
        </is>
      </c>
      <c r="E40" t="inlineStr">
        <is>
          <t>K01</t>
        </is>
      </c>
      <c r="F40" t="inlineStr">
        <is>
          <t>King</t>
        </is>
      </c>
      <c r="G40" s="11" t="n"/>
      <c r="H40" s="22" t="n"/>
      <c r="I40" s="11" t="n"/>
      <c r="J40" s="22" t="n"/>
      <c r="K40" s="11" t="n"/>
      <c r="L40" t="inlineStr">
        <is>
          <t>Typology drawing R01</t>
        </is>
      </c>
      <c r="M40">
        <f>Config!$B$3&amp;"?room="&amp;A40</f>
        <v/>
      </c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 ht="15" customHeight="1">
      <c r="A41" t="inlineStr">
        <is>
          <t>A-L03-K01-02</t>
        </is>
      </c>
      <c r="B41" t="inlineStr">
        <is>
          <t>Tower A</t>
        </is>
      </c>
      <c r="C41" t="inlineStr">
        <is>
          <t>L03</t>
        </is>
      </c>
      <c r="D41" t="inlineStr">
        <is>
          <t>AL03G23</t>
        </is>
      </c>
      <c r="E41" t="inlineStr">
        <is>
          <t>K01</t>
        </is>
      </c>
      <c r="F41" t="inlineStr">
        <is>
          <t>King</t>
        </is>
      </c>
      <c r="G41" s="11" t="n"/>
      <c r="H41" s="22" t="n"/>
      <c r="I41" s="11" t="n"/>
      <c r="J41" s="22" t="n"/>
      <c r="K41" s="11" t="n"/>
      <c r="L41" t="inlineStr">
        <is>
          <t>Typology drawing R01</t>
        </is>
      </c>
      <c r="M41">
        <f>Config!$B$3&amp;"?room="&amp;A41</f>
        <v/>
      </c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 ht="15" customHeight="1">
      <c r="A42" t="inlineStr">
        <is>
          <t>A-L03-K01-03</t>
        </is>
      </c>
      <c r="B42" t="inlineStr">
        <is>
          <t>Tower A</t>
        </is>
      </c>
      <c r="C42" t="inlineStr">
        <is>
          <t>L03</t>
        </is>
      </c>
      <c r="D42" t="inlineStr">
        <is>
          <t>AL03G27</t>
        </is>
      </c>
      <c r="E42" t="inlineStr">
        <is>
          <t>K01</t>
        </is>
      </c>
      <c r="F42" t="inlineStr">
        <is>
          <t>King</t>
        </is>
      </c>
      <c r="G42" s="11" t="n"/>
      <c r="H42" s="22" t="n"/>
      <c r="I42" s="11" t="n"/>
      <c r="J42" s="22" t="n"/>
      <c r="K42" s="11" t="n"/>
      <c r="L42" t="inlineStr">
        <is>
          <t>Typology drawing R01</t>
        </is>
      </c>
      <c r="M42">
        <f>Config!$B$3&amp;"?room="&amp;A42</f>
        <v/>
      </c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 ht="15" customHeight="1">
      <c r="A43" t="inlineStr">
        <is>
          <t>A-L03-K01B-01</t>
        </is>
      </c>
      <c r="B43" t="inlineStr">
        <is>
          <t>Tower A</t>
        </is>
      </c>
      <c r="C43" t="inlineStr">
        <is>
          <t>L03</t>
        </is>
      </c>
      <c r="D43" t="inlineStr">
        <is>
          <t>AL03G26</t>
        </is>
      </c>
      <c r="E43" t="inlineStr">
        <is>
          <t>K01B</t>
        </is>
      </c>
      <c r="F43" t="inlineStr">
        <is>
          <t>King</t>
        </is>
      </c>
      <c r="G43" s="11" t="n"/>
      <c r="H43" s="22" t="n"/>
      <c r="I43" s="11" t="n"/>
      <c r="J43" s="22" t="n"/>
      <c r="K43" s="11" t="n"/>
      <c r="L43" t="inlineStr">
        <is>
          <t>Typology drawing R01</t>
        </is>
      </c>
      <c r="M43">
        <f>Config!$B$3&amp;"?room="&amp;A43</f>
        <v/>
      </c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 ht="15" customHeight="1">
      <c r="A44" t="inlineStr">
        <is>
          <t>A-L03-K01B-02</t>
        </is>
      </c>
      <c r="B44" t="inlineStr">
        <is>
          <t>Tower A</t>
        </is>
      </c>
      <c r="C44" t="inlineStr">
        <is>
          <t>L03</t>
        </is>
      </c>
      <c r="D44" t="inlineStr">
        <is>
          <t>AL03G30</t>
        </is>
      </c>
      <c r="E44" t="inlineStr">
        <is>
          <t>K01B</t>
        </is>
      </c>
      <c r="F44" t="inlineStr">
        <is>
          <t>King</t>
        </is>
      </c>
      <c r="G44" s="11" t="n"/>
      <c r="H44" s="22" t="n"/>
      <c r="I44" s="11" t="n"/>
      <c r="J44" s="22" t="n"/>
      <c r="K44" s="11" t="n"/>
      <c r="L44" t="inlineStr">
        <is>
          <t>Typology drawing R01</t>
        </is>
      </c>
      <c r="M44">
        <f>Config!$B$3&amp;"?room="&amp;A44</f>
        <v/>
      </c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 ht="15" customHeight="1">
      <c r="A45" t="inlineStr">
        <is>
          <t>A-L03-K01C-01</t>
        </is>
      </c>
      <c r="B45" t="inlineStr">
        <is>
          <t>Tower A</t>
        </is>
      </c>
      <c r="C45" t="inlineStr">
        <is>
          <t>L03</t>
        </is>
      </c>
      <c r="D45" t="inlineStr">
        <is>
          <t>AL03G07</t>
        </is>
      </c>
      <c r="E45" t="inlineStr">
        <is>
          <t>K01C</t>
        </is>
      </c>
      <c r="F45" t="inlineStr">
        <is>
          <t>King</t>
        </is>
      </c>
      <c r="G45" s="11" t="n"/>
      <c r="H45" s="22" t="n"/>
      <c r="I45" s="11" t="n"/>
      <c r="J45" s="22" t="n"/>
      <c r="K45" s="11" t="n"/>
      <c r="L45" t="inlineStr">
        <is>
          <t>Typology drawing R01</t>
        </is>
      </c>
      <c r="M45">
        <f>Config!$B$3&amp;"?room="&amp;A45</f>
        <v/>
      </c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 ht="15" customHeight="1">
      <c r="A46" t="inlineStr">
        <is>
          <t>A-L03-K01C-02</t>
        </is>
      </c>
      <c r="B46" t="inlineStr">
        <is>
          <t>Tower A</t>
        </is>
      </c>
      <c r="C46" t="inlineStr">
        <is>
          <t>L03</t>
        </is>
      </c>
      <c r="D46" t="inlineStr">
        <is>
          <t>AL03G31</t>
        </is>
      </c>
      <c r="E46" t="inlineStr">
        <is>
          <t>K01C</t>
        </is>
      </c>
      <c r="F46" t="inlineStr">
        <is>
          <t>King</t>
        </is>
      </c>
      <c r="G46" s="11" t="n"/>
      <c r="H46" s="22" t="n"/>
      <c r="I46" s="11" t="n"/>
      <c r="J46" s="22" t="n"/>
      <c r="K46" s="11" t="n"/>
      <c r="L46" t="inlineStr">
        <is>
          <t>Typology drawing R01</t>
        </is>
      </c>
      <c r="M46">
        <f>Config!$B$3&amp;"?room="&amp;A46</f>
        <v/>
      </c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 ht="15" customHeight="1">
      <c r="A47" t="inlineStr">
        <is>
          <t>A-L03-K01C-03</t>
        </is>
      </c>
      <c r="B47" t="inlineStr">
        <is>
          <t>Tower A</t>
        </is>
      </c>
      <c r="C47" t="inlineStr">
        <is>
          <t>L03</t>
        </is>
      </c>
      <c r="D47" t="inlineStr">
        <is>
          <t>AL03G35</t>
        </is>
      </c>
      <c r="E47" t="inlineStr">
        <is>
          <t>K01C</t>
        </is>
      </c>
      <c r="F47" t="inlineStr">
        <is>
          <t>King</t>
        </is>
      </c>
      <c r="G47" s="11" t="n"/>
      <c r="H47" s="22" t="n"/>
      <c r="I47" s="11" t="n"/>
      <c r="J47" s="22" t="n"/>
      <c r="K47" s="11" t="n"/>
      <c r="L47" t="inlineStr">
        <is>
          <t>Typology drawing R01</t>
        </is>
      </c>
      <c r="M47">
        <f>Config!$B$3&amp;"?room="&amp;A47</f>
        <v/>
      </c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 ht="15" customHeight="1">
      <c r="A48" t="inlineStr">
        <is>
          <t>A-L03-K01D</t>
        </is>
      </c>
      <c r="B48" t="inlineStr">
        <is>
          <t>Tower A</t>
        </is>
      </c>
      <c r="C48" t="inlineStr">
        <is>
          <t>L03</t>
        </is>
      </c>
      <c r="D48" t="inlineStr">
        <is>
          <t>AL03G39</t>
        </is>
      </c>
      <c r="E48" t="inlineStr">
        <is>
          <t>K01D</t>
        </is>
      </c>
      <c r="F48" t="inlineStr">
        <is>
          <t>King</t>
        </is>
      </c>
      <c r="G48" s="11" t="n"/>
      <c r="H48" s="22" t="n"/>
      <c r="I48" s="11" t="n"/>
      <c r="J48" s="22" t="n"/>
      <c r="K48" s="11" t="n"/>
      <c r="L48" t="inlineStr">
        <is>
          <t>Typology drawing R01</t>
        </is>
      </c>
      <c r="M48">
        <f>Config!$B$3&amp;"?room="&amp;A48</f>
        <v/>
      </c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 ht="15" customHeight="1">
      <c r="A49" t="inlineStr">
        <is>
          <t>A-L03-K02-01</t>
        </is>
      </c>
      <c r="B49" t="inlineStr">
        <is>
          <t>Tower A</t>
        </is>
      </c>
      <c r="C49" t="inlineStr">
        <is>
          <t>L03</t>
        </is>
      </c>
      <c r="D49" t="inlineStr">
        <is>
          <t>AL03G25</t>
        </is>
      </c>
      <c r="E49" t="inlineStr">
        <is>
          <t>K02</t>
        </is>
      </c>
      <c r="F49" t="inlineStr">
        <is>
          <t>King</t>
        </is>
      </c>
      <c r="G49" s="11" t="n"/>
      <c r="H49" s="22" t="n"/>
      <c r="I49" s="11" t="n"/>
      <c r="J49" s="22" t="n"/>
      <c r="K49" s="11" t="n"/>
      <c r="L49" t="inlineStr">
        <is>
          <t>Typology drawing R01</t>
        </is>
      </c>
      <c r="M49">
        <f>Config!$B$3&amp;"?room="&amp;A49</f>
        <v/>
      </c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 ht="15" customHeight="1">
      <c r="A50" t="inlineStr">
        <is>
          <t>A-L03-K02-02</t>
        </is>
      </c>
      <c r="B50" t="inlineStr">
        <is>
          <t>Tower A</t>
        </is>
      </c>
      <c r="C50" t="inlineStr">
        <is>
          <t>L03</t>
        </is>
      </c>
      <c r="D50" t="inlineStr">
        <is>
          <t>AL03G29</t>
        </is>
      </c>
      <c r="E50" t="inlineStr">
        <is>
          <t>K02</t>
        </is>
      </c>
      <c r="F50" t="inlineStr">
        <is>
          <t>King</t>
        </is>
      </c>
      <c r="G50" s="11" t="n"/>
      <c r="H50" s="22" t="n"/>
      <c r="I50" s="11" t="n"/>
      <c r="J50" s="22" t="n"/>
      <c r="K50" s="11" t="n"/>
      <c r="L50" t="inlineStr">
        <is>
          <t>Typology drawing R01</t>
        </is>
      </c>
      <c r="M50">
        <f>Config!$B$3&amp;"?room="&amp;A50</f>
        <v/>
      </c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 ht="15" customHeight="1">
      <c r="A51" t="inlineStr">
        <is>
          <t>A-L03-K02B-01</t>
        </is>
      </c>
      <c r="B51" t="inlineStr">
        <is>
          <t>Tower A</t>
        </is>
      </c>
      <c r="C51" t="inlineStr">
        <is>
          <t>L03</t>
        </is>
      </c>
      <c r="D51" t="inlineStr">
        <is>
          <t>AL03G24</t>
        </is>
      </c>
      <c r="E51" t="inlineStr">
        <is>
          <t>K02B</t>
        </is>
      </c>
      <c r="F51" t="inlineStr">
        <is>
          <t>King</t>
        </is>
      </c>
      <c r="G51" s="11" t="n"/>
      <c r="H51" s="22" t="n"/>
      <c r="I51" s="11" t="n"/>
      <c r="J51" s="22" t="n"/>
      <c r="K51" s="11" t="n"/>
      <c r="L51" t="inlineStr">
        <is>
          <t>Typology drawing R01</t>
        </is>
      </c>
      <c r="M51">
        <f>Config!$B$3&amp;"?room="&amp;A51</f>
        <v/>
      </c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 ht="15" customHeight="1">
      <c r="A52" t="inlineStr">
        <is>
          <t>A-L03-K02B-02</t>
        </is>
      </c>
      <c r="B52" t="inlineStr">
        <is>
          <t>Tower A</t>
        </is>
      </c>
      <c r="C52" t="inlineStr">
        <is>
          <t>L03</t>
        </is>
      </c>
      <c r="D52" t="inlineStr">
        <is>
          <t>AL03G28</t>
        </is>
      </c>
      <c r="E52" t="inlineStr">
        <is>
          <t>K02B</t>
        </is>
      </c>
      <c r="F52" t="inlineStr">
        <is>
          <t>King</t>
        </is>
      </c>
      <c r="G52" s="11" t="n"/>
      <c r="H52" s="22" t="n"/>
      <c r="I52" s="11" t="n"/>
      <c r="J52" s="22" t="n"/>
      <c r="K52" s="11" t="n"/>
      <c r="L52" t="inlineStr">
        <is>
          <t>Typology drawing R01</t>
        </is>
      </c>
      <c r="M52">
        <f>Config!$B$3&amp;"?room="&amp;A52</f>
        <v/>
      </c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 ht="15" customHeight="1">
      <c r="A53" t="inlineStr">
        <is>
          <t>A-L03-K02B-03</t>
        </is>
      </c>
      <c r="B53" t="inlineStr">
        <is>
          <t>Tower A</t>
        </is>
      </c>
      <c r="C53" t="inlineStr">
        <is>
          <t>L03</t>
        </is>
      </c>
      <c r="D53" t="inlineStr">
        <is>
          <t>AL03G36</t>
        </is>
      </c>
      <c r="E53" t="inlineStr">
        <is>
          <t>K02B</t>
        </is>
      </c>
      <c r="F53" t="inlineStr">
        <is>
          <t>King</t>
        </is>
      </c>
      <c r="G53" s="11" t="n"/>
      <c r="H53" s="22" t="n"/>
      <c r="I53" s="11" t="n"/>
      <c r="J53" s="22" t="n"/>
      <c r="K53" s="11" t="n"/>
      <c r="L53" t="inlineStr">
        <is>
          <t>Typology drawing R01</t>
        </is>
      </c>
      <c r="M53">
        <f>Config!$B$3&amp;"?room="&amp;A53</f>
        <v/>
      </c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 ht="15" customHeight="1">
      <c r="A54" t="inlineStr">
        <is>
          <t>A-L03-K02C1</t>
        </is>
      </c>
      <c r="B54" t="inlineStr">
        <is>
          <t>Tower A</t>
        </is>
      </c>
      <c r="C54" t="inlineStr">
        <is>
          <t>L03</t>
        </is>
      </c>
      <c r="D54" t="inlineStr">
        <is>
          <t>AL03G08</t>
        </is>
      </c>
      <c r="E54" t="inlineStr">
        <is>
          <t>K02C1</t>
        </is>
      </c>
      <c r="F54" t="inlineStr">
        <is>
          <t>King</t>
        </is>
      </c>
      <c r="G54" s="11" t="n"/>
      <c r="H54" s="22" t="n"/>
      <c r="I54" s="11" t="n"/>
      <c r="J54" s="22" t="n"/>
      <c r="K54" s="11" t="n"/>
      <c r="L54" t="inlineStr">
        <is>
          <t>Typology drawing R01</t>
        </is>
      </c>
      <c r="M54">
        <f>Config!$B$3&amp;"?room="&amp;A54</f>
        <v/>
      </c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 ht="15" customHeight="1">
      <c r="A55" t="inlineStr">
        <is>
          <t>A-L03-K02C2-01</t>
        </is>
      </c>
      <c r="B55" t="inlineStr">
        <is>
          <t>Tower A</t>
        </is>
      </c>
      <c r="C55" t="inlineStr">
        <is>
          <t>L03</t>
        </is>
      </c>
      <c r="D55" t="inlineStr">
        <is>
          <t>AL03G20</t>
        </is>
      </c>
      <c r="E55" t="inlineStr">
        <is>
          <t>K02C2</t>
        </is>
      </c>
      <c r="F55" t="inlineStr">
        <is>
          <t>King</t>
        </is>
      </c>
      <c r="G55" s="11" t="n"/>
      <c r="H55" s="22" t="n"/>
      <c r="I55" s="11" t="n"/>
      <c r="J55" s="22" t="n"/>
      <c r="K55" s="11" t="n"/>
      <c r="L55" t="inlineStr">
        <is>
          <t>Typology drawing R01</t>
        </is>
      </c>
      <c r="M55">
        <f>Config!$B$3&amp;"?room="&amp;A55</f>
        <v/>
      </c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 ht="15" customHeight="1">
      <c r="A56" t="inlineStr">
        <is>
          <t>A-L03-K02C2-02</t>
        </is>
      </c>
      <c r="B56" t="inlineStr">
        <is>
          <t>Tower A</t>
        </is>
      </c>
      <c r="C56" t="inlineStr">
        <is>
          <t>L03</t>
        </is>
      </c>
      <c r="D56" t="inlineStr">
        <is>
          <t>AL03G32</t>
        </is>
      </c>
      <c r="E56" t="inlineStr">
        <is>
          <t>K02C2</t>
        </is>
      </c>
      <c r="F56" t="inlineStr">
        <is>
          <t>King</t>
        </is>
      </c>
      <c r="G56" s="11" t="n"/>
      <c r="H56" s="22" t="n"/>
      <c r="I56" s="11" t="n"/>
      <c r="J56" s="22" t="n"/>
      <c r="K56" s="11" t="n"/>
      <c r="L56" t="inlineStr">
        <is>
          <t>Typology drawing R01</t>
        </is>
      </c>
      <c r="M56">
        <f>Config!$B$3&amp;"?room="&amp;A56</f>
        <v/>
      </c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 ht="15" customHeight="1">
      <c r="A57" t="inlineStr">
        <is>
          <t>A-L03-K02D1</t>
        </is>
      </c>
      <c r="B57" t="inlineStr">
        <is>
          <t>Tower A</t>
        </is>
      </c>
      <c r="C57" t="inlineStr">
        <is>
          <t>L03</t>
        </is>
      </c>
      <c r="D57" t="inlineStr">
        <is>
          <t>AL03G12</t>
        </is>
      </c>
      <c r="E57" t="inlineStr">
        <is>
          <t>K02D1</t>
        </is>
      </c>
      <c r="F57" t="inlineStr">
        <is>
          <t>King</t>
        </is>
      </c>
      <c r="G57" s="11" t="n"/>
      <c r="H57" s="22" t="n"/>
      <c r="I57" s="11" t="n"/>
      <c r="J57" s="22" t="n"/>
      <c r="K57" s="11" t="n"/>
      <c r="L57" t="inlineStr">
        <is>
          <t>Typology drawing R01</t>
        </is>
      </c>
      <c r="M57">
        <f>Config!$B$3&amp;"?room="&amp;A57</f>
        <v/>
      </c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 ht="15" customHeight="1">
      <c r="A58" t="inlineStr">
        <is>
          <t>A-L03-Q01</t>
        </is>
      </c>
      <c r="B58" t="inlineStr">
        <is>
          <t>Tower A</t>
        </is>
      </c>
      <c r="C58" t="inlineStr">
        <is>
          <t>L03</t>
        </is>
      </c>
      <c r="D58" t="inlineStr">
        <is>
          <t>AL03G21</t>
        </is>
      </c>
      <c r="E58" t="inlineStr">
        <is>
          <t>Q01</t>
        </is>
      </c>
      <c r="F58" t="inlineStr">
        <is>
          <t>Queen</t>
        </is>
      </c>
      <c r="G58" s="11" t="n"/>
      <c r="H58" s="22" t="n"/>
      <c r="I58" s="11" t="n"/>
      <c r="J58" s="22" t="n"/>
      <c r="K58" s="11" t="n"/>
      <c r="L58" t="inlineStr">
        <is>
          <t>Typology drawing R01</t>
        </is>
      </c>
      <c r="M58">
        <f>Config!$B$3&amp;"?room="&amp;A58</f>
        <v/>
      </c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 ht="15" customHeight="1">
      <c r="A59" t="inlineStr">
        <is>
          <t>A-L03-Q01C-01</t>
        </is>
      </c>
      <c r="B59" t="inlineStr">
        <is>
          <t>Tower A</t>
        </is>
      </c>
      <c r="C59" t="inlineStr">
        <is>
          <t>L03</t>
        </is>
      </c>
      <c r="D59" t="inlineStr">
        <is>
          <t>AL03G05</t>
        </is>
      </c>
      <c r="E59" t="inlineStr">
        <is>
          <t>Q01C</t>
        </is>
      </c>
      <c r="F59" t="inlineStr">
        <is>
          <t>Queen</t>
        </is>
      </c>
      <c r="G59" s="11" t="n"/>
      <c r="H59" s="22" t="n"/>
      <c r="I59" s="11" t="n"/>
      <c r="J59" s="22" t="n"/>
      <c r="K59" s="11" t="n"/>
      <c r="L59" t="inlineStr">
        <is>
          <t>Typology drawing R01</t>
        </is>
      </c>
      <c r="M59">
        <f>Config!$B$3&amp;"?room="&amp;A59</f>
        <v/>
      </c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 ht="15" customHeight="1">
      <c r="A60" t="inlineStr">
        <is>
          <t>A-L03-Q01C-02</t>
        </is>
      </c>
      <c r="B60" t="inlineStr">
        <is>
          <t>Tower A</t>
        </is>
      </c>
      <c r="C60" t="inlineStr">
        <is>
          <t>L03</t>
        </is>
      </c>
      <c r="D60" t="inlineStr">
        <is>
          <t>AL03G09</t>
        </is>
      </c>
      <c r="E60" t="inlineStr">
        <is>
          <t>Q01C</t>
        </is>
      </c>
      <c r="F60" t="inlineStr">
        <is>
          <t>Queen</t>
        </is>
      </c>
      <c r="G60" s="11" t="n"/>
      <c r="H60" s="22" t="n"/>
      <c r="I60" s="11" t="n"/>
      <c r="J60" s="22" t="n"/>
      <c r="K60" s="11" t="n"/>
      <c r="L60" t="inlineStr">
        <is>
          <t>Typology drawing R01</t>
        </is>
      </c>
      <c r="M60">
        <f>Config!$B$3&amp;"?room="&amp;A60</f>
        <v/>
      </c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 ht="15" customHeight="1">
      <c r="A61" t="inlineStr">
        <is>
          <t>A-L03-Q01C-03</t>
        </is>
      </c>
      <c r="B61" t="inlineStr">
        <is>
          <t>Tower A</t>
        </is>
      </c>
      <c r="C61" t="inlineStr">
        <is>
          <t>L03</t>
        </is>
      </c>
      <c r="D61" t="inlineStr">
        <is>
          <t>AL03G33</t>
        </is>
      </c>
      <c r="E61" t="inlineStr">
        <is>
          <t>Q01C</t>
        </is>
      </c>
      <c r="F61" t="inlineStr">
        <is>
          <t>Queen</t>
        </is>
      </c>
      <c r="G61" s="11" t="n"/>
      <c r="H61" s="22" t="n"/>
      <c r="I61" s="11" t="n"/>
      <c r="J61" s="22" t="n"/>
      <c r="K61" s="11" t="n"/>
      <c r="L61" t="inlineStr">
        <is>
          <t>Typology drawing R01</t>
        </is>
      </c>
      <c r="M61">
        <f>Config!$B$3&amp;"?room="&amp;A61</f>
        <v/>
      </c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 ht="15" customHeight="1">
      <c r="A62" t="inlineStr">
        <is>
          <t>A-L03-Q01C1</t>
        </is>
      </c>
      <c r="B62" t="inlineStr">
        <is>
          <t>Tower A</t>
        </is>
      </c>
      <c r="C62" t="inlineStr">
        <is>
          <t>L03</t>
        </is>
      </c>
      <c r="D62" t="inlineStr">
        <is>
          <t>AL03G14</t>
        </is>
      </c>
      <c r="E62" t="inlineStr">
        <is>
          <t>Q01C1</t>
        </is>
      </c>
      <c r="F62" t="inlineStr">
        <is>
          <t>Queen</t>
        </is>
      </c>
      <c r="G62" s="11" t="n"/>
      <c r="H62" s="22" t="n"/>
      <c r="I62" s="11" t="n"/>
      <c r="J62" s="22" t="n"/>
      <c r="K62" s="11" t="n"/>
      <c r="L62" t="inlineStr">
        <is>
          <t>Typology drawing R01</t>
        </is>
      </c>
      <c r="M62">
        <f>Config!$B$3&amp;"?room="&amp;A62</f>
        <v/>
      </c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 ht="15" customHeight="1">
      <c r="A63" t="inlineStr">
        <is>
          <t>A-L03-Q02C1-01</t>
        </is>
      </c>
      <c r="B63" t="inlineStr">
        <is>
          <t>Tower A</t>
        </is>
      </c>
      <c r="C63" t="inlineStr">
        <is>
          <t>L03</t>
        </is>
      </c>
      <c r="D63" t="inlineStr">
        <is>
          <t>AL03G06</t>
        </is>
      </c>
      <c r="E63" t="inlineStr">
        <is>
          <t>Q02C1</t>
        </is>
      </c>
      <c r="F63" t="inlineStr">
        <is>
          <t>Queen</t>
        </is>
      </c>
      <c r="G63" s="11" t="n"/>
      <c r="H63" s="22" t="n"/>
      <c r="I63" s="11" t="n"/>
      <c r="J63" s="22" t="n"/>
      <c r="K63" s="11" t="n"/>
      <c r="L63" t="inlineStr">
        <is>
          <t>Typology drawing R01</t>
        </is>
      </c>
      <c r="M63">
        <f>Config!$B$3&amp;"?room="&amp;A63</f>
        <v/>
      </c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 ht="15" customHeight="1">
      <c r="A64" t="inlineStr">
        <is>
          <t>A-L03-Q02C1-02</t>
        </is>
      </c>
      <c r="B64" t="inlineStr">
        <is>
          <t>Tower A</t>
        </is>
      </c>
      <c r="C64" t="inlineStr">
        <is>
          <t>L03</t>
        </is>
      </c>
      <c r="D64" t="inlineStr">
        <is>
          <t>AL03G10</t>
        </is>
      </c>
      <c r="E64" t="inlineStr">
        <is>
          <t>Q02C1</t>
        </is>
      </c>
      <c r="F64" t="inlineStr">
        <is>
          <t>Queen</t>
        </is>
      </c>
      <c r="G64" s="11" t="n"/>
      <c r="H64" s="22" t="n"/>
      <c r="I64" s="11" t="n"/>
      <c r="J64" s="22" t="n"/>
      <c r="K64" s="11" t="n"/>
      <c r="L64" t="inlineStr">
        <is>
          <t>Typology drawing R01</t>
        </is>
      </c>
      <c r="M64">
        <f>Config!$B$3&amp;"?room="&amp;A64</f>
        <v/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 ht="15" customHeight="1">
      <c r="A65" t="inlineStr">
        <is>
          <t>A-L03-Q02C2-01</t>
        </is>
      </c>
      <c r="B65" t="inlineStr">
        <is>
          <t>Tower A</t>
        </is>
      </c>
      <c r="C65" t="inlineStr">
        <is>
          <t>L03</t>
        </is>
      </c>
      <c r="D65" t="inlineStr">
        <is>
          <t>AL03G22</t>
        </is>
      </c>
      <c r="E65" t="inlineStr">
        <is>
          <t>Q02C2</t>
        </is>
      </c>
      <c r="F65" t="inlineStr">
        <is>
          <t>Queen</t>
        </is>
      </c>
      <c r="G65" s="11" t="n"/>
      <c r="H65" s="22" t="n"/>
      <c r="I65" s="11" t="n"/>
      <c r="J65" s="22" t="n"/>
      <c r="K65" s="11" t="n"/>
      <c r="L65" t="inlineStr">
        <is>
          <t>Typology drawing R01</t>
        </is>
      </c>
      <c r="M65">
        <f>Config!$B$3&amp;"?room="&amp;A65</f>
        <v/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 ht="15" customHeight="1">
      <c r="A66" t="inlineStr">
        <is>
          <t>A-L03-Q02C2-02</t>
        </is>
      </c>
      <c r="B66" t="inlineStr">
        <is>
          <t>Tower A</t>
        </is>
      </c>
      <c r="C66" t="inlineStr">
        <is>
          <t>L03</t>
        </is>
      </c>
      <c r="D66" t="inlineStr">
        <is>
          <t>AL03G34</t>
        </is>
      </c>
      <c r="E66" t="inlineStr">
        <is>
          <t>Q02C2</t>
        </is>
      </c>
      <c r="F66" t="inlineStr">
        <is>
          <t>Queen</t>
        </is>
      </c>
      <c r="G66" s="11" t="n"/>
      <c r="H66" s="22" t="n"/>
      <c r="I66" s="11" t="n"/>
      <c r="J66" s="22" t="n"/>
      <c r="K66" s="11" t="n"/>
      <c r="L66" t="inlineStr">
        <is>
          <t>Typology drawing R01</t>
        </is>
      </c>
      <c r="M66">
        <f>Config!$B$3&amp;"?room="&amp;A66</f>
        <v/>
      </c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 ht="15" customHeight="1">
      <c r="A67" t="inlineStr">
        <is>
          <t>A-L03-Q02E</t>
        </is>
      </c>
      <c r="B67" t="inlineStr">
        <is>
          <t>Tower A</t>
        </is>
      </c>
      <c r="C67" t="inlineStr">
        <is>
          <t>L03</t>
        </is>
      </c>
      <c r="D67" t="inlineStr">
        <is>
          <t>AL03G41</t>
        </is>
      </c>
      <c r="E67" t="inlineStr">
        <is>
          <t>Q02E</t>
        </is>
      </c>
      <c r="F67" t="inlineStr">
        <is>
          <t>Queen</t>
        </is>
      </c>
      <c r="G67" s="11" t="n"/>
      <c r="H67" s="22" t="n"/>
      <c r="I67" s="11" t="n"/>
      <c r="J67" s="22" t="n"/>
      <c r="K67" s="11" t="n"/>
      <c r="L67" t="inlineStr">
        <is>
          <t>Typology drawing R01</t>
        </is>
      </c>
      <c r="M67">
        <f>Config!$B$3&amp;"?room="&amp;A67</f>
        <v/>
      </c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 ht="15" customHeight="1">
      <c r="A68" t="inlineStr">
        <is>
          <t>A-L03-QADA1</t>
        </is>
      </c>
      <c r="B68" t="inlineStr">
        <is>
          <t>Tower A</t>
        </is>
      </c>
      <c r="C68" t="inlineStr">
        <is>
          <t>L03</t>
        </is>
      </c>
      <c r="D68" t="inlineStr">
        <is>
          <t>AL03G37</t>
        </is>
      </c>
      <c r="E68" t="inlineStr">
        <is>
          <t>QADA1</t>
        </is>
      </c>
      <c r="F68" t="inlineStr">
        <is>
          <t>Queen ADA</t>
        </is>
      </c>
      <c r="G68" s="11" t="n"/>
      <c r="H68" s="22" t="n"/>
      <c r="I68" s="11" t="n"/>
      <c r="J68" s="22" t="n"/>
      <c r="K68" s="11" t="n"/>
      <c r="L68" t="inlineStr">
        <is>
          <t>Typology drawing R01</t>
        </is>
      </c>
      <c r="M68">
        <f>Config!$B$3&amp;"?room="&amp;A68</f>
        <v/>
      </c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 ht="15" customHeight="1">
      <c r="A69" t="inlineStr">
        <is>
          <t>A-L03-S05</t>
        </is>
      </c>
      <c r="B69" t="inlineStr">
        <is>
          <t>Tower A</t>
        </is>
      </c>
      <c r="C69" t="inlineStr">
        <is>
          <t>L03</t>
        </is>
      </c>
      <c r="D69" t="inlineStr">
        <is>
          <t>AL03G16</t>
        </is>
      </c>
      <c r="E69" t="inlineStr">
        <is>
          <t>S05</t>
        </is>
      </c>
      <c r="F69" t="inlineStr">
        <is>
          <t>Suite</t>
        </is>
      </c>
      <c r="G69" s="11" t="n"/>
      <c r="H69" s="22" t="n"/>
      <c r="I69" s="11" t="n"/>
      <c r="J69" s="22" t="n"/>
      <c r="K69" s="11" t="n"/>
      <c r="L69" t="inlineStr">
        <is>
          <t>Typology drawing R01</t>
        </is>
      </c>
      <c r="M69">
        <f>Config!$B$3&amp;"?room="&amp;A69</f>
        <v/>
      </c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 ht="15" customHeight="1">
      <c r="A70" t="inlineStr">
        <is>
          <t>A-L03-S06</t>
        </is>
      </c>
      <c r="B70" t="inlineStr">
        <is>
          <t>Tower A</t>
        </is>
      </c>
      <c r="C70" t="inlineStr">
        <is>
          <t>L03</t>
        </is>
      </c>
      <c r="D70" t="inlineStr">
        <is>
          <t>AL03G43</t>
        </is>
      </c>
      <c r="E70" t="inlineStr">
        <is>
          <t>S06</t>
        </is>
      </c>
      <c r="F70" t="inlineStr">
        <is>
          <t>Suite</t>
        </is>
      </c>
      <c r="G70" s="11" t="n"/>
      <c r="H70" s="22" t="n"/>
      <c r="I70" s="11" t="n"/>
      <c r="J70" s="22" t="n"/>
      <c r="K70" s="11" t="n"/>
      <c r="L70" t="inlineStr">
        <is>
          <t>Typology drawing R01</t>
        </is>
      </c>
      <c r="M70">
        <f>Config!$B$3&amp;"?room="&amp;A70</f>
        <v/>
      </c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 ht="15" customHeight="1">
      <c r="A71" t="inlineStr">
        <is>
          <t>A-L04-F03</t>
        </is>
      </c>
      <c r="B71" t="inlineStr">
        <is>
          <t>Tower A</t>
        </is>
      </c>
      <c r="C71" t="inlineStr">
        <is>
          <t>L04</t>
        </is>
      </c>
      <c r="D71" t="inlineStr">
        <is>
          <t>AL04G03</t>
        </is>
      </c>
      <c r="E71" t="inlineStr">
        <is>
          <t>F03</t>
        </is>
      </c>
      <c r="F71" t="inlineStr">
        <is>
          <t>Family</t>
        </is>
      </c>
      <c r="G71" s="11" t="n"/>
      <c r="H71" s="22" t="n"/>
      <c r="I71" s="11" t="n"/>
      <c r="J71" s="22" t="n"/>
      <c r="K71" s="11" t="n"/>
      <c r="L71" t="inlineStr">
        <is>
          <t>Typology drawing R01</t>
        </is>
      </c>
      <c r="M71">
        <f>Config!$B$3&amp;"?room="&amp;A71</f>
        <v/>
      </c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 ht="15" customHeight="1">
      <c r="A72" t="inlineStr">
        <is>
          <t>A-L04-F03A</t>
        </is>
      </c>
      <c r="B72" t="inlineStr">
        <is>
          <t>Tower A</t>
        </is>
      </c>
      <c r="C72" t="inlineStr">
        <is>
          <t>L04</t>
        </is>
      </c>
      <c r="D72" t="inlineStr">
        <is>
          <t>AL04G04</t>
        </is>
      </c>
      <c r="E72" t="inlineStr">
        <is>
          <t>F03A</t>
        </is>
      </c>
      <c r="F72" t="inlineStr">
        <is>
          <t>Family</t>
        </is>
      </c>
      <c r="G72" s="11" t="n"/>
      <c r="H72" s="22" t="n"/>
      <c r="I72" s="11" t="n"/>
      <c r="J72" s="22" t="n"/>
      <c r="K72" s="11" t="n"/>
      <c r="L72" t="inlineStr">
        <is>
          <t>Typology drawing R01</t>
        </is>
      </c>
      <c r="M72">
        <f>Config!$B$3&amp;"?room="&amp;A72</f>
        <v/>
      </c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 ht="15" customHeight="1">
      <c r="A73" t="inlineStr">
        <is>
          <t>A-L04-F04</t>
        </is>
      </c>
      <c r="B73" t="inlineStr">
        <is>
          <t>Tower A</t>
        </is>
      </c>
      <c r="C73" t="inlineStr">
        <is>
          <t>L04</t>
        </is>
      </c>
      <c r="D73" t="inlineStr">
        <is>
          <t>AL04G11</t>
        </is>
      </c>
      <c r="E73" t="inlineStr">
        <is>
          <t>F04</t>
        </is>
      </c>
      <c r="F73" t="inlineStr">
        <is>
          <t>Family</t>
        </is>
      </c>
      <c r="G73" s="11" t="n"/>
      <c r="H73" s="22" t="n"/>
      <c r="I73" s="11" t="n"/>
      <c r="J73" s="22" t="n"/>
      <c r="K73" s="11" t="n"/>
      <c r="L73" t="inlineStr">
        <is>
          <t>Typology drawing R01</t>
        </is>
      </c>
      <c r="M73">
        <f>Config!$B$3&amp;"?room="&amp;A73</f>
        <v/>
      </c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 ht="15" customHeight="1">
      <c r="A74" t="inlineStr">
        <is>
          <t>A-L04-F05</t>
        </is>
      </c>
      <c r="B74" t="inlineStr">
        <is>
          <t>Tower A</t>
        </is>
      </c>
      <c r="C74" t="inlineStr">
        <is>
          <t>L04</t>
        </is>
      </c>
      <c r="D74" t="inlineStr">
        <is>
          <t>AL04G46</t>
        </is>
      </c>
      <c r="E74" t="inlineStr">
        <is>
          <t>F05</t>
        </is>
      </c>
      <c r="F74" t="inlineStr">
        <is>
          <t>Family</t>
        </is>
      </c>
      <c r="G74" s="11" t="n"/>
      <c r="H74" s="22" t="n"/>
      <c r="I74" s="11" t="n"/>
      <c r="J74" s="22" t="n"/>
      <c r="K74" s="11" t="n"/>
      <c r="L74" t="inlineStr">
        <is>
          <t>Typology drawing R01</t>
        </is>
      </c>
      <c r="M74">
        <f>Config!$B$3&amp;"?room="&amp;A74</f>
        <v/>
      </c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 ht="15" customHeight="1">
      <c r="A75" t="inlineStr">
        <is>
          <t>A-L04-K01-01</t>
        </is>
      </c>
      <c r="B75" t="inlineStr">
        <is>
          <t>Tower A</t>
        </is>
      </c>
      <c r="C75" t="inlineStr">
        <is>
          <t>L04</t>
        </is>
      </c>
      <c r="D75" t="inlineStr">
        <is>
          <t>AL04G19</t>
        </is>
      </c>
      <c r="E75" t="inlineStr">
        <is>
          <t>K01</t>
        </is>
      </c>
      <c r="F75" t="inlineStr">
        <is>
          <t>King</t>
        </is>
      </c>
      <c r="G75" s="11" t="n"/>
      <c r="H75" s="22" t="n"/>
      <c r="I75" s="11" t="n"/>
      <c r="J75" s="22" t="n"/>
      <c r="K75" s="11" t="n"/>
      <c r="L75" t="inlineStr">
        <is>
          <t>Typology drawing R01</t>
        </is>
      </c>
      <c r="M75">
        <f>Config!$B$3&amp;"?room="&amp;A75</f>
        <v/>
      </c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 ht="15" customHeight="1">
      <c r="A76" t="inlineStr">
        <is>
          <t>A-L04-K01-02</t>
        </is>
      </c>
      <c r="B76" t="inlineStr">
        <is>
          <t>Tower A</t>
        </is>
      </c>
      <c r="C76" t="inlineStr">
        <is>
          <t>L04</t>
        </is>
      </c>
      <c r="D76" t="inlineStr">
        <is>
          <t>AL04G23</t>
        </is>
      </c>
      <c r="E76" t="inlineStr">
        <is>
          <t>K01</t>
        </is>
      </c>
      <c r="F76" t="inlineStr">
        <is>
          <t>King</t>
        </is>
      </c>
      <c r="G76" s="11" t="n"/>
      <c r="H76" s="22" t="n"/>
      <c r="I76" s="11" t="n"/>
      <c r="J76" s="22" t="n"/>
      <c r="K76" s="11" t="n"/>
      <c r="L76" t="inlineStr">
        <is>
          <t>Typology drawing R01</t>
        </is>
      </c>
      <c r="M76">
        <f>Config!$B$3&amp;"?room="&amp;A76</f>
        <v/>
      </c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 ht="15" customHeight="1">
      <c r="A77" t="inlineStr">
        <is>
          <t>A-L04-K01-03</t>
        </is>
      </c>
      <c r="B77" t="inlineStr">
        <is>
          <t>Tower A</t>
        </is>
      </c>
      <c r="C77" t="inlineStr">
        <is>
          <t>L04</t>
        </is>
      </c>
      <c r="D77" t="inlineStr">
        <is>
          <t>AL04G27</t>
        </is>
      </c>
      <c r="E77" t="inlineStr">
        <is>
          <t>K01</t>
        </is>
      </c>
      <c r="F77" t="inlineStr">
        <is>
          <t>King</t>
        </is>
      </c>
      <c r="G77" s="11" t="n"/>
      <c r="H77" s="22" t="n"/>
      <c r="I77" s="11" t="n"/>
      <c r="J77" s="22" t="n"/>
      <c r="K77" s="11" t="n"/>
      <c r="L77" t="inlineStr">
        <is>
          <t>Typology drawing R01</t>
        </is>
      </c>
      <c r="M77">
        <f>Config!$B$3&amp;"?room="&amp;A77</f>
        <v/>
      </c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 ht="15" customHeight="1">
      <c r="A78" t="inlineStr">
        <is>
          <t>A-L04-K01B-01</t>
        </is>
      </c>
      <c r="B78" t="inlineStr">
        <is>
          <t>Tower A</t>
        </is>
      </c>
      <c r="C78" t="inlineStr">
        <is>
          <t>L04</t>
        </is>
      </c>
      <c r="D78" t="inlineStr">
        <is>
          <t>AL04G26</t>
        </is>
      </c>
      <c r="E78" t="inlineStr">
        <is>
          <t>K01B</t>
        </is>
      </c>
      <c r="F78" t="inlineStr">
        <is>
          <t>King</t>
        </is>
      </c>
      <c r="G78" s="11" t="n"/>
      <c r="H78" s="22" t="n"/>
      <c r="I78" s="11" t="n"/>
      <c r="J78" s="22" t="n"/>
      <c r="K78" s="11" t="n"/>
      <c r="L78" t="inlineStr">
        <is>
          <t>Typology drawing R01</t>
        </is>
      </c>
      <c r="M78">
        <f>Config!$B$3&amp;"?room="&amp;A78</f>
        <v/>
      </c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 ht="15" customHeight="1">
      <c r="A79" t="inlineStr">
        <is>
          <t>A-L04-K01B-02</t>
        </is>
      </c>
      <c r="B79" t="inlineStr">
        <is>
          <t>Tower A</t>
        </is>
      </c>
      <c r="C79" t="inlineStr">
        <is>
          <t>L04</t>
        </is>
      </c>
      <c r="D79" t="inlineStr">
        <is>
          <t>AL04G30</t>
        </is>
      </c>
      <c r="E79" t="inlineStr">
        <is>
          <t>K01B</t>
        </is>
      </c>
      <c r="F79" t="inlineStr">
        <is>
          <t>King</t>
        </is>
      </c>
      <c r="G79" s="11" t="n"/>
      <c r="H79" s="22" t="n"/>
      <c r="I79" s="11" t="n"/>
      <c r="J79" s="22" t="n"/>
      <c r="K79" s="11" t="n"/>
      <c r="L79" t="inlineStr">
        <is>
          <t>Typology drawing R01</t>
        </is>
      </c>
      <c r="M79">
        <f>Config!$B$3&amp;"?room="&amp;A79</f>
        <v/>
      </c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 ht="15" customHeight="1">
      <c r="A80" t="inlineStr">
        <is>
          <t>A-L04-K01C-01</t>
        </is>
      </c>
      <c r="B80" t="inlineStr">
        <is>
          <t>Tower A</t>
        </is>
      </c>
      <c r="C80" t="inlineStr">
        <is>
          <t>L04</t>
        </is>
      </c>
      <c r="D80" t="inlineStr">
        <is>
          <t>AL04G07</t>
        </is>
      </c>
      <c r="E80" t="inlineStr">
        <is>
          <t>K01C</t>
        </is>
      </c>
      <c r="F80" t="inlineStr">
        <is>
          <t>King</t>
        </is>
      </c>
      <c r="G80" s="11" t="n"/>
      <c r="H80" s="22" t="n"/>
      <c r="I80" s="11" t="n"/>
      <c r="J80" s="22" t="n"/>
      <c r="K80" s="11" t="n"/>
      <c r="L80" t="inlineStr">
        <is>
          <t>Typology drawing R01</t>
        </is>
      </c>
      <c r="M80">
        <f>Config!$B$3&amp;"?room="&amp;A80</f>
        <v/>
      </c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 ht="15" customHeight="1">
      <c r="A81" t="inlineStr">
        <is>
          <t>A-L04-K01C-02</t>
        </is>
      </c>
      <c r="B81" t="inlineStr">
        <is>
          <t>Tower A</t>
        </is>
      </c>
      <c r="C81" t="inlineStr">
        <is>
          <t>L04</t>
        </is>
      </c>
      <c r="D81" t="inlineStr">
        <is>
          <t>AL04G31</t>
        </is>
      </c>
      <c r="E81" t="inlineStr">
        <is>
          <t>K01C</t>
        </is>
      </c>
      <c r="F81" t="inlineStr">
        <is>
          <t>King</t>
        </is>
      </c>
      <c r="G81" s="11" t="n"/>
      <c r="H81" s="22" t="n"/>
      <c r="I81" s="11" t="n"/>
      <c r="J81" s="22" t="n"/>
      <c r="K81" s="11" t="n"/>
      <c r="L81" t="inlineStr">
        <is>
          <t>Typology drawing R01</t>
        </is>
      </c>
      <c r="M81">
        <f>Config!$B$3&amp;"?room="&amp;A81</f>
        <v/>
      </c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 ht="15" customHeight="1">
      <c r="A82" t="inlineStr">
        <is>
          <t>A-L04-K01C-03</t>
        </is>
      </c>
      <c r="B82" t="inlineStr">
        <is>
          <t>Tower A</t>
        </is>
      </c>
      <c r="C82" t="inlineStr">
        <is>
          <t>L04</t>
        </is>
      </c>
      <c r="D82" t="inlineStr">
        <is>
          <t>AL04G35</t>
        </is>
      </c>
      <c r="E82" t="inlineStr">
        <is>
          <t>K01C</t>
        </is>
      </c>
      <c r="F82" t="inlineStr">
        <is>
          <t>King</t>
        </is>
      </c>
      <c r="G82" s="11" t="n"/>
      <c r="H82" s="22" t="n"/>
      <c r="I82" s="11" t="n"/>
      <c r="J82" s="22" t="n"/>
      <c r="K82" s="11" t="n"/>
      <c r="L82" t="inlineStr">
        <is>
          <t>Typology drawing R01</t>
        </is>
      </c>
      <c r="M82">
        <f>Config!$B$3&amp;"?room="&amp;A82</f>
        <v/>
      </c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 ht="15" customHeight="1">
      <c r="A83" t="inlineStr">
        <is>
          <t>A-L04-K01D</t>
        </is>
      </c>
      <c r="B83" t="inlineStr">
        <is>
          <t>Tower A</t>
        </is>
      </c>
      <c r="C83" t="inlineStr">
        <is>
          <t>L04</t>
        </is>
      </c>
      <c r="D83" t="inlineStr">
        <is>
          <t>AL04G39</t>
        </is>
      </c>
      <c r="E83" t="inlineStr">
        <is>
          <t>K01D</t>
        </is>
      </c>
      <c r="F83" t="inlineStr">
        <is>
          <t>King</t>
        </is>
      </c>
      <c r="G83" s="11" t="n"/>
      <c r="H83" s="22" t="n"/>
      <c r="I83" s="11" t="n"/>
      <c r="J83" s="22" t="n"/>
      <c r="K83" s="11" t="n"/>
      <c r="L83" t="inlineStr">
        <is>
          <t>Typology drawing R01</t>
        </is>
      </c>
      <c r="M83">
        <f>Config!$B$3&amp;"?room="&amp;A83</f>
        <v/>
      </c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 ht="15" customHeight="1">
      <c r="A84" t="inlineStr">
        <is>
          <t>A-L04-K02-01</t>
        </is>
      </c>
      <c r="B84" t="inlineStr">
        <is>
          <t>Tower A</t>
        </is>
      </c>
      <c r="C84" t="inlineStr">
        <is>
          <t>L04</t>
        </is>
      </c>
      <c r="D84" t="inlineStr">
        <is>
          <t>AL04G25</t>
        </is>
      </c>
      <c r="E84" t="inlineStr">
        <is>
          <t>K02</t>
        </is>
      </c>
      <c r="F84" t="inlineStr">
        <is>
          <t>King</t>
        </is>
      </c>
      <c r="G84" s="11" t="n"/>
      <c r="H84" s="22" t="n"/>
      <c r="I84" s="11" t="n"/>
      <c r="J84" s="22" t="n"/>
      <c r="K84" s="11" t="n"/>
      <c r="L84" t="inlineStr">
        <is>
          <t>Typology drawing R01</t>
        </is>
      </c>
      <c r="M84">
        <f>Config!$B$3&amp;"?room="&amp;A84</f>
        <v/>
      </c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 ht="15" customHeight="1">
      <c r="A85" t="inlineStr">
        <is>
          <t>A-L04-K02-02</t>
        </is>
      </c>
      <c r="B85" t="inlineStr">
        <is>
          <t>Tower A</t>
        </is>
      </c>
      <c r="C85" t="inlineStr">
        <is>
          <t>L04</t>
        </is>
      </c>
      <c r="D85" t="inlineStr">
        <is>
          <t>AL04G29</t>
        </is>
      </c>
      <c r="E85" t="inlineStr">
        <is>
          <t>K02</t>
        </is>
      </c>
      <c r="F85" t="inlineStr">
        <is>
          <t>King</t>
        </is>
      </c>
      <c r="G85" s="11" t="n"/>
      <c r="H85" s="22" t="n"/>
      <c r="I85" s="11" t="n"/>
      <c r="J85" s="22" t="n"/>
      <c r="K85" s="11" t="n"/>
      <c r="L85" t="inlineStr">
        <is>
          <t>Typology drawing R01</t>
        </is>
      </c>
      <c r="M85">
        <f>Config!$B$3&amp;"?room="&amp;A85</f>
        <v/>
      </c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 ht="15" customHeight="1">
      <c r="A86" t="inlineStr">
        <is>
          <t>A-L04-K02B-01</t>
        </is>
      </c>
      <c r="B86" t="inlineStr">
        <is>
          <t>Tower A</t>
        </is>
      </c>
      <c r="C86" t="inlineStr">
        <is>
          <t>L04</t>
        </is>
      </c>
      <c r="D86" t="inlineStr">
        <is>
          <t>AL04G24</t>
        </is>
      </c>
      <c r="E86" t="inlineStr">
        <is>
          <t>K02B</t>
        </is>
      </c>
      <c r="F86" t="inlineStr">
        <is>
          <t>King</t>
        </is>
      </c>
      <c r="G86" s="11" t="n"/>
      <c r="H86" s="22" t="n"/>
      <c r="I86" s="11" t="n"/>
      <c r="J86" s="22" t="n"/>
      <c r="K86" s="11" t="n"/>
      <c r="L86" t="inlineStr">
        <is>
          <t>Typology drawing R01</t>
        </is>
      </c>
      <c r="M86">
        <f>Config!$B$3&amp;"?room="&amp;A86</f>
        <v/>
      </c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 ht="15" customHeight="1">
      <c r="A87" t="inlineStr">
        <is>
          <t>A-L04-K02B-02</t>
        </is>
      </c>
      <c r="B87" t="inlineStr">
        <is>
          <t>Tower A</t>
        </is>
      </c>
      <c r="C87" t="inlineStr">
        <is>
          <t>L04</t>
        </is>
      </c>
      <c r="D87" t="inlineStr">
        <is>
          <t>AL04G28</t>
        </is>
      </c>
      <c r="E87" t="inlineStr">
        <is>
          <t>K02B</t>
        </is>
      </c>
      <c r="F87" t="inlineStr">
        <is>
          <t>King</t>
        </is>
      </c>
      <c r="G87" s="11" t="n"/>
      <c r="H87" s="22" t="n"/>
      <c r="I87" s="11" t="n"/>
      <c r="J87" s="22" t="n"/>
      <c r="K87" s="11" t="n"/>
      <c r="L87" t="inlineStr">
        <is>
          <t>Typology drawing R01</t>
        </is>
      </c>
      <c r="M87">
        <f>Config!$B$3&amp;"?room="&amp;A87</f>
        <v/>
      </c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 ht="15" customHeight="1">
      <c r="A88" t="inlineStr">
        <is>
          <t>A-L04-K02B-03</t>
        </is>
      </c>
      <c r="B88" t="inlineStr">
        <is>
          <t>Tower A</t>
        </is>
      </c>
      <c r="C88" t="inlineStr">
        <is>
          <t>L04</t>
        </is>
      </c>
      <c r="D88" t="inlineStr">
        <is>
          <t>AL04G36</t>
        </is>
      </c>
      <c r="E88" t="inlineStr">
        <is>
          <t>K02B</t>
        </is>
      </c>
      <c r="F88" t="inlineStr">
        <is>
          <t>King</t>
        </is>
      </c>
      <c r="G88" s="11" t="n"/>
      <c r="H88" s="22" t="n"/>
      <c r="I88" s="11" t="n"/>
      <c r="J88" s="22" t="n"/>
      <c r="K88" s="11" t="n"/>
      <c r="L88" t="inlineStr">
        <is>
          <t>Typology drawing R01</t>
        </is>
      </c>
      <c r="M88">
        <f>Config!$B$3&amp;"?room="&amp;A88</f>
        <v/>
      </c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 ht="15" customHeight="1">
      <c r="A89" t="inlineStr">
        <is>
          <t>A-L04-K02C1</t>
        </is>
      </c>
      <c r="B89" t="inlineStr">
        <is>
          <t>Tower A</t>
        </is>
      </c>
      <c r="C89" t="inlineStr">
        <is>
          <t>L04</t>
        </is>
      </c>
      <c r="D89" t="inlineStr">
        <is>
          <t>AL04G08</t>
        </is>
      </c>
      <c r="E89" t="inlineStr">
        <is>
          <t>K02C1</t>
        </is>
      </c>
      <c r="F89" t="inlineStr">
        <is>
          <t>King</t>
        </is>
      </c>
      <c r="G89" s="11" t="n"/>
      <c r="H89" s="22" t="n"/>
      <c r="I89" s="11" t="n"/>
      <c r="J89" s="22" t="n"/>
      <c r="K89" s="11" t="n"/>
      <c r="L89" t="inlineStr">
        <is>
          <t>Typology drawing R01</t>
        </is>
      </c>
      <c r="M89">
        <f>Config!$B$3&amp;"?room="&amp;A89</f>
        <v/>
      </c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 ht="15" customHeight="1">
      <c r="A90" t="inlineStr">
        <is>
          <t>A-L04-K02C2-01</t>
        </is>
      </c>
      <c r="B90" t="inlineStr">
        <is>
          <t>Tower A</t>
        </is>
      </c>
      <c r="C90" t="inlineStr">
        <is>
          <t>L04</t>
        </is>
      </c>
      <c r="D90" t="inlineStr">
        <is>
          <t>AL04G20</t>
        </is>
      </c>
      <c r="E90" t="inlineStr">
        <is>
          <t>K02C2</t>
        </is>
      </c>
      <c r="F90" t="inlineStr">
        <is>
          <t>King</t>
        </is>
      </c>
      <c r="G90" s="11" t="n"/>
      <c r="H90" s="22" t="n"/>
      <c r="I90" s="11" t="n"/>
      <c r="J90" s="22" t="n"/>
      <c r="K90" s="11" t="n"/>
      <c r="L90" t="inlineStr">
        <is>
          <t>Typology drawing R01</t>
        </is>
      </c>
      <c r="M90">
        <f>Config!$B$3&amp;"?room="&amp;A90</f>
        <v/>
      </c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 ht="15" customHeight="1">
      <c r="A91" t="inlineStr">
        <is>
          <t>A-L04-K02C2-02</t>
        </is>
      </c>
      <c r="B91" t="inlineStr">
        <is>
          <t>Tower A</t>
        </is>
      </c>
      <c r="C91" t="inlineStr">
        <is>
          <t>L04</t>
        </is>
      </c>
      <c r="D91" t="inlineStr">
        <is>
          <t>AL04G32</t>
        </is>
      </c>
      <c r="E91" t="inlineStr">
        <is>
          <t>K02C2</t>
        </is>
      </c>
      <c r="F91" t="inlineStr">
        <is>
          <t>King</t>
        </is>
      </c>
      <c r="G91" s="11" t="n"/>
      <c r="H91" s="22" t="n"/>
      <c r="I91" s="11" t="n"/>
      <c r="J91" s="22" t="n"/>
      <c r="K91" s="11" t="n"/>
      <c r="L91" t="inlineStr">
        <is>
          <t>Typology drawing R01</t>
        </is>
      </c>
      <c r="M91">
        <f>Config!$B$3&amp;"?room="&amp;A91</f>
        <v/>
      </c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 ht="15" customHeight="1">
      <c r="A92" t="inlineStr">
        <is>
          <t>A-L04-K02D1</t>
        </is>
      </c>
      <c r="B92" t="inlineStr">
        <is>
          <t>Tower A</t>
        </is>
      </c>
      <c r="C92" t="inlineStr">
        <is>
          <t>L04</t>
        </is>
      </c>
      <c r="D92" t="inlineStr">
        <is>
          <t>AL04G12</t>
        </is>
      </c>
      <c r="E92" t="inlineStr">
        <is>
          <t>K02D1</t>
        </is>
      </c>
      <c r="F92" t="inlineStr">
        <is>
          <t>King</t>
        </is>
      </c>
      <c r="G92" s="11" t="n"/>
      <c r="H92" s="22" t="n"/>
      <c r="I92" s="11" t="n"/>
      <c r="J92" s="22" t="n"/>
      <c r="K92" s="11" t="n"/>
      <c r="L92" t="inlineStr">
        <is>
          <t>Typology drawing R01</t>
        </is>
      </c>
      <c r="M92">
        <f>Config!$B$3&amp;"?room="&amp;A92</f>
        <v/>
      </c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 ht="15" customHeight="1">
      <c r="A93" t="inlineStr">
        <is>
          <t>A-L04-Q01</t>
        </is>
      </c>
      <c r="B93" t="inlineStr">
        <is>
          <t>Tower A</t>
        </is>
      </c>
      <c r="C93" t="inlineStr">
        <is>
          <t>L04</t>
        </is>
      </c>
      <c r="D93" t="inlineStr">
        <is>
          <t>AL04G21</t>
        </is>
      </c>
      <c r="E93" t="inlineStr">
        <is>
          <t>Q01</t>
        </is>
      </c>
      <c r="F93" t="inlineStr">
        <is>
          <t>Queen</t>
        </is>
      </c>
      <c r="G93" s="11" t="n"/>
      <c r="H93" s="22" t="n"/>
      <c r="I93" s="11" t="n"/>
      <c r="J93" s="22" t="n"/>
      <c r="K93" s="11" t="n"/>
      <c r="L93" t="inlineStr">
        <is>
          <t>Typology drawing R01</t>
        </is>
      </c>
      <c r="M93">
        <f>Config!$B$3&amp;"?room="&amp;A93</f>
        <v/>
      </c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 ht="15" customHeight="1">
      <c r="A94" t="inlineStr">
        <is>
          <t>A-L04-Q01C-01</t>
        </is>
      </c>
      <c r="B94" t="inlineStr">
        <is>
          <t>Tower A</t>
        </is>
      </c>
      <c r="C94" t="inlineStr">
        <is>
          <t>L04</t>
        </is>
      </c>
      <c r="D94" t="inlineStr">
        <is>
          <t>AL04G05</t>
        </is>
      </c>
      <c r="E94" t="inlineStr">
        <is>
          <t>Q01C</t>
        </is>
      </c>
      <c r="F94" t="inlineStr">
        <is>
          <t>Queen</t>
        </is>
      </c>
      <c r="G94" s="11" t="n"/>
      <c r="H94" s="22" t="n"/>
      <c r="I94" s="11" t="n"/>
      <c r="J94" s="22" t="n"/>
      <c r="K94" s="11" t="n"/>
      <c r="L94" t="inlineStr">
        <is>
          <t>Typology drawing R01</t>
        </is>
      </c>
      <c r="M94">
        <f>Config!$B$3&amp;"?room="&amp;A94</f>
        <v/>
      </c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 ht="15" customHeight="1">
      <c r="A95" t="inlineStr">
        <is>
          <t>A-L04-Q01C-02</t>
        </is>
      </c>
      <c r="B95" t="inlineStr">
        <is>
          <t>Tower A</t>
        </is>
      </c>
      <c r="C95" t="inlineStr">
        <is>
          <t>L04</t>
        </is>
      </c>
      <c r="D95" t="inlineStr">
        <is>
          <t>AL04G09</t>
        </is>
      </c>
      <c r="E95" t="inlineStr">
        <is>
          <t>Q01C</t>
        </is>
      </c>
      <c r="F95" t="inlineStr">
        <is>
          <t>Queen</t>
        </is>
      </c>
      <c r="G95" s="11" t="n"/>
      <c r="H95" s="22" t="n"/>
      <c r="I95" s="11" t="n"/>
      <c r="J95" s="22" t="n"/>
      <c r="K95" s="11" t="n"/>
      <c r="L95" t="inlineStr">
        <is>
          <t>Typology drawing R01</t>
        </is>
      </c>
      <c r="M95">
        <f>Config!$B$3&amp;"?room="&amp;A95</f>
        <v/>
      </c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 ht="15" customHeight="1">
      <c r="A96" t="inlineStr">
        <is>
          <t>A-L04-Q01C-03</t>
        </is>
      </c>
      <c r="B96" t="inlineStr">
        <is>
          <t>Tower A</t>
        </is>
      </c>
      <c r="C96" t="inlineStr">
        <is>
          <t>L04</t>
        </is>
      </c>
      <c r="D96" t="inlineStr">
        <is>
          <t>AL04G33</t>
        </is>
      </c>
      <c r="E96" t="inlineStr">
        <is>
          <t>Q01C</t>
        </is>
      </c>
      <c r="F96" t="inlineStr">
        <is>
          <t>Queen</t>
        </is>
      </c>
      <c r="G96" s="11" t="n"/>
      <c r="H96" s="22" t="n"/>
      <c r="I96" s="11" t="n"/>
      <c r="J96" s="22" t="n"/>
      <c r="K96" s="11" t="n"/>
      <c r="L96" t="inlineStr">
        <is>
          <t>Typology drawing R01</t>
        </is>
      </c>
      <c r="M96">
        <f>Config!$B$3&amp;"?room="&amp;A96</f>
        <v/>
      </c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 ht="15" customHeight="1">
      <c r="A97" t="inlineStr">
        <is>
          <t>A-L04-Q01C1</t>
        </is>
      </c>
      <c r="B97" t="inlineStr">
        <is>
          <t>Tower A</t>
        </is>
      </c>
      <c r="C97" t="inlineStr">
        <is>
          <t>L04</t>
        </is>
      </c>
      <c r="D97" t="inlineStr">
        <is>
          <t>AL04G14</t>
        </is>
      </c>
      <c r="E97" t="inlineStr">
        <is>
          <t>Q01C1</t>
        </is>
      </c>
      <c r="F97" t="inlineStr">
        <is>
          <t>Queen</t>
        </is>
      </c>
      <c r="G97" s="11" t="n"/>
      <c r="H97" s="22" t="n"/>
      <c r="I97" s="11" t="n"/>
      <c r="J97" s="22" t="n"/>
      <c r="K97" s="11" t="n"/>
      <c r="L97" t="inlineStr">
        <is>
          <t>Typology drawing R01</t>
        </is>
      </c>
      <c r="M97">
        <f>Config!$B$3&amp;"?room="&amp;A97</f>
        <v/>
      </c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 ht="15" customHeight="1">
      <c r="A98" t="inlineStr">
        <is>
          <t>A-L04-Q02C1-01</t>
        </is>
      </c>
      <c r="B98" t="inlineStr">
        <is>
          <t>Tower A</t>
        </is>
      </c>
      <c r="C98" t="inlineStr">
        <is>
          <t>L04</t>
        </is>
      </c>
      <c r="D98" t="inlineStr">
        <is>
          <t>AL04G06</t>
        </is>
      </c>
      <c r="E98" t="inlineStr">
        <is>
          <t>Q02C1</t>
        </is>
      </c>
      <c r="F98" t="inlineStr">
        <is>
          <t>Queen</t>
        </is>
      </c>
      <c r="G98" s="11" t="n"/>
      <c r="H98" s="22" t="n"/>
      <c r="I98" s="11" t="n"/>
      <c r="J98" s="22" t="n"/>
      <c r="K98" s="11" t="n"/>
      <c r="L98" t="inlineStr">
        <is>
          <t>Typology drawing R01</t>
        </is>
      </c>
      <c r="M98">
        <f>Config!$B$3&amp;"?room="&amp;A98</f>
        <v/>
      </c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 ht="15" customHeight="1">
      <c r="A99" t="inlineStr">
        <is>
          <t>A-L04-Q02C1-02</t>
        </is>
      </c>
      <c r="B99" t="inlineStr">
        <is>
          <t>Tower A</t>
        </is>
      </c>
      <c r="C99" t="inlineStr">
        <is>
          <t>L04</t>
        </is>
      </c>
      <c r="D99" t="inlineStr">
        <is>
          <t>AL04G10</t>
        </is>
      </c>
      <c r="E99" t="inlineStr">
        <is>
          <t>Q02C1</t>
        </is>
      </c>
      <c r="F99" t="inlineStr">
        <is>
          <t>Queen</t>
        </is>
      </c>
      <c r="G99" s="11" t="n"/>
      <c r="H99" s="22" t="n"/>
      <c r="I99" s="11" t="n"/>
      <c r="J99" s="22" t="n"/>
      <c r="K99" s="11" t="n"/>
      <c r="L99" t="inlineStr">
        <is>
          <t>Typology drawing R01</t>
        </is>
      </c>
      <c r="M99">
        <f>Config!$B$3&amp;"?room="&amp;A99</f>
        <v/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 ht="15" customHeight="1">
      <c r="A100" t="inlineStr">
        <is>
          <t>A-L04-Q02C2-01</t>
        </is>
      </c>
      <c r="B100" t="inlineStr">
        <is>
          <t>Tower A</t>
        </is>
      </c>
      <c r="C100" t="inlineStr">
        <is>
          <t>L04</t>
        </is>
      </c>
      <c r="D100" t="inlineStr">
        <is>
          <t>AL04G22</t>
        </is>
      </c>
      <c r="E100" t="inlineStr">
        <is>
          <t>Q02C2</t>
        </is>
      </c>
      <c r="F100" t="inlineStr">
        <is>
          <t>Queen</t>
        </is>
      </c>
      <c r="G100" s="11" t="n"/>
      <c r="H100" s="22" t="n"/>
      <c r="I100" s="11" t="n"/>
      <c r="J100" s="22" t="n"/>
      <c r="K100" s="11" t="n"/>
      <c r="L100" t="inlineStr">
        <is>
          <t>Typology drawing R01</t>
        </is>
      </c>
      <c r="M100">
        <f>Config!$B$3&amp;"?room="&amp;A100</f>
        <v/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 ht="15" customHeight="1">
      <c r="A101" t="inlineStr">
        <is>
          <t>A-L04-Q02C2-02</t>
        </is>
      </c>
      <c r="B101" t="inlineStr">
        <is>
          <t>Tower A</t>
        </is>
      </c>
      <c r="C101" t="inlineStr">
        <is>
          <t>L04</t>
        </is>
      </c>
      <c r="D101" t="inlineStr">
        <is>
          <t>AL04G34</t>
        </is>
      </c>
      <c r="E101" t="inlineStr">
        <is>
          <t>Q02C2</t>
        </is>
      </c>
      <c r="F101" t="inlineStr">
        <is>
          <t>Queen</t>
        </is>
      </c>
      <c r="G101" s="11" t="n"/>
      <c r="H101" s="22" t="n"/>
      <c r="I101" s="11" t="n"/>
      <c r="J101" s="22" t="n"/>
      <c r="K101" s="11" t="n"/>
      <c r="L101" t="inlineStr">
        <is>
          <t>Typology drawing R01</t>
        </is>
      </c>
      <c r="M101">
        <f>Config!$B$3&amp;"?room="&amp;A101</f>
        <v/>
      </c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 ht="15" customHeight="1">
      <c r="A102" t="inlineStr">
        <is>
          <t>A-L04-Q02E</t>
        </is>
      </c>
      <c r="B102" t="inlineStr">
        <is>
          <t>Tower A</t>
        </is>
      </c>
      <c r="C102" t="inlineStr">
        <is>
          <t>L04</t>
        </is>
      </c>
      <c r="D102" t="inlineStr">
        <is>
          <t>AL04G41</t>
        </is>
      </c>
      <c r="E102" t="inlineStr">
        <is>
          <t>Q02E</t>
        </is>
      </c>
      <c r="F102" t="inlineStr">
        <is>
          <t>Queen</t>
        </is>
      </c>
      <c r="G102" s="11" t="n"/>
      <c r="H102" s="22" t="n"/>
      <c r="I102" s="11" t="n"/>
      <c r="J102" s="22" t="n"/>
      <c r="K102" s="11" t="n"/>
      <c r="L102" t="inlineStr">
        <is>
          <t>Typology drawing R01</t>
        </is>
      </c>
      <c r="M102">
        <f>Config!$B$3&amp;"?room="&amp;A102</f>
        <v/>
      </c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 ht="15" customHeight="1">
      <c r="A103" t="inlineStr">
        <is>
          <t>A-L04-QADA2</t>
        </is>
      </c>
      <c r="B103" t="inlineStr">
        <is>
          <t>Tower A</t>
        </is>
      </c>
      <c r="C103" t="inlineStr">
        <is>
          <t>L04</t>
        </is>
      </c>
      <c r="D103" t="inlineStr">
        <is>
          <t>AL04G37</t>
        </is>
      </c>
      <c r="E103" t="inlineStr">
        <is>
          <t>QADA2</t>
        </is>
      </c>
      <c r="F103" t="inlineStr">
        <is>
          <t>Queen ADA</t>
        </is>
      </c>
      <c r="G103" s="11" t="n"/>
      <c r="H103" s="22" t="n"/>
      <c r="I103" s="11" t="n"/>
      <c r="J103" s="22" t="n"/>
      <c r="K103" s="11" t="n"/>
      <c r="L103" t="inlineStr">
        <is>
          <t>Typology drawing R01</t>
        </is>
      </c>
      <c r="M103">
        <f>Config!$B$3&amp;"?room="&amp;A103</f>
        <v/>
      </c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 ht="15" customHeight="1">
      <c r="A104" t="inlineStr">
        <is>
          <t>A-L04-S05</t>
        </is>
      </c>
      <c r="B104" t="inlineStr">
        <is>
          <t>Tower A</t>
        </is>
      </c>
      <c r="C104" t="inlineStr">
        <is>
          <t>L04</t>
        </is>
      </c>
      <c r="D104" t="inlineStr">
        <is>
          <t>AL04G16</t>
        </is>
      </c>
      <c r="E104" t="inlineStr">
        <is>
          <t>S05</t>
        </is>
      </c>
      <c r="F104" t="inlineStr">
        <is>
          <t>Suite</t>
        </is>
      </c>
      <c r="G104" s="11" t="n"/>
      <c r="H104" s="22" t="n"/>
      <c r="I104" s="11" t="n"/>
      <c r="J104" s="22" t="n"/>
      <c r="K104" s="11" t="n"/>
      <c r="L104" t="inlineStr">
        <is>
          <t>Typology drawing R01</t>
        </is>
      </c>
      <c r="M104">
        <f>Config!$B$3&amp;"?room="&amp;A104</f>
        <v/>
      </c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 ht="15" customHeight="1">
      <c r="A105" t="inlineStr">
        <is>
          <t>A-L04-S06</t>
        </is>
      </c>
      <c r="B105" t="inlineStr">
        <is>
          <t>Tower A</t>
        </is>
      </c>
      <c r="C105" t="inlineStr">
        <is>
          <t>L04</t>
        </is>
      </c>
      <c r="D105" t="inlineStr">
        <is>
          <t>AL04G43</t>
        </is>
      </c>
      <c r="E105" t="inlineStr">
        <is>
          <t>S06</t>
        </is>
      </c>
      <c r="F105" t="inlineStr">
        <is>
          <t>Suite</t>
        </is>
      </c>
      <c r="G105" s="11" t="n"/>
      <c r="H105" s="22" t="n"/>
      <c r="I105" s="11" t="n"/>
      <c r="J105" s="22" t="n"/>
      <c r="K105" s="11" t="n"/>
      <c r="L105" t="inlineStr">
        <is>
          <t>Typology drawing R01</t>
        </is>
      </c>
      <c r="M105">
        <f>Config!$B$3&amp;"?room="&amp;A105</f>
        <v/>
      </c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 ht="15" customHeight="1">
      <c r="A106" t="inlineStr">
        <is>
          <t>A-L05-F03</t>
        </is>
      </c>
      <c r="B106" t="inlineStr">
        <is>
          <t>Tower A</t>
        </is>
      </c>
      <c r="C106" t="inlineStr">
        <is>
          <t>L05</t>
        </is>
      </c>
      <c r="D106" t="inlineStr">
        <is>
          <t>AL05G03</t>
        </is>
      </c>
      <c r="E106" t="inlineStr">
        <is>
          <t>F03</t>
        </is>
      </c>
      <c r="F106" t="inlineStr">
        <is>
          <t>Family</t>
        </is>
      </c>
      <c r="G106" s="11" t="n"/>
      <c r="H106" s="22" t="n"/>
      <c r="I106" s="11" t="n"/>
      <c r="J106" s="22" t="n"/>
      <c r="K106" s="11" t="n"/>
      <c r="L106" t="inlineStr">
        <is>
          <t>Typology drawing R01</t>
        </is>
      </c>
      <c r="M106">
        <f>Config!$B$3&amp;"?room="&amp;A106</f>
        <v/>
      </c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 ht="15" customHeight="1">
      <c r="A107" t="inlineStr">
        <is>
          <t>A-L05-F03B</t>
        </is>
      </c>
      <c r="B107" t="inlineStr">
        <is>
          <t>Tower A</t>
        </is>
      </c>
      <c r="C107" t="inlineStr">
        <is>
          <t>L05</t>
        </is>
      </c>
      <c r="D107" t="inlineStr">
        <is>
          <t>AL05G04</t>
        </is>
      </c>
      <c r="E107" t="inlineStr">
        <is>
          <t>F03B</t>
        </is>
      </c>
      <c r="F107" t="inlineStr">
        <is>
          <t>Family</t>
        </is>
      </c>
      <c r="G107" s="11" t="n"/>
      <c r="H107" s="22" t="n"/>
      <c r="I107" s="11" t="n"/>
      <c r="J107" s="22" t="n"/>
      <c r="K107" s="11" t="n"/>
      <c r="L107" t="inlineStr">
        <is>
          <t>Type per Room Matrix (drawing shows F03A)</t>
        </is>
      </c>
      <c r="M107">
        <f>Config!$B$3&amp;"?room="&amp;A107</f>
        <v/>
      </c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 ht="15" customHeight="1">
      <c r="A108" t="inlineStr">
        <is>
          <t>A-L05-F04</t>
        </is>
      </c>
      <c r="B108" t="inlineStr">
        <is>
          <t>Tower A</t>
        </is>
      </c>
      <c r="C108" t="inlineStr">
        <is>
          <t>L05</t>
        </is>
      </c>
      <c r="D108" t="inlineStr">
        <is>
          <t>AL05G11</t>
        </is>
      </c>
      <c r="E108" t="inlineStr">
        <is>
          <t>F04</t>
        </is>
      </c>
      <c r="F108" t="inlineStr">
        <is>
          <t>Family</t>
        </is>
      </c>
      <c r="G108" s="11" t="n"/>
      <c r="H108" s="22" t="n"/>
      <c r="I108" s="11" t="n"/>
      <c r="J108" s="22" t="n"/>
      <c r="K108" s="11" t="n"/>
      <c r="L108" t="inlineStr">
        <is>
          <t>Typology drawing R01</t>
        </is>
      </c>
      <c r="M108">
        <f>Config!$B$3&amp;"?room="&amp;A108</f>
        <v/>
      </c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 ht="15" customHeight="1">
      <c r="A109" t="inlineStr">
        <is>
          <t>A-L05-F05</t>
        </is>
      </c>
      <c r="B109" t="inlineStr">
        <is>
          <t>Tower A</t>
        </is>
      </c>
      <c r="C109" t="inlineStr">
        <is>
          <t>L05</t>
        </is>
      </c>
      <c r="D109" t="inlineStr">
        <is>
          <t>AL05G46</t>
        </is>
      </c>
      <c r="E109" t="inlineStr">
        <is>
          <t>F05</t>
        </is>
      </c>
      <c r="F109" t="inlineStr">
        <is>
          <t>Family</t>
        </is>
      </c>
      <c r="G109" s="11" t="n"/>
      <c r="H109" s="22" t="n"/>
      <c r="I109" s="11" t="n"/>
      <c r="J109" s="22" t="n"/>
      <c r="K109" s="11" t="n"/>
      <c r="L109" t="inlineStr">
        <is>
          <t>Typology drawing R01</t>
        </is>
      </c>
      <c r="M109">
        <f>Config!$B$3&amp;"?room="&amp;A109</f>
        <v/>
      </c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 ht="15" customHeight="1">
      <c r="A110" t="inlineStr">
        <is>
          <t>A-L05-K01-01</t>
        </is>
      </c>
      <c r="B110" t="inlineStr">
        <is>
          <t>Tower A</t>
        </is>
      </c>
      <c r="C110" t="inlineStr">
        <is>
          <t>L05</t>
        </is>
      </c>
      <c r="D110" t="inlineStr">
        <is>
          <t>AL05G19</t>
        </is>
      </c>
      <c r="E110" t="inlineStr">
        <is>
          <t>K01</t>
        </is>
      </c>
      <c r="F110" t="inlineStr">
        <is>
          <t>King</t>
        </is>
      </c>
      <c r="G110" s="11" t="n"/>
      <c r="H110" s="22" t="n"/>
      <c r="I110" s="11" t="n"/>
      <c r="J110" s="22" t="n"/>
      <c r="K110" s="11" t="n"/>
      <c r="L110" t="inlineStr">
        <is>
          <t>Typology drawing R01</t>
        </is>
      </c>
      <c r="M110">
        <f>Config!$B$3&amp;"?room="&amp;A110</f>
        <v/>
      </c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 ht="15" customHeight="1">
      <c r="A111" t="inlineStr">
        <is>
          <t>A-L05-K01-02</t>
        </is>
      </c>
      <c r="B111" t="inlineStr">
        <is>
          <t>Tower A</t>
        </is>
      </c>
      <c r="C111" t="inlineStr">
        <is>
          <t>L05</t>
        </is>
      </c>
      <c r="D111" t="inlineStr">
        <is>
          <t>AL05G23</t>
        </is>
      </c>
      <c r="E111" t="inlineStr">
        <is>
          <t>K01</t>
        </is>
      </c>
      <c r="F111" t="inlineStr">
        <is>
          <t>King</t>
        </is>
      </c>
      <c r="G111" s="11" t="n"/>
      <c r="H111" s="22" t="n"/>
      <c r="I111" s="11" t="n"/>
      <c r="J111" s="22" t="n"/>
      <c r="K111" s="11" t="n"/>
      <c r="L111" t="inlineStr">
        <is>
          <t>Typology drawing R01</t>
        </is>
      </c>
      <c r="M111">
        <f>Config!$B$3&amp;"?room="&amp;A111</f>
        <v/>
      </c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 ht="15" customHeight="1">
      <c r="A112" t="inlineStr">
        <is>
          <t>A-L05-K01-03</t>
        </is>
      </c>
      <c r="B112" t="inlineStr">
        <is>
          <t>Tower A</t>
        </is>
      </c>
      <c r="C112" t="inlineStr">
        <is>
          <t>L05</t>
        </is>
      </c>
      <c r="D112" t="inlineStr">
        <is>
          <t>AL05G27</t>
        </is>
      </c>
      <c r="E112" t="inlineStr">
        <is>
          <t>K01</t>
        </is>
      </c>
      <c r="F112" t="inlineStr">
        <is>
          <t>King</t>
        </is>
      </c>
      <c r="G112" s="11" t="n"/>
      <c r="H112" s="22" t="n"/>
      <c r="I112" s="11" t="n"/>
      <c r="J112" s="22" t="n"/>
      <c r="K112" s="11" t="n"/>
      <c r="L112" t="inlineStr">
        <is>
          <t>Typology drawing R01</t>
        </is>
      </c>
      <c r="M112">
        <f>Config!$B$3&amp;"?room="&amp;A112</f>
        <v/>
      </c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 ht="15" customHeight="1">
      <c r="A113" t="inlineStr">
        <is>
          <t>A-L05-K01B-01</t>
        </is>
      </c>
      <c r="B113" t="inlineStr">
        <is>
          <t>Tower A</t>
        </is>
      </c>
      <c r="C113" t="inlineStr">
        <is>
          <t>L05</t>
        </is>
      </c>
      <c r="D113" t="inlineStr">
        <is>
          <t>AL05G26</t>
        </is>
      </c>
      <c r="E113" t="inlineStr">
        <is>
          <t>K01B</t>
        </is>
      </c>
      <c r="F113" t="inlineStr">
        <is>
          <t>King</t>
        </is>
      </c>
      <c r="G113" s="11" t="n"/>
      <c r="H113" s="22" t="n"/>
      <c r="I113" s="11" t="n"/>
      <c r="J113" s="22" t="n"/>
      <c r="K113" s="11" t="n"/>
      <c r="L113" t="inlineStr">
        <is>
          <t>Typology drawing R01</t>
        </is>
      </c>
      <c r="M113">
        <f>Config!$B$3&amp;"?room="&amp;A113</f>
        <v/>
      </c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 ht="15" customHeight="1">
      <c r="A114" t="inlineStr">
        <is>
          <t>A-L05-K01B-02</t>
        </is>
      </c>
      <c r="B114" t="inlineStr">
        <is>
          <t>Tower A</t>
        </is>
      </c>
      <c r="C114" t="inlineStr">
        <is>
          <t>L05</t>
        </is>
      </c>
      <c r="D114" t="inlineStr">
        <is>
          <t>AL05G30</t>
        </is>
      </c>
      <c r="E114" t="inlineStr">
        <is>
          <t>K01B</t>
        </is>
      </c>
      <c r="F114" t="inlineStr">
        <is>
          <t>King</t>
        </is>
      </c>
      <c r="G114" s="11" t="n"/>
      <c r="H114" s="22" t="n"/>
      <c r="I114" s="11" t="n"/>
      <c r="J114" s="22" t="n"/>
      <c r="K114" s="11" t="n"/>
      <c r="L114" t="inlineStr">
        <is>
          <t>Typology drawing R01</t>
        </is>
      </c>
      <c r="M114">
        <f>Config!$B$3&amp;"?room="&amp;A114</f>
        <v/>
      </c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 ht="15" customHeight="1">
      <c r="A115" t="inlineStr">
        <is>
          <t>A-L05-K01C-01</t>
        </is>
      </c>
      <c r="B115" t="inlineStr">
        <is>
          <t>Tower A</t>
        </is>
      </c>
      <c r="C115" t="inlineStr">
        <is>
          <t>L05</t>
        </is>
      </c>
      <c r="D115" t="inlineStr">
        <is>
          <t>AL05G07</t>
        </is>
      </c>
      <c r="E115" t="inlineStr">
        <is>
          <t>K01C</t>
        </is>
      </c>
      <c r="F115" t="inlineStr">
        <is>
          <t>King</t>
        </is>
      </c>
      <c r="G115" s="11" t="n"/>
      <c r="H115" s="22" t="n"/>
      <c r="I115" s="11" t="n"/>
      <c r="J115" s="22" t="n"/>
      <c r="K115" s="11" t="n"/>
      <c r="L115" t="inlineStr">
        <is>
          <t>Typology drawing R01</t>
        </is>
      </c>
      <c r="M115">
        <f>Config!$B$3&amp;"?room="&amp;A115</f>
        <v/>
      </c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 ht="15" customHeight="1">
      <c r="A116" t="inlineStr">
        <is>
          <t>A-L05-K01C-02</t>
        </is>
      </c>
      <c r="B116" t="inlineStr">
        <is>
          <t>Tower A</t>
        </is>
      </c>
      <c r="C116" t="inlineStr">
        <is>
          <t>L05</t>
        </is>
      </c>
      <c r="D116" t="inlineStr">
        <is>
          <t>AL05G31</t>
        </is>
      </c>
      <c r="E116" t="inlineStr">
        <is>
          <t>K01C</t>
        </is>
      </c>
      <c r="F116" t="inlineStr">
        <is>
          <t>King</t>
        </is>
      </c>
      <c r="G116" s="11" t="n"/>
      <c r="H116" s="22" t="n"/>
      <c r="I116" s="11" t="n"/>
      <c r="J116" s="22" t="n"/>
      <c r="K116" s="11" t="n"/>
      <c r="L116" t="inlineStr">
        <is>
          <t>Typology drawing R01</t>
        </is>
      </c>
      <c r="M116">
        <f>Config!$B$3&amp;"?room="&amp;A116</f>
        <v/>
      </c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 ht="15" customHeight="1">
      <c r="A117" t="inlineStr">
        <is>
          <t>A-L05-K01C-03</t>
        </is>
      </c>
      <c r="B117" t="inlineStr">
        <is>
          <t>Tower A</t>
        </is>
      </c>
      <c r="C117" t="inlineStr">
        <is>
          <t>L05</t>
        </is>
      </c>
      <c r="D117" t="inlineStr">
        <is>
          <t>AL05G35</t>
        </is>
      </c>
      <c r="E117" t="inlineStr">
        <is>
          <t>K01C</t>
        </is>
      </c>
      <c r="F117" t="inlineStr">
        <is>
          <t>King</t>
        </is>
      </c>
      <c r="G117" s="11" t="n"/>
      <c r="H117" s="22" t="n"/>
      <c r="I117" s="11" t="n"/>
      <c r="J117" s="22" t="n"/>
      <c r="K117" s="11" t="n"/>
      <c r="L117" t="inlineStr">
        <is>
          <t>Typology drawing R01</t>
        </is>
      </c>
      <c r="M117">
        <f>Config!$B$3&amp;"?room="&amp;A117</f>
        <v/>
      </c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 ht="15" customHeight="1">
      <c r="A118" t="inlineStr">
        <is>
          <t>A-L05-K01D</t>
        </is>
      </c>
      <c r="B118" t="inlineStr">
        <is>
          <t>Tower A</t>
        </is>
      </c>
      <c r="C118" t="inlineStr">
        <is>
          <t>L05</t>
        </is>
      </c>
      <c r="D118" t="inlineStr">
        <is>
          <t>AL05G39</t>
        </is>
      </c>
      <c r="E118" t="inlineStr">
        <is>
          <t>K01D</t>
        </is>
      </c>
      <c r="F118" t="inlineStr">
        <is>
          <t>King</t>
        </is>
      </c>
      <c r="G118" s="11" t="n"/>
      <c r="H118" s="22" t="n"/>
      <c r="I118" s="11" t="n"/>
      <c r="J118" s="22" t="n"/>
      <c r="K118" s="11" t="n"/>
      <c r="L118" t="inlineStr">
        <is>
          <t>Typology drawing R01</t>
        </is>
      </c>
      <c r="M118">
        <f>Config!$B$3&amp;"?room="&amp;A118</f>
        <v/>
      </c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 ht="15" customHeight="1">
      <c r="A119" t="inlineStr">
        <is>
          <t>A-L05-K02-01</t>
        </is>
      </c>
      <c r="B119" t="inlineStr">
        <is>
          <t>Tower A</t>
        </is>
      </c>
      <c r="C119" t="inlineStr">
        <is>
          <t>L05</t>
        </is>
      </c>
      <c r="D119" t="inlineStr">
        <is>
          <t>AL05G25</t>
        </is>
      </c>
      <c r="E119" t="inlineStr">
        <is>
          <t>K02</t>
        </is>
      </c>
      <c r="F119" t="inlineStr">
        <is>
          <t>King</t>
        </is>
      </c>
      <c r="G119" s="11" t="n"/>
      <c r="H119" s="22" t="n"/>
      <c r="I119" s="11" t="n"/>
      <c r="J119" s="22" t="n"/>
      <c r="K119" s="11" t="n"/>
      <c r="L119" t="inlineStr">
        <is>
          <t>Typology drawing R01</t>
        </is>
      </c>
      <c r="M119">
        <f>Config!$B$3&amp;"?room="&amp;A119</f>
        <v/>
      </c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 ht="15" customHeight="1">
      <c r="A120" t="inlineStr">
        <is>
          <t>A-L05-K02-02</t>
        </is>
      </c>
      <c r="B120" t="inlineStr">
        <is>
          <t>Tower A</t>
        </is>
      </c>
      <c r="C120" t="inlineStr">
        <is>
          <t>L05</t>
        </is>
      </c>
      <c r="D120" t="inlineStr">
        <is>
          <t>AL05G29</t>
        </is>
      </c>
      <c r="E120" t="inlineStr">
        <is>
          <t>K02</t>
        </is>
      </c>
      <c r="F120" t="inlineStr">
        <is>
          <t>King</t>
        </is>
      </c>
      <c r="G120" s="11" t="n"/>
      <c r="H120" s="22" t="n"/>
      <c r="I120" s="11" t="n"/>
      <c r="J120" s="22" t="n"/>
      <c r="K120" s="11" t="n"/>
      <c r="L120" t="inlineStr">
        <is>
          <t>Typology drawing R01</t>
        </is>
      </c>
      <c r="M120">
        <f>Config!$B$3&amp;"?room="&amp;A120</f>
        <v/>
      </c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 ht="15" customHeight="1">
      <c r="A121" t="inlineStr">
        <is>
          <t>A-L05-K02B-01</t>
        </is>
      </c>
      <c r="B121" t="inlineStr">
        <is>
          <t>Tower A</t>
        </is>
      </c>
      <c r="C121" t="inlineStr">
        <is>
          <t>L05</t>
        </is>
      </c>
      <c r="D121" t="inlineStr">
        <is>
          <t>AL05G24</t>
        </is>
      </c>
      <c r="E121" t="inlineStr">
        <is>
          <t>K02B</t>
        </is>
      </c>
      <c r="F121" t="inlineStr">
        <is>
          <t>King</t>
        </is>
      </c>
      <c r="G121" s="11" t="n"/>
      <c r="H121" s="22" t="n"/>
      <c r="I121" s="11" t="n"/>
      <c r="J121" s="22" t="n"/>
      <c r="K121" s="11" t="n"/>
      <c r="L121" t="inlineStr">
        <is>
          <t>Typology drawing R01</t>
        </is>
      </c>
      <c r="M121">
        <f>Config!$B$3&amp;"?room="&amp;A121</f>
        <v/>
      </c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 ht="15" customHeight="1">
      <c r="A122" t="inlineStr">
        <is>
          <t>A-L05-K02B-02</t>
        </is>
      </c>
      <c r="B122" t="inlineStr">
        <is>
          <t>Tower A</t>
        </is>
      </c>
      <c r="C122" t="inlineStr">
        <is>
          <t>L05</t>
        </is>
      </c>
      <c r="D122" t="inlineStr">
        <is>
          <t>AL05G28</t>
        </is>
      </c>
      <c r="E122" t="inlineStr">
        <is>
          <t>K02B</t>
        </is>
      </c>
      <c r="F122" t="inlineStr">
        <is>
          <t>King</t>
        </is>
      </c>
      <c r="G122" s="11" t="n"/>
      <c r="H122" s="22" t="n"/>
      <c r="I122" s="11" t="n"/>
      <c r="J122" s="22" t="n"/>
      <c r="K122" s="11" t="n"/>
      <c r="L122" t="inlineStr">
        <is>
          <t>Typology drawing R01</t>
        </is>
      </c>
      <c r="M122">
        <f>Config!$B$3&amp;"?room="&amp;A122</f>
        <v/>
      </c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 ht="15" customHeight="1">
      <c r="A123" t="inlineStr">
        <is>
          <t>A-L05-K02B-03</t>
        </is>
      </c>
      <c r="B123" t="inlineStr">
        <is>
          <t>Tower A</t>
        </is>
      </c>
      <c r="C123" t="inlineStr">
        <is>
          <t>L05</t>
        </is>
      </c>
      <c r="D123" t="inlineStr">
        <is>
          <t>AL05G36</t>
        </is>
      </c>
      <c r="E123" t="inlineStr">
        <is>
          <t>K02B</t>
        </is>
      </c>
      <c r="F123" t="inlineStr">
        <is>
          <t>King</t>
        </is>
      </c>
      <c r="G123" s="11" t="n"/>
      <c r="H123" s="22" t="n"/>
      <c r="I123" s="11" t="n"/>
      <c r="J123" s="22" t="n"/>
      <c r="K123" s="11" t="n"/>
      <c r="L123" t="inlineStr">
        <is>
          <t>Typology drawing R01</t>
        </is>
      </c>
      <c r="M123">
        <f>Config!$B$3&amp;"?room="&amp;A123</f>
        <v/>
      </c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 ht="15" customHeight="1">
      <c r="A124" t="inlineStr">
        <is>
          <t>A-L05-K02C1</t>
        </is>
      </c>
      <c r="B124" t="inlineStr">
        <is>
          <t>Tower A</t>
        </is>
      </c>
      <c r="C124" t="inlineStr">
        <is>
          <t>L05</t>
        </is>
      </c>
      <c r="D124" t="inlineStr">
        <is>
          <t>AL05G08</t>
        </is>
      </c>
      <c r="E124" t="inlineStr">
        <is>
          <t>K02C1</t>
        </is>
      </c>
      <c r="F124" t="inlineStr">
        <is>
          <t>King</t>
        </is>
      </c>
      <c r="G124" s="11" t="n"/>
      <c r="H124" s="22" t="n"/>
      <c r="I124" s="11" t="n"/>
      <c r="J124" s="22" t="n"/>
      <c r="K124" s="11" t="n"/>
      <c r="L124" t="inlineStr">
        <is>
          <t>Typology drawing R01</t>
        </is>
      </c>
      <c r="M124">
        <f>Config!$B$3&amp;"?room="&amp;A124</f>
        <v/>
      </c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 ht="15" customHeight="1">
      <c r="A125" t="inlineStr">
        <is>
          <t>A-L05-K02C2-01</t>
        </is>
      </c>
      <c r="B125" t="inlineStr">
        <is>
          <t>Tower A</t>
        </is>
      </c>
      <c r="C125" t="inlineStr">
        <is>
          <t>L05</t>
        </is>
      </c>
      <c r="D125" t="inlineStr">
        <is>
          <t>AL05G20</t>
        </is>
      </c>
      <c r="E125" t="inlineStr">
        <is>
          <t>K02C2</t>
        </is>
      </c>
      <c r="F125" t="inlineStr">
        <is>
          <t>King</t>
        </is>
      </c>
      <c r="G125" s="11" t="n"/>
      <c r="H125" s="22" t="n"/>
      <c r="I125" s="11" t="n"/>
      <c r="J125" s="22" t="n"/>
      <c r="K125" s="11" t="n"/>
      <c r="L125" t="inlineStr">
        <is>
          <t>Typology drawing R01</t>
        </is>
      </c>
      <c r="M125">
        <f>Config!$B$3&amp;"?room="&amp;A125</f>
        <v/>
      </c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 ht="15" customHeight="1">
      <c r="A126" t="inlineStr">
        <is>
          <t>A-L05-K02C2-02</t>
        </is>
      </c>
      <c r="B126" t="inlineStr">
        <is>
          <t>Tower A</t>
        </is>
      </c>
      <c r="C126" t="inlineStr">
        <is>
          <t>L05</t>
        </is>
      </c>
      <c r="D126" t="inlineStr">
        <is>
          <t>AL05G32</t>
        </is>
      </c>
      <c r="E126" t="inlineStr">
        <is>
          <t>K02C2</t>
        </is>
      </c>
      <c r="F126" t="inlineStr">
        <is>
          <t>King</t>
        </is>
      </c>
      <c r="G126" s="11" t="n"/>
      <c r="H126" s="22" t="n"/>
      <c r="I126" s="11" t="n"/>
      <c r="J126" s="22" t="n"/>
      <c r="K126" s="11" t="n"/>
      <c r="L126" t="inlineStr">
        <is>
          <t>Typology drawing R01</t>
        </is>
      </c>
      <c r="M126">
        <f>Config!$B$3&amp;"?room="&amp;A126</f>
        <v/>
      </c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 ht="15" customHeight="1">
      <c r="A127" t="inlineStr">
        <is>
          <t>A-L05-K02D1</t>
        </is>
      </c>
      <c r="B127" t="inlineStr">
        <is>
          <t>Tower A</t>
        </is>
      </c>
      <c r="C127" t="inlineStr">
        <is>
          <t>L05</t>
        </is>
      </c>
      <c r="D127" t="inlineStr">
        <is>
          <t>AL05G12</t>
        </is>
      </c>
      <c r="E127" t="inlineStr">
        <is>
          <t>K02D1</t>
        </is>
      </c>
      <c r="F127" t="inlineStr">
        <is>
          <t>King</t>
        </is>
      </c>
      <c r="G127" s="11" t="n"/>
      <c r="H127" s="22" t="n"/>
      <c r="I127" s="11" t="n"/>
      <c r="J127" s="22" t="n"/>
      <c r="K127" s="11" t="n"/>
      <c r="L127" t="inlineStr">
        <is>
          <t>Typology drawing R01</t>
        </is>
      </c>
      <c r="M127">
        <f>Config!$B$3&amp;"?room="&amp;A127</f>
        <v/>
      </c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 ht="15" customHeight="1">
      <c r="A128" t="inlineStr">
        <is>
          <t>A-L05-Q01</t>
        </is>
      </c>
      <c r="B128" t="inlineStr">
        <is>
          <t>Tower A</t>
        </is>
      </c>
      <c r="C128" t="inlineStr">
        <is>
          <t>L05</t>
        </is>
      </c>
      <c r="D128" t="inlineStr">
        <is>
          <t>AL05G21</t>
        </is>
      </c>
      <c r="E128" t="inlineStr">
        <is>
          <t>Q01</t>
        </is>
      </c>
      <c r="F128" t="inlineStr">
        <is>
          <t>Queen</t>
        </is>
      </c>
      <c r="G128" s="11" t="n"/>
      <c r="H128" s="22" t="n"/>
      <c r="I128" s="11" t="n"/>
      <c r="J128" s="22" t="n"/>
      <c r="K128" s="11" t="n"/>
      <c r="L128" t="inlineStr">
        <is>
          <t>Typology drawing R01</t>
        </is>
      </c>
      <c r="M128">
        <f>Config!$B$3&amp;"?room="&amp;A128</f>
        <v/>
      </c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 ht="15" customHeight="1">
      <c r="A129" t="inlineStr">
        <is>
          <t>A-L05-Q01C-01</t>
        </is>
      </c>
      <c r="B129" t="inlineStr">
        <is>
          <t>Tower A</t>
        </is>
      </c>
      <c r="C129" t="inlineStr">
        <is>
          <t>L05</t>
        </is>
      </c>
      <c r="D129" t="inlineStr">
        <is>
          <t>AL05G05</t>
        </is>
      </c>
      <c r="E129" t="inlineStr">
        <is>
          <t>Q01C</t>
        </is>
      </c>
      <c r="F129" t="inlineStr">
        <is>
          <t>Queen</t>
        </is>
      </c>
      <c r="G129" s="11" t="n"/>
      <c r="H129" s="22" t="n"/>
      <c r="I129" s="11" t="n"/>
      <c r="J129" s="22" t="n"/>
      <c r="K129" s="11" t="n"/>
      <c r="L129" t="inlineStr">
        <is>
          <t>Typology drawing R01</t>
        </is>
      </c>
      <c r="M129">
        <f>Config!$B$3&amp;"?room="&amp;A129</f>
        <v/>
      </c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 ht="15" customHeight="1">
      <c r="A130" t="inlineStr">
        <is>
          <t>A-L05-Q01C-02</t>
        </is>
      </c>
      <c r="B130" t="inlineStr">
        <is>
          <t>Tower A</t>
        </is>
      </c>
      <c r="C130" t="inlineStr">
        <is>
          <t>L05</t>
        </is>
      </c>
      <c r="D130" t="inlineStr">
        <is>
          <t>AL05G09</t>
        </is>
      </c>
      <c r="E130" t="inlineStr">
        <is>
          <t>Q01C</t>
        </is>
      </c>
      <c r="F130" t="inlineStr">
        <is>
          <t>Queen</t>
        </is>
      </c>
      <c r="G130" s="11" t="n"/>
      <c r="H130" s="22" t="n"/>
      <c r="I130" s="11" t="n"/>
      <c r="J130" s="22" t="n"/>
      <c r="K130" s="11" t="n"/>
      <c r="L130" t="inlineStr">
        <is>
          <t>Typology drawing R01</t>
        </is>
      </c>
      <c r="M130">
        <f>Config!$B$3&amp;"?room="&amp;A130</f>
        <v/>
      </c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 ht="15" customHeight="1">
      <c r="A131" t="inlineStr">
        <is>
          <t>A-L05-Q01C-03</t>
        </is>
      </c>
      <c r="B131" t="inlineStr">
        <is>
          <t>Tower A</t>
        </is>
      </c>
      <c r="C131" t="inlineStr">
        <is>
          <t>L05</t>
        </is>
      </c>
      <c r="D131" t="inlineStr">
        <is>
          <t>AL05G33</t>
        </is>
      </c>
      <c r="E131" t="inlineStr">
        <is>
          <t>Q01C</t>
        </is>
      </c>
      <c r="F131" t="inlineStr">
        <is>
          <t>Queen</t>
        </is>
      </c>
      <c r="G131" s="11" t="n"/>
      <c r="H131" s="22" t="n"/>
      <c r="I131" s="11" t="n"/>
      <c r="J131" s="22" t="n"/>
      <c r="K131" s="11" t="n"/>
      <c r="L131" t="inlineStr">
        <is>
          <t>Typology drawing R01</t>
        </is>
      </c>
      <c r="M131">
        <f>Config!$B$3&amp;"?room="&amp;A131</f>
        <v/>
      </c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 ht="15" customHeight="1">
      <c r="A132" t="inlineStr">
        <is>
          <t>A-L05-Q01C1</t>
        </is>
      </c>
      <c r="B132" t="inlineStr">
        <is>
          <t>Tower A</t>
        </is>
      </c>
      <c r="C132" t="inlineStr">
        <is>
          <t>L05</t>
        </is>
      </c>
      <c r="D132" t="inlineStr">
        <is>
          <t>AL05G14</t>
        </is>
      </c>
      <c r="E132" t="inlineStr">
        <is>
          <t>Q01C1</t>
        </is>
      </c>
      <c r="F132" t="inlineStr">
        <is>
          <t>Queen</t>
        </is>
      </c>
      <c r="G132" s="11" t="n"/>
      <c r="H132" s="22" t="n"/>
      <c r="I132" s="11" t="n"/>
      <c r="J132" s="22" t="n"/>
      <c r="K132" s="11" t="n"/>
      <c r="L132" t="inlineStr">
        <is>
          <t>Typology drawing R01</t>
        </is>
      </c>
      <c r="M132">
        <f>Config!$B$3&amp;"?room="&amp;A132</f>
        <v/>
      </c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 ht="15" customHeight="1">
      <c r="A133" t="inlineStr">
        <is>
          <t>A-L05-Q02C1-01</t>
        </is>
      </c>
      <c r="B133" t="inlineStr">
        <is>
          <t>Tower A</t>
        </is>
      </c>
      <c r="C133" t="inlineStr">
        <is>
          <t>L05</t>
        </is>
      </c>
      <c r="D133" t="inlineStr">
        <is>
          <t>AL05G06</t>
        </is>
      </c>
      <c r="E133" t="inlineStr">
        <is>
          <t>Q02C1</t>
        </is>
      </c>
      <c r="F133" t="inlineStr">
        <is>
          <t>Queen</t>
        </is>
      </c>
      <c r="G133" s="11" t="n"/>
      <c r="H133" s="22" t="n"/>
      <c r="I133" s="11" t="n"/>
      <c r="J133" s="22" t="n"/>
      <c r="K133" s="11" t="n"/>
      <c r="L133" t="inlineStr">
        <is>
          <t>Typology drawing R01</t>
        </is>
      </c>
      <c r="M133">
        <f>Config!$B$3&amp;"?room="&amp;A133</f>
        <v/>
      </c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 ht="15" customHeight="1">
      <c r="A134" t="inlineStr">
        <is>
          <t>A-L05-Q02C1-02</t>
        </is>
      </c>
      <c r="B134" t="inlineStr">
        <is>
          <t>Tower A</t>
        </is>
      </c>
      <c r="C134" t="inlineStr">
        <is>
          <t>L05</t>
        </is>
      </c>
      <c r="D134" t="inlineStr">
        <is>
          <t>AL05G10</t>
        </is>
      </c>
      <c r="E134" t="inlineStr">
        <is>
          <t>Q02C1</t>
        </is>
      </c>
      <c r="F134" t="inlineStr">
        <is>
          <t>Queen</t>
        </is>
      </c>
      <c r="G134" s="11" t="n"/>
      <c r="H134" s="22" t="n"/>
      <c r="I134" s="11" t="n"/>
      <c r="J134" s="22" t="n"/>
      <c r="K134" s="11" t="n"/>
      <c r="L134" t="inlineStr">
        <is>
          <t>Typology drawing R01</t>
        </is>
      </c>
      <c r="M134">
        <f>Config!$B$3&amp;"?room="&amp;A134</f>
        <v/>
      </c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 ht="15" customHeight="1">
      <c r="A135" t="inlineStr">
        <is>
          <t>A-L05-Q02C2-01</t>
        </is>
      </c>
      <c r="B135" t="inlineStr">
        <is>
          <t>Tower A</t>
        </is>
      </c>
      <c r="C135" t="inlineStr">
        <is>
          <t>L05</t>
        </is>
      </c>
      <c r="D135" t="inlineStr">
        <is>
          <t>AL05G22</t>
        </is>
      </c>
      <c r="E135" t="inlineStr">
        <is>
          <t>Q02C2</t>
        </is>
      </c>
      <c r="F135" t="inlineStr">
        <is>
          <t>Queen</t>
        </is>
      </c>
      <c r="G135" s="11" t="n"/>
      <c r="H135" s="22" t="n"/>
      <c r="I135" s="11" t="n"/>
      <c r="J135" s="22" t="n"/>
      <c r="K135" s="11" t="n"/>
      <c r="L135" t="inlineStr">
        <is>
          <t>Typology drawing R01</t>
        </is>
      </c>
      <c r="M135">
        <f>Config!$B$3&amp;"?room="&amp;A135</f>
        <v/>
      </c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 ht="15" customHeight="1">
      <c r="A136" t="inlineStr">
        <is>
          <t>A-L05-Q02C2-02</t>
        </is>
      </c>
      <c r="B136" t="inlineStr">
        <is>
          <t>Tower A</t>
        </is>
      </c>
      <c r="C136" t="inlineStr">
        <is>
          <t>L05</t>
        </is>
      </c>
      <c r="D136" t="inlineStr">
        <is>
          <t>AL05G34</t>
        </is>
      </c>
      <c r="E136" t="inlineStr">
        <is>
          <t>Q02C2</t>
        </is>
      </c>
      <c r="F136" t="inlineStr">
        <is>
          <t>Queen</t>
        </is>
      </c>
      <c r="G136" s="11" t="n"/>
      <c r="H136" s="22" t="n"/>
      <c r="I136" s="11" t="n"/>
      <c r="J136" s="22" t="n"/>
      <c r="K136" s="11" t="n"/>
      <c r="L136" t="inlineStr">
        <is>
          <t>Typology drawing R01</t>
        </is>
      </c>
      <c r="M136">
        <f>Config!$B$3&amp;"?room="&amp;A136</f>
        <v/>
      </c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 ht="15" customHeight="1">
      <c r="A137" t="inlineStr">
        <is>
          <t>A-L05-Q02E</t>
        </is>
      </c>
      <c r="B137" t="inlineStr">
        <is>
          <t>Tower A</t>
        </is>
      </c>
      <c r="C137" t="inlineStr">
        <is>
          <t>L05</t>
        </is>
      </c>
      <c r="D137" t="inlineStr">
        <is>
          <t>AL05G41</t>
        </is>
      </c>
      <c r="E137" t="inlineStr">
        <is>
          <t>Q02E</t>
        </is>
      </c>
      <c r="F137" t="inlineStr">
        <is>
          <t>Queen</t>
        </is>
      </c>
      <c r="G137" s="11" t="n"/>
      <c r="H137" s="22" t="n"/>
      <c r="I137" s="11" t="n"/>
      <c r="J137" s="22" t="n"/>
      <c r="K137" s="11" t="n"/>
      <c r="L137" t="inlineStr">
        <is>
          <t>Typology drawing R01</t>
        </is>
      </c>
      <c r="M137">
        <f>Config!$B$3&amp;"?room="&amp;A137</f>
        <v/>
      </c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 ht="15" customHeight="1">
      <c r="A138" t="inlineStr">
        <is>
          <t>A-L05-QADA2</t>
        </is>
      </c>
      <c r="B138" t="inlineStr">
        <is>
          <t>Tower A</t>
        </is>
      </c>
      <c r="C138" t="inlineStr">
        <is>
          <t>L05</t>
        </is>
      </c>
      <c r="D138" t="inlineStr">
        <is>
          <t>AL05G37</t>
        </is>
      </c>
      <c r="E138" t="inlineStr">
        <is>
          <t>QADA2</t>
        </is>
      </c>
      <c r="F138" t="inlineStr">
        <is>
          <t>Queen ADA</t>
        </is>
      </c>
      <c r="G138" s="11" t="n"/>
      <c r="H138" s="22" t="n"/>
      <c r="I138" s="11" t="n"/>
      <c r="J138" s="22" t="n"/>
      <c r="K138" s="11" t="n"/>
      <c r="L138" t="inlineStr">
        <is>
          <t>Typology drawing R01</t>
        </is>
      </c>
      <c r="M138">
        <f>Config!$B$3&amp;"?room="&amp;A138</f>
        <v/>
      </c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 ht="15" customHeight="1">
      <c r="A139" t="inlineStr">
        <is>
          <t>A-L05-S05</t>
        </is>
      </c>
      <c r="B139" t="inlineStr">
        <is>
          <t>Tower A</t>
        </is>
      </c>
      <c r="C139" t="inlineStr">
        <is>
          <t>L05</t>
        </is>
      </c>
      <c r="D139" t="inlineStr">
        <is>
          <t>AL05G16</t>
        </is>
      </c>
      <c r="E139" t="inlineStr">
        <is>
          <t>S05</t>
        </is>
      </c>
      <c r="F139" t="inlineStr">
        <is>
          <t>Suite</t>
        </is>
      </c>
      <c r="G139" s="11" t="n"/>
      <c r="H139" s="22" t="n"/>
      <c r="I139" s="11" t="n"/>
      <c r="J139" s="22" t="n"/>
      <c r="K139" s="11" t="n"/>
      <c r="L139" t="inlineStr">
        <is>
          <t>Typology drawing R01</t>
        </is>
      </c>
      <c r="M139">
        <f>Config!$B$3&amp;"?room="&amp;A139</f>
        <v/>
      </c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 ht="15" customHeight="1">
      <c r="A140" t="inlineStr">
        <is>
          <t>A-L05-S06</t>
        </is>
      </c>
      <c r="B140" t="inlineStr">
        <is>
          <t>Tower A</t>
        </is>
      </c>
      <c r="C140" t="inlineStr">
        <is>
          <t>L05</t>
        </is>
      </c>
      <c r="D140" t="inlineStr">
        <is>
          <t>AL05G43</t>
        </is>
      </c>
      <c r="E140" t="inlineStr">
        <is>
          <t>S06</t>
        </is>
      </c>
      <c r="F140" t="inlineStr">
        <is>
          <t>Suite</t>
        </is>
      </c>
      <c r="G140" s="11" t="n"/>
      <c r="H140" s="22" t="n"/>
      <c r="I140" s="11" t="n"/>
      <c r="J140" s="22" t="n"/>
      <c r="K140" s="11" t="n"/>
      <c r="L140" t="inlineStr">
        <is>
          <t>Typology drawing R01</t>
        </is>
      </c>
      <c r="M140">
        <f>Config!$B$3&amp;"?room="&amp;A140</f>
        <v/>
      </c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 ht="15" customHeight="1">
      <c r="A141" t="inlineStr">
        <is>
          <t>A-L06-F03</t>
        </is>
      </c>
      <c r="B141" t="inlineStr">
        <is>
          <t>Tower A</t>
        </is>
      </c>
      <c r="C141" t="inlineStr">
        <is>
          <t>L06</t>
        </is>
      </c>
      <c r="D141" t="inlineStr">
        <is>
          <t>AL06G03</t>
        </is>
      </c>
      <c r="E141" t="inlineStr">
        <is>
          <t>F03</t>
        </is>
      </c>
      <c r="F141" t="inlineStr">
        <is>
          <t>Family</t>
        </is>
      </c>
      <c r="G141" s="11" t="n"/>
      <c r="H141" s="22" t="n"/>
      <c r="I141" s="11" t="n"/>
      <c r="J141" s="22" t="n"/>
      <c r="K141" s="11" t="n"/>
      <c r="L141" t="inlineStr">
        <is>
          <t>Typology drawing R01</t>
        </is>
      </c>
      <c r="M141">
        <f>Config!$B$3&amp;"?room="&amp;A141</f>
        <v/>
      </c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 ht="15" customHeight="1">
      <c r="A142" t="inlineStr">
        <is>
          <t>A-L06-F03B</t>
        </is>
      </c>
      <c r="B142" t="inlineStr">
        <is>
          <t>Tower A</t>
        </is>
      </c>
      <c r="C142" t="inlineStr">
        <is>
          <t>L06</t>
        </is>
      </c>
      <c r="D142" t="inlineStr">
        <is>
          <t>AL06G04</t>
        </is>
      </c>
      <c r="E142" t="inlineStr">
        <is>
          <t>F03B</t>
        </is>
      </c>
      <c r="F142" t="inlineStr">
        <is>
          <t>Family</t>
        </is>
      </c>
      <c r="G142" s="11" t="n"/>
      <c r="H142" s="22" t="n"/>
      <c r="I142" s="11" t="n"/>
      <c r="J142" s="22" t="n"/>
      <c r="K142" s="11" t="n"/>
      <c r="L142" t="inlineStr">
        <is>
          <t>Type per Room Matrix (drawing shows F03A)</t>
        </is>
      </c>
      <c r="M142">
        <f>Config!$B$3&amp;"?room="&amp;A142</f>
        <v/>
      </c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 ht="15" customHeight="1">
      <c r="A143" t="inlineStr">
        <is>
          <t>A-L06-F04</t>
        </is>
      </c>
      <c r="B143" t="inlineStr">
        <is>
          <t>Tower A</t>
        </is>
      </c>
      <c r="C143" t="inlineStr">
        <is>
          <t>L06</t>
        </is>
      </c>
      <c r="D143" t="inlineStr">
        <is>
          <t>AL06G11</t>
        </is>
      </c>
      <c r="E143" t="inlineStr">
        <is>
          <t>F04</t>
        </is>
      </c>
      <c r="F143" t="inlineStr">
        <is>
          <t>Family</t>
        </is>
      </c>
      <c r="G143" s="11" t="n"/>
      <c r="H143" s="22" t="n"/>
      <c r="I143" s="11" t="n"/>
      <c r="J143" s="22" t="n"/>
      <c r="K143" s="11" t="n"/>
      <c r="L143" t="inlineStr">
        <is>
          <t>Typology drawing R01</t>
        </is>
      </c>
      <c r="M143">
        <f>Config!$B$3&amp;"?room="&amp;A143</f>
        <v/>
      </c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 ht="15" customHeight="1">
      <c r="A144" t="inlineStr">
        <is>
          <t>A-L06-F05</t>
        </is>
      </c>
      <c r="B144" t="inlineStr">
        <is>
          <t>Tower A</t>
        </is>
      </c>
      <c r="C144" t="inlineStr">
        <is>
          <t>L06</t>
        </is>
      </c>
      <c r="D144" t="inlineStr">
        <is>
          <t>AL06G46</t>
        </is>
      </c>
      <c r="E144" t="inlineStr">
        <is>
          <t>F05</t>
        </is>
      </c>
      <c r="F144" t="inlineStr">
        <is>
          <t>Family</t>
        </is>
      </c>
      <c r="G144" s="11" t="n"/>
      <c r="H144" s="22" t="n"/>
      <c r="I144" s="11" t="n"/>
      <c r="J144" s="22" t="n"/>
      <c r="K144" s="11" t="n"/>
      <c r="L144" t="inlineStr">
        <is>
          <t>Typology drawing R01</t>
        </is>
      </c>
      <c r="M144">
        <f>Config!$B$3&amp;"?room="&amp;A144</f>
        <v/>
      </c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 ht="15" customHeight="1">
      <c r="A145" t="inlineStr">
        <is>
          <t>A-L06-K01-01</t>
        </is>
      </c>
      <c r="B145" t="inlineStr">
        <is>
          <t>Tower A</t>
        </is>
      </c>
      <c r="C145" t="inlineStr">
        <is>
          <t>L06</t>
        </is>
      </c>
      <c r="D145" t="inlineStr">
        <is>
          <t>AL06G19</t>
        </is>
      </c>
      <c r="E145" t="inlineStr">
        <is>
          <t>K01</t>
        </is>
      </c>
      <c r="F145" t="inlineStr">
        <is>
          <t>King</t>
        </is>
      </c>
      <c r="G145" s="11" t="n"/>
      <c r="H145" s="22" t="n"/>
      <c r="I145" s="11" t="n"/>
      <c r="J145" s="22" t="n"/>
      <c r="K145" s="11" t="n"/>
      <c r="L145" t="inlineStr">
        <is>
          <t>Typology drawing R01</t>
        </is>
      </c>
      <c r="M145">
        <f>Config!$B$3&amp;"?room="&amp;A145</f>
        <v/>
      </c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 ht="15" customHeight="1">
      <c r="A146" t="inlineStr">
        <is>
          <t>A-L06-K01-02</t>
        </is>
      </c>
      <c r="B146" t="inlineStr">
        <is>
          <t>Tower A</t>
        </is>
      </c>
      <c r="C146" t="inlineStr">
        <is>
          <t>L06</t>
        </is>
      </c>
      <c r="D146" t="inlineStr">
        <is>
          <t>AL06G23</t>
        </is>
      </c>
      <c r="E146" t="inlineStr">
        <is>
          <t>K01</t>
        </is>
      </c>
      <c r="F146" t="inlineStr">
        <is>
          <t>King</t>
        </is>
      </c>
      <c r="G146" s="11" t="n"/>
      <c r="H146" s="22" t="n"/>
      <c r="I146" s="11" t="n"/>
      <c r="J146" s="22" t="n"/>
      <c r="K146" s="11" t="n"/>
      <c r="L146" t="inlineStr">
        <is>
          <t>Typology drawing R01</t>
        </is>
      </c>
      <c r="M146">
        <f>Config!$B$3&amp;"?room="&amp;A146</f>
        <v/>
      </c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 ht="15" customHeight="1">
      <c r="A147" t="inlineStr">
        <is>
          <t>A-L06-K01-03</t>
        </is>
      </c>
      <c r="B147" t="inlineStr">
        <is>
          <t>Tower A</t>
        </is>
      </c>
      <c r="C147" t="inlineStr">
        <is>
          <t>L06</t>
        </is>
      </c>
      <c r="D147" t="inlineStr">
        <is>
          <t>AL06G27</t>
        </is>
      </c>
      <c r="E147" t="inlineStr">
        <is>
          <t>K01</t>
        </is>
      </c>
      <c r="F147" t="inlineStr">
        <is>
          <t>King</t>
        </is>
      </c>
      <c r="G147" s="11" t="n"/>
      <c r="H147" s="22" t="n"/>
      <c r="I147" s="11" t="n"/>
      <c r="J147" s="22" t="n"/>
      <c r="K147" s="11" t="n"/>
      <c r="L147" t="inlineStr">
        <is>
          <t>Typology drawing R01</t>
        </is>
      </c>
      <c r="M147">
        <f>Config!$B$3&amp;"?room="&amp;A147</f>
        <v/>
      </c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 ht="15" customHeight="1">
      <c r="A148" t="inlineStr">
        <is>
          <t>A-L06-K01B-01</t>
        </is>
      </c>
      <c r="B148" t="inlineStr">
        <is>
          <t>Tower A</t>
        </is>
      </c>
      <c r="C148" t="inlineStr">
        <is>
          <t>L06</t>
        </is>
      </c>
      <c r="D148" t="inlineStr">
        <is>
          <t>AL06G26</t>
        </is>
      </c>
      <c r="E148" t="inlineStr">
        <is>
          <t>K01B</t>
        </is>
      </c>
      <c r="F148" t="inlineStr">
        <is>
          <t>King</t>
        </is>
      </c>
      <c r="G148" s="11" t="n"/>
      <c r="H148" s="22" t="n"/>
      <c r="I148" s="11" t="n"/>
      <c r="J148" s="22" t="n"/>
      <c r="K148" s="11" t="n"/>
      <c r="L148" t="inlineStr">
        <is>
          <t>Typology drawing R01</t>
        </is>
      </c>
      <c r="M148">
        <f>Config!$B$3&amp;"?room="&amp;A148</f>
        <v/>
      </c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 ht="15" customHeight="1">
      <c r="A149" t="inlineStr">
        <is>
          <t>A-L06-K01B-02</t>
        </is>
      </c>
      <c r="B149" t="inlineStr">
        <is>
          <t>Tower A</t>
        </is>
      </c>
      <c r="C149" t="inlineStr">
        <is>
          <t>L06</t>
        </is>
      </c>
      <c r="D149" t="inlineStr">
        <is>
          <t>AL06G30</t>
        </is>
      </c>
      <c r="E149" t="inlineStr">
        <is>
          <t>K01B</t>
        </is>
      </c>
      <c r="F149" t="inlineStr">
        <is>
          <t>King</t>
        </is>
      </c>
      <c r="G149" s="11" t="n"/>
      <c r="H149" s="22" t="n"/>
      <c r="I149" s="11" t="n"/>
      <c r="J149" s="22" t="n"/>
      <c r="K149" s="11" t="n"/>
      <c r="L149" t="inlineStr">
        <is>
          <t>Typology drawing R01</t>
        </is>
      </c>
      <c r="M149">
        <f>Config!$B$3&amp;"?room="&amp;A149</f>
        <v/>
      </c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 ht="15" customHeight="1">
      <c r="A150" t="inlineStr">
        <is>
          <t>A-L06-K01C-01</t>
        </is>
      </c>
      <c r="B150" t="inlineStr">
        <is>
          <t>Tower A</t>
        </is>
      </c>
      <c r="C150" t="inlineStr">
        <is>
          <t>L06</t>
        </is>
      </c>
      <c r="D150" t="inlineStr">
        <is>
          <t>AL06G07</t>
        </is>
      </c>
      <c r="E150" t="inlineStr">
        <is>
          <t>K01C</t>
        </is>
      </c>
      <c r="F150" t="inlineStr">
        <is>
          <t>King</t>
        </is>
      </c>
      <c r="G150" s="11" t="n"/>
      <c r="H150" s="22" t="n"/>
      <c r="I150" s="11" t="n"/>
      <c r="J150" s="22" t="n"/>
      <c r="K150" s="11" t="n"/>
      <c r="L150" t="inlineStr">
        <is>
          <t>Typology drawing R01</t>
        </is>
      </c>
      <c r="M150">
        <f>Config!$B$3&amp;"?room="&amp;A150</f>
        <v/>
      </c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 ht="15" customHeight="1">
      <c r="A151" t="inlineStr">
        <is>
          <t>A-L06-K01C-02</t>
        </is>
      </c>
      <c r="B151" t="inlineStr">
        <is>
          <t>Tower A</t>
        </is>
      </c>
      <c r="C151" t="inlineStr">
        <is>
          <t>L06</t>
        </is>
      </c>
      <c r="D151" t="inlineStr">
        <is>
          <t>AL06G31</t>
        </is>
      </c>
      <c r="E151" t="inlineStr">
        <is>
          <t>K01C</t>
        </is>
      </c>
      <c r="F151" t="inlineStr">
        <is>
          <t>King</t>
        </is>
      </c>
      <c r="G151" s="11" t="n"/>
      <c r="H151" s="22" t="n"/>
      <c r="I151" s="11" t="n"/>
      <c r="J151" s="22" t="n"/>
      <c r="K151" s="11" t="n"/>
      <c r="L151" t="inlineStr">
        <is>
          <t>Typology drawing R01</t>
        </is>
      </c>
      <c r="M151">
        <f>Config!$B$3&amp;"?room="&amp;A151</f>
        <v/>
      </c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 ht="15" customHeight="1">
      <c r="A152" t="inlineStr">
        <is>
          <t>A-L06-K01C-03</t>
        </is>
      </c>
      <c r="B152" t="inlineStr">
        <is>
          <t>Tower A</t>
        </is>
      </c>
      <c r="C152" t="inlineStr">
        <is>
          <t>L06</t>
        </is>
      </c>
      <c r="D152" t="inlineStr">
        <is>
          <t>AL06G35</t>
        </is>
      </c>
      <c r="E152" t="inlineStr">
        <is>
          <t>K01C</t>
        </is>
      </c>
      <c r="F152" t="inlineStr">
        <is>
          <t>King</t>
        </is>
      </c>
      <c r="G152" s="11" t="n"/>
      <c r="H152" s="22" t="n"/>
      <c r="I152" s="11" t="n"/>
      <c r="J152" s="22" t="n"/>
      <c r="K152" s="11" t="n"/>
      <c r="L152" t="inlineStr">
        <is>
          <t>Typology drawing R01</t>
        </is>
      </c>
      <c r="M152">
        <f>Config!$B$3&amp;"?room="&amp;A152</f>
        <v/>
      </c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 ht="15" customHeight="1">
      <c r="A153" t="inlineStr">
        <is>
          <t>A-L06-K01D</t>
        </is>
      </c>
      <c r="B153" t="inlineStr">
        <is>
          <t>Tower A</t>
        </is>
      </c>
      <c r="C153" t="inlineStr">
        <is>
          <t>L06</t>
        </is>
      </c>
      <c r="D153" t="inlineStr">
        <is>
          <t>AL06G39</t>
        </is>
      </c>
      <c r="E153" t="inlineStr">
        <is>
          <t>K01D</t>
        </is>
      </c>
      <c r="F153" t="inlineStr">
        <is>
          <t>King</t>
        </is>
      </c>
      <c r="G153" s="11" t="n"/>
      <c r="H153" s="22" t="n"/>
      <c r="I153" s="11" t="n"/>
      <c r="J153" s="22" t="n"/>
      <c r="K153" s="11" t="n"/>
      <c r="L153" t="inlineStr">
        <is>
          <t>Typology drawing R01</t>
        </is>
      </c>
      <c r="M153">
        <f>Config!$B$3&amp;"?room="&amp;A153</f>
        <v/>
      </c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 ht="15" customHeight="1">
      <c r="A154" t="inlineStr">
        <is>
          <t>A-L06-K02-01</t>
        </is>
      </c>
      <c r="B154" t="inlineStr">
        <is>
          <t>Tower A</t>
        </is>
      </c>
      <c r="C154" t="inlineStr">
        <is>
          <t>L06</t>
        </is>
      </c>
      <c r="D154" t="inlineStr">
        <is>
          <t>AL06G25</t>
        </is>
      </c>
      <c r="E154" t="inlineStr">
        <is>
          <t>K02</t>
        </is>
      </c>
      <c r="F154" t="inlineStr">
        <is>
          <t>King</t>
        </is>
      </c>
      <c r="G154" s="11" t="n"/>
      <c r="H154" s="22" t="n"/>
      <c r="I154" s="11" t="n"/>
      <c r="J154" s="22" t="n"/>
      <c r="K154" s="11" t="n"/>
      <c r="L154" t="inlineStr">
        <is>
          <t>Typology drawing R01</t>
        </is>
      </c>
      <c r="M154">
        <f>Config!$B$3&amp;"?room="&amp;A154</f>
        <v/>
      </c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 ht="15" customHeight="1">
      <c r="A155" t="inlineStr">
        <is>
          <t>A-L06-K02-02</t>
        </is>
      </c>
      <c r="B155" t="inlineStr">
        <is>
          <t>Tower A</t>
        </is>
      </c>
      <c r="C155" t="inlineStr">
        <is>
          <t>L06</t>
        </is>
      </c>
      <c r="D155" t="inlineStr">
        <is>
          <t>AL06G29</t>
        </is>
      </c>
      <c r="E155" t="inlineStr">
        <is>
          <t>K02</t>
        </is>
      </c>
      <c r="F155" t="inlineStr">
        <is>
          <t>King</t>
        </is>
      </c>
      <c r="G155" s="11" t="n"/>
      <c r="H155" s="22" t="n"/>
      <c r="I155" s="11" t="n"/>
      <c r="J155" s="22" t="n"/>
      <c r="K155" s="11" t="n"/>
      <c r="L155" t="inlineStr">
        <is>
          <t>Typology drawing R01</t>
        </is>
      </c>
      <c r="M155">
        <f>Config!$B$3&amp;"?room="&amp;A155</f>
        <v/>
      </c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 ht="15" customHeight="1">
      <c r="A156" t="inlineStr">
        <is>
          <t>A-L06-K02B-01</t>
        </is>
      </c>
      <c r="B156" t="inlineStr">
        <is>
          <t>Tower A</t>
        </is>
      </c>
      <c r="C156" t="inlineStr">
        <is>
          <t>L06</t>
        </is>
      </c>
      <c r="D156" t="inlineStr">
        <is>
          <t>AL06G24</t>
        </is>
      </c>
      <c r="E156" t="inlineStr">
        <is>
          <t>K02B</t>
        </is>
      </c>
      <c r="F156" t="inlineStr">
        <is>
          <t>King</t>
        </is>
      </c>
      <c r="G156" s="11" t="n"/>
      <c r="H156" s="22" t="n"/>
      <c r="I156" s="11" t="n"/>
      <c r="J156" s="22" t="n"/>
      <c r="K156" s="11" t="n"/>
      <c r="L156" t="inlineStr">
        <is>
          <t>Typology drawing R01</t>
        </is>
      </c>
      <c r="M156">
        <f>Config!$B$3&amp;"?room="&amp;A156</f>
        <v/>
      </c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 ht="15" customHeight="1">
      <c r="A157" t="inlineStr">
        <is>
          <t>A-L06-K02B-02</t>
        </is>
      </c>
      <c r="B157" t="inlineStr">
        <is>
          <t>Tower A</t>
        </is>
      </c>
      <c r="C157" t="inlineStr">
        <is>
          <t>L06</t>
        </is>
      </c>
      <c r="D157" t="inlineStr">
        <is>
          <t>AL06G28</t>
        </is>
      </c>
      <c r="E157" t="inlineStr">
        <is>
          <t>K02B</t>
        </is>
      </c>
      <c r="F157" t="inlineStr">
        <is>
          <t>King</t>
        </is>
      </c>
      <c r="G157" s="11" t="n"/>
      <c r="H157" s="22" t="n"/>
      <c r="I157" s="11" t="n"/>
      <c r="J157" s="22" t="n"/>
      <c r="K157" s="11" t="n"/>
      <c r="L157" t="inlineStr">
        <is>
          <t>Typology drawing R01</t>
        </is>
      </c>
      <c r="M157">
        <f>Config!$B$3&amp;"?room="&amp;A157</f>
        <v/>
      </c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 ht="15" customHeight="1">
      <c r="A158" t="inlineStr">
        <is>
          <t>A-L06-K02B-03</t>
        </is>
      </c>
      <c r="B158" t="inlineStr">
        <is>
          <t>Tower A</t>
        </is>
      </c>
      <c r="C158" t="inlineStr">
        <is>
          <t>L06</t>
        </is>
      </c>
      <c r="D158" t="inlineStr">
        <is>
          <t>AL06G36</t>
        </is>
      </c>
      <c r="E158" t="inlineStr">
        <is>
          <t>K02B</t>
        </is>
      </c>
      <c r="F158" t="inlineStr">
        <is>
          <t>King</t>
        </is>
      </c>
      <c r="G158" s="11" t="n"/>
      <c r="H158" s="22" t="n"/>
      <c r="I158" s="11" t="n"/>
      <c r="J158" s="22" t="n"/>
      <c r="K158" s="11" t="n"/>
      <c r="L158" t="inlineStr">
        <is>
          <t>Typology drawing R01</t>
        </is>
      </c>
      <c r="M158">
        <f>Config!$B$3&amp;"?room="&amp;A158</f>
        <v/>
      </c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 ht="15" customHeight="1">
      <c r="A159" t="inlineStr">
        <is>
          <t>A-L06-K02C1</t>
        </is>
      </c>
      <c r="B159" t="inlineStr">
        <is>
          <t>Tower A</t>
        </is>
      </c>
      <c r="C159" t="inlineStr">
        <is>
          <t>L06</t>
        </is>
      </c>
      <c r="D159" t="inlineStr">
        <is>
          <t>AL06G08</t>
        </is>
      </c>
      <c r="E159" t="inlineStr">
        <is>
          <t>K02C1</t>
        </is>
      </c>
      <c r="F159" t="inlineStr">
        <is>
          <t>King</t>
        </is>
      </c>
      <c r="G159" s="11" t="n"/>
      <c r="H159" s="22" t="n"/>
      <c r="I159" s="11" t="n"/>
      <c r="J159" s="22" t="n"/>
      <c r="K159" s="11" t="n"/>
      <c r="L159" t="inlineStr">
        <is>
          <t>Typology drawing R01</t>
        </is>
      </c>
      <c r="M159">
        <f>Config!$B$3&amp;"?room="&amp;A159</f>
        <v/>
      </c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 ht="15" customHeight="1">
      <c r="A160" t="inlineStr">
        <is>
          <t>A-L06-K02C2-01</t>
        </is>
      </c>
      <c r="B160" t="inlineStr">
        <is>
          <t>Tower A</t>
        </is>
      </c>
      <c r="C160" t="inlineStr">
        <is>
          <t>L06</t>
        </is>
      </c>
      <c r="D160" t="inlineStr">
        <is>
          <t>AL06G20</t>
        </is>
      </c>
      <c r="E160" t="inlineStr">
        <is>
          <t>K02C2</t>
        </is>
      </c>
      <c r="F160" t="inlineStr">
        <is>
          <t>King</t>
        </is>
      </c>
      <c r="G160" s="11" t="n"/>
      <c r="H160" s="22" t="n"/>
      <c r="I160" s="11" t="n"/>
      <c r="J160" s="22" t="n"/>
      <c r="K160" s="11" t="n"/>
      <c r="L160" t="inlineStr">
        <is>
          <t>Typology drawing R01</t>
        </is>
      </c>
      <c r="M160">
        <f>Config!$B$3&amp;"?room="&amp;A160</f>
        <v/>
      </c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 ht="15" customHeight="1">
      <c r="A161" t="inlineStr">
        <is>
          <t>A-L06-K02C2-02</t>
        </is>
      </c>
      <c r="B161" t="inlineStr">
        <is>
          <t>Tower A</t>
        </is>
      </c>
      <c r="C161" t="inlineStr">
        <is>
          <t>L06</t>
        </is>
      </c>
      <c r="D161" t="inlineStr">
        <is>
          <t>AL06G32</t>
        </is>
      </c>
      <c r="E161" t="inlineStr">
        <is>
          <t>K02C2</t>
        </is>
      </c>
      <c r="F161" t="inlineStr">
        <is>
          <t>King</t>
        </is>
      </c>
      <c r="G161" s="11" t="n"/>
      <c r="H161" s="22" t="n"/>
      <c r="I161" s="11" t="n"/>
      <c r="J161" s="22" t="n"/>
      <c r="K161" s="11" t="n"/>
      <c r="L161" t="inlineStr">
        <is>
          <t>Typology drawing R01</t>
        </is>
      </c>
      <c r="M161">
        <f>Config!$B$3&amp;"?room="&amp;A161</f>
        <v/>
      </c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 ht="15" customHeight="1">
      <c r="A162" t="inlineStr">
        <is>
          <t>A-L06-K02D1</t>
        </is>
      </c>
      <c r="B162" t="inlineStr">
        <is>
          <t>Tower A</t>
        </is>
      </c>
      <c r="C162" t="inlineStr">
        <is>
          <t>L06</t>
        </is>
      </c>
      <c r="D162" t="inlineStr">
        <is>
          <t>AL06G12</t>
        </is>
      </c>
      <c r="E162" t="inlineStr">
        <is>
          <t>K02D1</t>
        </is>
      </c>
      <c r="F162" t="inlineStr">
        <is>
          <t>King</t>
        </is>
      </c>
      <c r="G162" s="11" t="n"/>
      <c r="H162" s="22" t="n"/>
      <c r="I162" s="11" t="n"/>
      <c r="J162" s="22" t="n"/>
      <c r="K162" s="11" t="n"/>
      <c r="L162" t="inlineStr">
        <is>
          <t>Typology drawing R01</t>
        </is>
      </c>
      <c r="M162">
        <f>Config!$B$3&amp;"?room="&amp;A162</f>
        <v/>
      </c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 ht="15" customHeight="1">
      <c r="A163" t="inlineStr">
        <is>
          <t>A-L06-Q01</t>
        </is>
      </c>
      <c r="B163" t="inlineStr">
        <is>
          <t>Tower A</t>
        </is>
      </c>
      <c r="C163" t="inlineStr">
        <is>
          <t>L06</t>
        </is>
      </c>
      <c r="D163" t="inlineStr">
        <is>
          <t>AL06G21</t>
        </is>
      </c>
      <c r="E163" t="inlineStr">
        <is>
          <t>Q01</t>
        </is>
      </c>
      <c r="F163" t="inlineStr">
        <is>
          <t>Queen</t>
        </is>
      </c>
      <c r="G163" s="11" t="n"/>
      <c r="H163" s="22" t="n"/>
      <c r="I163" s="11" t="n"/>
      <c r="J163" s="22" t="n"/>
      <c r="K163" s="11" t="n"/>
      <c r="L163" t="inlineStr">
        <is>
          <t>Typology drawing R01</t>
        </is>
      </c>
      <c r="M163">
        <f>Config!$B$3&amp;"?room="&amp;A163</f>
        <v/>
      </c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 ht="15" customHeight="1">
      <c r="A164" t="inlineStr">
        <is>
          <t>A-L06-Q01C-01</t>
        </is>
      </c>
      <c r="B164" t="inlineStr">
        <is>
          <t>Tower A</t>
        </is>
      </c>
      <c r="C164" t="inlineStr">
        <is>
          <t>L06</t>
        </is>
      </c>
      <c r="D164" t="inlineStr">
        <is>
          <t>AL06G05</t>
        </is>
      </c>
      <c r="E164" t="inlineStr">
        <is>
          <t>Q01C</t>
        </is>
      </c>
      <c r="F164" t="inlineStr">
        <is>
          <t>Queen</t>
        </is>
      </c>
      <c r="G164" s="11" t="n"/>
      <c r="H164" s="22" t="n"/>
      <c r="I164" s="11" t="n"/>
      <c r="J164" s="22" t="n"/>
      <c r="K164" s="11" t="n"/>
      <c r="L164" t="inlineStr">
        <is>
          <t>Typology drawing R01</t>
        </is>
      </c>
      <c r="M164">
        <f>Config!$B$3&amp;"?room="&amp;A164</f>
        <v/>
      </c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 ht="15" customHeight="1">
      <c r="A165" t="inlineStr">
        <is>
          <t>A-L06-Q01C-02</t>
        </is>
      </c>
      <c r="B165" t="inlineStr">
        <is>
          <t>Tower A</t>
        </is>
      </c>
      <c r="C165" t="inlineStr">
        <is>
          <t>L06</t>
        </is>
      </c>
      <c r="D165" t="inlineStr">
        <is>
          <t>AL06G09</t>
        </is>
      </c>
      <c r="E165" t="inlineStr">
        <is>
          <t>Q01C</t>
        </is>
      </c>
      <c r="F165" t="inlineStr">
        <is>
          <t>Queen</t>
        </is>
      </c>
      <c r="G165" s="11" t="n"/>
      <c r="H165" s="22" t="n"/>
      <c r="I165" s="11" t="n"/>
      <c r="J165" s="22" t="n"/>
      <c r="K165" s="11" t="n"/>
      <c r="L165" t="inlineStr">
        <is>
          <t>Typology drawing R01</t>
        </is>
      </c>
      <c r="M165">
        <f>Config!$B$3&amp;"?room="&amp;A165</f>
        <v/>
      </c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 ht="15" customHeight="1">
      <c r="A166" t="inlineStr">
        <is>
          <t>A-L06-Q01C-03</t>
        </is>
      </c>
      <c r="B166" t="inlineStr">
        <is>
          <t>Tower A</t>
        </is>
      </c>
      <c r="C166" t="inlineStr">
        <is>
          <t>L06</t>
        </is>
      </c>
      <c r="D166" t="inlineStr">
        <is>
          <t>AL06G33</t>
        </is>
      </c>
      <c r="E166" t="inlineStr">
        <is>
          <t>Q01C</t>
        </is>
      </c>
      <c r="F166" t="inlineStr">
        <is>
          <t>Queen</t>
        </is>
      </c>
      <c r="G166" s="11" t="n"/>
      <c r="H166" s="22" t="n"/>
      <c r="I166" s="11" t="n"/>
      <c r="J166" s="22" t="n"/>
      <c r="K166" s="11" t="n"/>
      <c r="L166" t="inlineStr">
        <is>
          <t>Typology drawing R01</t>
        </is>
      </c>
      <c r="M166">
        <f>Config!$B$3&amp;"?room="&amp;A166</f>
        <v/>
      </c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 ht="15" customHeight="1">
      <c r="A167" t="inlineStr">
        <is>
          <t>A-L06-Q01C1</t>
        </is>
      </c>
      <c r="B167" t="inlineStr">
        <is>
          <t>Tower A</t>
        </is>
      </c>
      <c r="C167" t="inlineStr">
        <is>
          <t>L06</t>
        </is>
      </c>
      <c r="D167" t="inlineStr">
        <is>
          <t>AL06G14</t>
        </is>
      </c>
      <c r="E167" t="inlineStr">
        <is>
          <t>Q01C1</t>
        </is>
      </c>
      <c r="F167" t="inlineStr">
        <is>
          <t>Queen</t>
        </is>
      </c>
      <c r="G167" s="11" t="n"/>
      <c r="H167" s="22" t="n"/>
      <c r="I167" s="11" t="n"/>
      <c r="J167" s="22" t="n"/>
      <c r="K167" s="11" t="n"/>
      <c r="L167" t="inlineStr">
        <is>
          <t>Typology drawing R01</t>
        </is>
      </c>
      <c r="M167">
        <f>Config!$B$3&amp;"?room="&amp;A167</f>
        <v/>
      </c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 ht="15" customHeight="1">
      <c r="A168" t="inlineStr">
        <is>
          <t>A-L06-Q02C1-01</t>
        </is>
      </c>
      <c r="B168" t="inlineStr">
        <is>
          <t>Tower A</t>
        </is>
      </c>
      <c r="C168" t="inlineStr">
        <is>
          <t>L06</t>
        </is>
      </c>
      <c r="D168" t="inlineStr">
        <is>
          <t>AL06G06</t>
        </is>
      </c>
      <c r="E168" t="inlineStr">
        <is>
          <t>Q02C1</t>
        </is>
      </c>
      <c r="F168" t="inlineStr">
        <is>
          <t>Queen</t>
        </is>
      </c>
      <c r="G168" s="11" t="n"/>
      <c r="H168" s="22" t="n"/>
      <c r="I168" s="11" t="n"/>
      <c r="J168" s="22" t="n"/>
      <c r="K168" s="11" t="n"/>
      <c r="L168" t="inlineStr">
        <is>
          <t>Typology drawing R01</t>
        </is>
      </c>
      <c r="M168">
        <f>Config!$B$3&amp;"?room="&amp;A168</f>
        <v/>
      </c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 ht="15" customHeight="1">
      <c r="A169" t="inlineStr">
        <is>
          <t>A-L06-Q02C1-02</t>
        </is>
      </c>
      <c r="B169" t="inlineStr">
        <is>
          <t>Tower A</t>
        </is>
      </c>
      <c r="C169" t="inlineStr">
        <is>
          <t>L06</t>
        </is>
      </c>
      <c r="D169" t="inlineStr">
        <is>
          <t>AL06G10</t>
        </is>
      </c>
      <c r="E169" t="inlineStr">
        <is>
          <t>Q02C1</t>
        </is>
      </c>
      <c r="F169" t="inlineStr">
        <is>
          <t>Queen</t>
        </is>
      </c>
      <c r="G169" s="11" t="n"/>
      <c r="H169" s="22" t="n"/>
      <c r="I169" s="11" t="n"/>
      <c r="J169" s="22" t="n"/>
      <c r="K169" s="11" t="n"/>
      <c r="L169" t="inlineStr">
        <is>
          <t>Typology drawing R01</t>
        </is>
      </c>
      <c r="M169">
        <f>Config!$B$3&amp;"?room="&amp;A169</f>
        <v/>
      </c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 ht="15" customHeight="1">
      <c r="A170" t="inlineStr">
        <is>
          <t>A-L06-Q02C2-01</t>
        </is>
      </c>
      <c r="B170" t="inlineStr">
        <is>
          <t>Tower A</t>
        </is>
      </c>
      <c r="C170" t="inlineStr">
        <is>
          <t>L06</t>
        </is>
      </c>
      <c r="D170" t="inlineStr">
        <is>
          <t>AL06G22</t>
        </is>
      </c>
      <c r="E170" t="inlineStr">
        <is>
          <t>Q02C2</t>
        </is>
      </c>
      <c r="F170" t="inlineStr">
        <is>
          <t>Queen</t>
        </is>
      </c>
      <c r="G170" s="11" t="n"/>
      <c r="H170" s="22" t="n"/>
      <c r="I170" s="11" t="n"/>
      <c r="J170" s="22" t="n"/>
      <c r="K170" s="11" t="n"/>
      <c r="L170" t="inlineStr">
        <is>
          <t>Typology drawing R01</t>
        </is>
      </c>
      <c r="M170">
        <f>Config!$B$3&amp;"?room="&amp;A170</f>
        <v/>
      </c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 ht="15" customHeight="1">
      <c r="A171" t="inlineStr">
        <is>
          <t>A-L06-Q02C2-02</t>
        </is>
      </c>
      <c r="B171" t="inlineStr">
        <is>
          <t>Tower A</t>
        </is>
      </c>
      <c r="C171" t="inlineStr">
        <is>
          <t>L06</t>
        </is>
      </c>
      <c r="D171" t="inlineStr">
        <is>
          <t>AL06G34</t>
        </is>
      </c>
      <c r="E171" t="inlineStr">
        <is>
          <t>Q02C2</t>
        </is>
      </c>
      <c r="F171" t="inlineStr">
        <is>
          <t>Queen</t>
        </is>
      </c>
      <c r="G171" s="11" t="n"/>
      <c r="H171" s="22" t="n"/>
      <c r="I171" s="11" t="n"/>
      <c r="J171" s="22" t="n"/>
      <c r="K171" s="11" t="n"/>
      <c r="L171" t="inlineStr">
        <is>
          <t>Typology drawing R01</t>
        </is>
      </c>
      <c r="M171">
        <f>Config!$B$3&amp;"?room="&amp;A171</f>
        <v/>
      </c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 ht="15" customHeight="1">
      <c r="A172" t="inlineStr">
        <is>
          <t>A-L06-Q02E</t>
        </is>
      </c>
      <c r="B172" t="inlineStr">
        <is>
          <t>Tower A</t>
        </is>
      </c>
      <c r="C172" t="inlineStr">
        <is>
          <t>L06</t>
        </is>
      </c>
      <c r="D172" t="inlineStr">
        <is>
          <t>AL06G41</t>
        </is>
      </c>
      <c r="E172" t="inlineStr">
        <is>
          <t>Q02E</t>
        </is>
      </c>
      <c r="F172" t="inlineStr">
        <is>
          <t>Queen</t>
        </is>
      </c>
      <c r="G172" s="11" t="n"/>
      <c r="H172" s="22" t="n"/>
      <c r="I172" s="11" t="n"/>
      <c r="J172" s="22" t="n"/>
      <c r="K172" s="11" t="n"/>
      <c r="L172" t="inlineStr">
        <is>
          <t>Typology drawing R01</t>
        </is>
      </c>
      <c r="M172">
        <f>Config!$B$3&amp;"?room="&amp;A172</f>
        <v/>
      </c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 ht="15" customHeight="1">
      <c r="A173" t="inlineStr">
        <is>
          <t>A-L06-QADA2</t>
        </is>
      </c>
      <c r="B173" t="inlineStr">
        <is>
          <t>Tower A</t>
        </is>
      </c>
      <c r="C173" t="inlineStr">
        <is>
          <t>L06</t>
        </is>
      </c>
      <c r="D173" t="inlineStr">
        <is>
          <t>AL06G37</t>
        </is>
      </c>
      <c r="E173" t="inlineStr">
        <is>
          <t>QADA2</t>
        </is>
      </c>
      <c r="F173" t="inlineStr">
        <is>
          <t>Queen ADA</t>
        </is>
      </c>
      <c r="G173" s="11" t="n"/>
      <c r="H173" s="22" t="n"/>
      <c r="I173" s="11" t="n"/>
      <c r="J173" s="22" t="n"/>
      <c r="K173" s="11" t="n"/>
      <c r="L173" t="inlineStr">
        <is>
          <t>Typology drawing R01</t>
        </is>
      </c>
      <c r="M173">
        <f>Config!$B$3&amp;"?room="&amp;A173</f>
        <v/>
      </c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 ht="15" customHeight="1">
      <c r="A174" t="inlineStr">
        <is>
          <t>A-L06-S05</t>
        </is>
      </c>
      <c r="B174" t="inlineStr">
        <is>
          <t>Tower A</t>
        </is>
      </c>
      <c r="C174" t="inlineStr">
        <is>
          <t>L06</t>
        </is>
      </c>
      <c r="D174" t="inlineStr">
        <is>
          <t>AL06G16</t>
        </is>
      </c>
      <c r="E174" t="inlineStr">
        <is>
          <t>S05</t>
        </is>
      </c>
      <c r="F174" t="inlineStr">
        <is>
          <t>Suite</t>
        </is>
      </c>
      <c r="G174" s="11" t="n"/>
      <c r="H174" s="22" t="n"/>
      <c r="I174" s="11" t="n"/>
      <c r="J174" s="22" t="n"/>
      <c r="K174" s="11" t="n"/>
      <c r="L174" t="inlineStr">
        <is>
          <t>Typology drawing R01</t>
        </is>
      </c>
      <c r="M174">
        <f>Config!$B$3&amp;"?room="&amp;A174</f>
        <v/>
      </c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 ht="15" customHeight="1">
      <c r="A175" t="inlineStr">
        <is>
          <t>A-L06-S06</t>
        </is>
      </c>
      <c r="B175" t="inlineStr">
        <is>
          <t>Tower A</t>
        </is>
      </c>
      <c r="C175" t="inlineStr">
        <is>
          <t>L06</t>
        </is>
      </c>
      <c r="D175" t="inlineStr">
        <is>
          <t>AL06G43</t>
        </is>
      </c>
      <c r="E175" t="inlineStr">
        <is>
          <t>S06</t>
        </is>
      </c>
      <c r="F175" t="inlineStr">
        <is>
          <t>Suite</t>
        </is>
      </c>
      <c r="G175" s="11" t="n"/>
      <c r="H175" s="22" t="n"/>
      <c r="I175" s="11" t="n"/>
      <c r="J175" s="22" t="n"/>
      <c r="K175" s="11" t="n"/>
      <c r="L175" t="inlineStr">
        <is>
          <t>Typology drawing R01</t>
        </is>
      </c>
      <c r="M175">
        <f>Config!$B$3&amp;"?room="&amp;A175</f>
        <v/>
      </c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 ht="15" customHeight="1">
      <c r="A176" t="inlineStr">
        <is>
          <t>A-L07-F04</t>
        </is>
      </c>
      <c r="B176" t="inlineStr">
        <is>
          <t>Tower A</t>
        </is>
      </c>
      <c r="C176" t="inlineStr">
        <is>
          <t>L07</t>
        </is>
      </c>
      <c r="D176" t="inlineStr">
        <is>
          <t>AL07G11</t>
        </is>
      </c>
      <c r="E176" t="inlineStr">
        <is>
          <t>F04</t>
        </is>
      </c>
      <c r="F176" t="inlineStr">
        <is>
          <t>Family</t>
        </is>
      </c>
      <c r="G176" s="11" t="n"/>
      <c r="H176" s="22" t="n"/>
      <c r="I176" s="11" t="n"/>
      <c r="J176" s="22" t="n"/>
      <c r="K176" s="11" t="n"/>
      <c r="L176" t="inlineStr">
        <is>
          <t>Typology drawing R01</t>
        </is>
      </c>
      <c r="M176">
        <f>Config!$B$3&amp;"?room="&amp;A176</f>
        <v/>
      </c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 ht="15" customHeight="1">
      <c r="A177" t="inlineStr">
        <is>
          <t>A-L07-F05</t>
        </is>
      </c>
      <c r="B177" t="inlineStr">
        <is>
          <t>Tower A</t>
        </is>
      </c>
      <c r="C177" t="inlineStr">
        <is>
          <t>L07</t>
        </is>
      </c>
      <c r="D177" t="inlineStr">
        <is>
          <t>AL07G46</t>
        </is>
      </c>
      <c r="E177" t="inlineStr">
        <is>
          <t>F05</t>
        </is>
      </c>
      <c r="F177" t="inlineStr">
        <is>
          <t>Family</t>
        </is>
      </c>
      <c r="G177" s="11" t="n"/>
      <c r="H177" s="22" t="n"/>
      <c r="I177" s="11" t="n"/>
      <c r="J177" s="22" t="n"/>
      <c r="K177" s="11" t="n"/>
      <c r="L177" t="inlineStr">
        <is>
          <t>Typology drawing R01</t>
        </is>
      </c>
      <c r="M177">
        <f>Config!$B$3&amp;"?room="&amp;A177</f>
        <v/>
      </c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 ht="15" customHeight="1">
      <c r="A178" t="inlineStr">
        <is>
          <t>A-L07-K01-01</t>
        </is>
      </c>
      <c r="B178" t="inlineStr">
        <is>
          <t>Tower A</t>
        </is>
      </c>
      <c r="C178" t="inlineStr">
        <is>
          <t>L07</t>
        </is>
      </c>
      <c r="D178" t="inlineStr">
        <is>
          <t>AL07G19</t>
        </is>
      </c>
      <c r="E178" t="inlineStr">
        <is>
          <t>K01</t>
        </is>
      </c>
      <c r="F178" t="inlineStr">
        <is>
          <t>King</t>
        </is>
      </c>
      <c r="G178" s="11" t="n"/>
      <c r="H178" s="22" t="n"/>
      <c r="I178" s="11" t="n"/>
      <c r="J178" s="22" t="n"/>
      <c r="K178" s="11" t="n"/>
      <c r="L178" t="inlineStr">
        <is>
          <t>Typology drawing R01</t>
        </is>
      </c>
      <c r="M178">
        <f>Config!$B$3&amp;"?room="&amp;A178</f>
        <v/>
      </c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 ht="15" customHeight="1">
      <c r="A179" t="inlineStr">
        <is>
          <t>A-L07-K01-02</t>
        </is>
      </c>
      <c r="B179" t="inlineStr">
        <is>
          <t>Tower A</t>
        </is>
      </c>
      <c r="C179" t="inlineStr">
        <is>
          <t>L07</t>
        </is>
      </c>
      <c r="D179" t="inlineStr">
        <is>
          <t>AL07G23</t>
        </is>
      </c>
      <c r="E179" t="inlineStr">
        <is>
          <t>K01</t>
        </is>
      </c>
      <c r="F179" t="inlineStr">
        <is>
          <t>King</t>
        </is>
      </c>
      <c r="G179" s="11" t="n"/>
      <c r="H179" s="22" t="n"/>
      <c r="I179" s="11" t="n"/>
      <c r="J179" s="22" t="n"/>
      <c r="K179" s="11" t="n"/>
      <c r="L179" t="inlineStr">
        <is>
          <t>Typology drawing R01</t>
        </is>
      </c>
      <c r="M179">
        <f>Config!$B$3&amp;"?room="&amp;A179</f>
        <v/>
      </c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 ht="15" customHeight="1">
      <c r="A180" t="inlineStr">
        <is>
          <t>A-L07-K01-03</t>
        </is>
      </c>
      <c r="B180" t="inlineStr">
        <is>
          <t>Tower A</t>
        </is>
      </c>
      <c r="C180" t="inlineStr">
        <is>
          <t>L07</t>
        </is>
      </c>
      <c r="D180" t="inlineStr">
        <is>
          <t>AL07G27</t>
        </is>
      </c>
      <c r="E180" t="inlineStr">
        <is>
          <t>K01</t>
        </is>
      </c>
      <c r="F180" t="inlineStr">
        <is>
          <t>King</t>
        </is>
      </c>
      <c r="G180" s="11" t="n"/>
      <c r="H180" s="22" t="n"/>
      <c r="I180" s="11" t="n"/>
      <c r="J180" s="22" t="n"/>
      <c r="K180" s="11" t="n"/>
      <c r="L180" t="inlineStr">
        <is>
          <t>Typology drawing R01</t>
        </is>
      </c>
      <c r="M180">
        <f>Config!$B$3&amp;"?room="&amp;A180</f>
        <v/>
      </c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 ht="15" customHeight="1">
      <c r="A181" t="inlineStr">
        <is>
          <t>A-L07-K01B-01</t>
        </is>
      </c>
      <c r="B181" t="inlineStr">
        <is>
          <t>Tower A</t>
        </is>
      </c>
      <c r="C181" t="inlineStr">
        <is>
          <t>L07</t>
        </is>
      </c>
      <c r="D181" t="inlineStr">
        <is>
          <t>AL07G26</t>
        </is>
      </c>
      <c r="E181" t="inlineStr">
        <is>
          <t>K01B</t>
        </is>
      </c>
      <c r="F181" t="inlineStr">
        <is>
          <t>King</t>
        </is>
      </c>
      <c r="G181" s="11" t="n"/>
      <c r="H181" s="22" t="n"/>
      <c r="I181" s="11" t="n"/>
      <c r="J181" s="22" t="n"/>
      <c r="K181" s="11" t="n"/>
      <c r="L181" t="inlineStr">
        <is>
          <t>Typology drawing R01</t>
        </is>
      </c>
      <c r="M181">
        <f>Config!$B$3&amp;"?room="&amp;A181</f>
        <v/>
      </c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 ht="15" customHeight="1">
      <c r="A182" t="inlineStr">
        <is>
          <t>A-L07-K01B-02</t>
        </is>
      </c>
      <c r="B182" t="inlineStr">
        <is>
          <t>Tower A</t>
        </is>
      </c>
      <c r="C182" t="inlineStr">
        <is>
          <t>L07</t>
        </is>
      </c>
      <c r="D182" t="inlineStr">
        <is>
          <t>AL07G30</t>
        </is>
      </c>
      <c r="E182" t="inlineStr">
        <is>
          <t>K01B</t>
        </is>
      </c>
      <c r="F182" t="inlineStr">
        <is>
          <t>King</t>
        </is>
      </c>
      <c r="G182" s="11" t="n"/>
      <c r="H182" s="22" t="n"/>
      <c r="I182" s="11" t="n"/>
      <c r="J182" s="22" t="n"/>
      <c r="K182" s="11" t="n"/>
      <c r="L182" t="inlineStr">
        <is>
          <t>Typology drawing R01</t>
        </is>
      </c>
      <c r="M182">
        <f>Config!$B$3&amp;"?room="&amp;A182</f>
        <v/>
      </c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 ht="15" customHeight="1">
      <c r="A183" t="inlineStr">
        <is>
          <t>A-L07-K01C-01</t>
        </is>
      </c>
      <c r="B183" t="inlineStr">
        <is>
          <t>Tower A</t>
        </is>
      </c>
      <c r="C183" t="inlineStr">
        <is>
          <t>L07</t>
        </is>
      </c>
      <c r="D183" t="inlineStr">
        <is>
          <t>AL07G07</t>
        </is>
      </c>
      <c r="E183" t="inlineStr">
        <is>
          <t>K01C</t>
        </is>
      </c>
      <c r="F183" t="inlineStr">
        <is>
          <t>King</t>
        </is>
      </c>
      <c r="G183" s="11" t="n"/>
      <c r="H183" s="22" t="n"/>
      <c r="I183" s="11" t="n"/>
      <c r="J183" s="22" t="n"/>
      <c r="K183" s="11" t="n"/>
      <c r="L183" t="inlineStr">
        <is>
          <t>Typology drawing R01</t>
        </is>
      </c>
      <c r="M183">
        <f>Config!$B$3&amp;"?room="&amp;A183</f>
        <v/>
      </c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 ht="15" customHeight="1">
      <c r="A184" t="inlineStr">
        <is>
          <t>A-L07-K01C-02</t>
        </is>
      </c>
      <c r="B184" t="inlineStr">
        <is>
          <t>Tower A</t>
        </is>
      </c>
      <c r="C184" t="inlineStr">
        <is>
          <t>L07</t>
        </is>
      </c>
      <c r="D184" t="inlineStr">
        <is>
          <t>AL07G31</t>
        </is>
      </c>
      <c r="E184" t="inlineStr">
        <is>
          <t>K01C</t>
        </is>
      </c>
      <c r="F184" t="inlineStr">
        <is>
          <t>King</t>
        </is>
      </c>
      <c r="G184" s="11" t="n"/>
      <c r="H184" s="22" t="n"/>
      <c r="I184" s="11" t="n"/>
      <c r="J184" s="22" t="n"/>
      <c r="K184" s="11" t="n"/>
      <c r="L184" t="inlineStr">
        <is>
          <t>Typology drawing R01</t>
        </is>
      </c>
      <c r="M184">
        <f>Config!$B$3&amp;"?room="&amp;A184</f>
        <v/>
      </c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 ht="15" customHeight="1">
      <c r="A185" t="inlineStr">
        <is>
          <t>A-L07-K01C-03</t>
        </is>
      </c>
      <c r="B185" t="inlineStr">
        <is>
          <t>Tower A</t>
        </is>
      </c>
      <c r="C185" t="inlineStr">
        <is>
          <t>L07</t>
        </is>
      </c>
      <c r="D185" t="inlineStr">
        <is>
          <t>AL07G35</t>
        </is>
      </c>
      <c r="E185" t="inlineStr">
        <is>
          <t>K01C</t>
        </is>
      </c>
      <c r="F185" t="inlineStr">
        <is>
          <t>King</t>
        </is>
      </c>
      <c r="G185" s="11" t="n"/>
      <c r="H185" s="22" t="n"/>
      <c r="I185" s="11" t="n"/>
      <c r="J185" s="22" t="n"/>
      <c r="K185" s="11" t="n"/>
      <c r="L185" t="inlineStr">
        <is>
          <t>Typology drawing R01</t>
        </is>
      </c>
      <c r="M185">
        <f>Config!$B$3&amp;"?room="&amp;A185</f>
        <v/>
      </c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 ht="15" customHeight="1">
      <c r="A186" t="inlineStr">
        <is>
          <t>A-L07-K01D</t>
        </is>
      </c>
      <c r="B186" t="inlineStr">
        <is>
          <t>Tower A</t>
        </is>
      </c>
      <c r="C186" t="inlineStr">
        <is>
          <t>L07</t>
        </is>
      </c>
      <c r="D186" t="inlineStr">
        <is>
          <t>AL07G39</t>
        </is>
      </c>
      <c r="E186" t="inlineStr">
        <is>
          <t>K01D</t>
        </is>
      </c>
      <c r="F186" t="inlineStr">
        <is>
          <t>King</t>
        </is>
      </c>
      <c r="G186" s="11" t="n"/>
      <c r="H186" s="22" t="n"/>
      <c r="I186" s="11" t="n"/>
      <c r="J186" s="22" t="n"/>
      <c r="K186" s="11" t="n"/>
      <c r="L186" t="inlineStr">
        <is>
          <t>Typology drawing R01</t>
        </is>
      </c>
      <c r="M186">
        <f>Config!$B$3&amp;"?room="&amp;A186</f>
        <v/>
      </c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 ht="15" customHeight="1">
      <c r="A187" t="inlineStr">
        <is>
          <t>A-L07-K02-01</t>
        </is>
      </c>
      <c r="B187" t="inlineStr">
        <is>
          <t>Tower A</t>
        </is>
      </c>
      <c r="C187" t="inlineStr">
        <is>
          <t>L07</t>
        </is>
      </c>
      <c r="D187" t="inlineStr">
        <is>
          <t>AL07G25</t>
        </is>
      </c>
      <c r="E187" t="inlineStr">
        <is>
          <t>K02</t>
        </is>
      </c>
      <c r="F187" t="inlineStr">
        <is>
          <t>King</t>
        </is>
      </c>
      <c r="G187" s="11" t="n"/>
      <c r="H187" s="22" t="n"/>
      <c r="I187" s="11" t="n"/>
      <c r="J187" s="22" t="n"/>
      <c r="K187" s="11" t="n"/>
      <c r="L187" t="inlineStr">
        <is>
          <t>Typology drawing R01</t>
        </is>
      </c>
      <c r="M187">
        <f>Config!$B$3&amp;"?room="&amp;A187</f>
        <v/>
      </c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 ht="15" customHeight="1">
      <c r="A188" t="inlineStr">
        <is>
          <t>A-L07-K02-02</t>
        </is>
      </c>
      <c r="B188" t="inlineStr">
        <is>
          <t>Tower A</t>
        </is>
      </c>
      <c r="C188" t="inlineStr">
        <is>
          <t>L07</t>
        </is>
      </c>
      <c r="D188" t="inlineStr">
        <is>
          <t>AL07G29</t>
        </is>
      </c>
      <c r="E188" t="inlineStr">
        <is>
          <t>K02</t>
        </is>
      </c>
      <c r="F188" t="inlineStr">
        <is>
          <t>King</t>
        </is>
      </c>
      <c r="G188" s="11" t="n"/>
      <c r="H188" s="22" t="n"/>
      <c r="I188" s="11" t="n"/>
      <c r="J188" s="22" t="n"/>
      <c r="K188" s="11" t="n"/>
      <c r="L188" t="inlineStr">
        <is>
          <t>Typology drawing R01</t>
        </is>
      </c>
      <c r="M188">
        <f>Config!$B$3&amp;"?room="&amp;A188</f>
        <v/>
      </c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 ht="15" customHeight="1">
      <c r="A189" t="inlineStr">
        <is>
          <t>A-L07-K02B-01</t>
        </is>
      </c>
      <c r="B189" t="inlineStr">
        <is>
          <t>Tower A</t>
        </is>
      </c>
      <c r="C189" t="inlineStr">
        <is>
          <t>L07</t>
        </is>
      </c>
      <c r="D189" t="inlineStr">
        <is>
          <t>AL07G24</t>
        </is>
      </c>
      <c r="E189" t="inlineStr">
        <is>
          <t>K02B</t>
        </is>
      </c>
      <c r="F189" t="inlineStr">
        <is>
          <t>King</t>
        </is>
      </c>
      <c r="G189" s="11" t="n"/>
      <c r="H189" s="22" t="n"/>
      <c r="I189" s="11" t="n"/>
      <c r="J189" s="22" t="n"/>
      <c r="K189" s="11" t="n"/>
      <c r="L189" t="inlineStr">
        <is>
          <t>Typology drawing R01</t>
        </is>
      </c>
      <c r="M189">
        <f>Config!$B$3&amp;"?room="&amp;A189</f>
        <v/>
      </c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 ht="15" customHeight="1">
      <c r="A190" t="inlineStr">
        <is>
          <t>A-L07-K02B-02</t>
        </is>
      </c>
      <c r="B190" t="inlineStr">
        <is>
          <t>Tower A</t>
        </is>
      </c>
      <c r="C190" t="inlineStr">
        <is>
          <t>L07</t>
        </is>
      </c>
      <c r="D190" t="inlineStr">
        <is>
          <t>AL07G28</t>
        </is>
      </c>
      <c r="E190" t="inlineStr">
        <is>
          <t>K02B</t>
        </is>
      </c>
      <c r="F190" t="inlineStr">
        <is>
          <t>King</t>
        </is>
      </c>
      <c r="G190" s="11" t="n"/>
      <c r="H190" s="22" t="n"/>
      <c r="I190" s="11" t="n"/>
      <c r="J190" s="22" t="n"/>
      <c r="K190" s="11" t="n"/>
      <c r="L190" t="inlineStr">
        <is>
          <t>Typology drawing R01</t>
        </is>
      </c>
      <c r="M190">
        <f>Config!$B$3&amp;"?room="&amp;A190</f>
        <v/>
      </c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 ht="15" customHeight="1">
      <c r="A191" t="inlineStr">
        <is>
          <t>A-L07-K02B-03</t>
        </is>
      </c>
      <c r="B191" t="inlineStr">
        <is>
          <t>Tower A</t>
        </is>
      </c>
      <c r="C191" t="inlineStr">
        <is>
          <t>L07</t>
        </is>
      </c>
      <c r="D191" t="inlineStr">
        <is>
          <t>AL07G36</t>
        </is>
      </c>
      <c r="E191" t="inlineStr">
        <is>
          <t>K02B</t>
        </is>
      </c>
      <c r="F191" t="inlineStr">
        <is>
          <t>King</t>
        </is>
      </c>
      <c r="G191" s="11" t="n"/>
      <c r="H191" s="22" t="n"/>
      <c r="I191" s="11" t="n"/>
      <c r="J191" s="22" t="n"/>
      <c r="K191" s="11" t="n"/>
      <c r="L191" t="inlineStr">
        <is>
          <t>Typology drawing R01</t>
        </is>
      </c>
      <c r="M191">
        <f>Config!$B$3&amp;"?room="&amp;A191</f>
        <v/>
      </c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 ht="15" customHeight="1">
      <c r="A192" t="inlineStr">
        <is>
          <t>A-L07-K02C1</t>
        </is>
      </c>
      <c r="B192" t="inlineStr">
        <is>
          <t>Tower A</t>
        </is>
      </c>
      <c r="C192" t="inlineStr">
        <is>
          <t>L07</t>
        </is>
      </c>
      <c r="D192" t="inlineStr">
        <is>
          <t>AL07G08</t>
        </is>
      </c>
      <c r="E192" t="inlineStr">
        <is>
          <t>K02C1</t>
        </is>
      </c>
      <c r="F192" t="inlineStr">
        <is>
          <t>King</t>
        </is>
      </c>
      <c r="G192" s="11" t="n"/>
      <c r="H192" s="22" t="n"/>
      <c r="I192" s="11" t="n"/>
      <c r="J192" s="22" t="n"/>
      <c r="K192" s="11" t="n"/>
      <c r="L192" t="inlineStr">
        <is>
          <t>Typology drawing R01</t>
        </is>
      </c>
      <c r="M192">
        <f>Config!$B$3&amp;"?room="&amp;A192</f>
        <v/>
      </c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 ht="15" customHeight="1">
      <c r="A193" t="inlineStr">
        <is>
          <t>A-L07-K02C2-01</t>
        </is>
      </c>
      <c r="B193" t="inlineStr">
        <is>
          <t>Tower A</t>
        </is>
      </c>
      <c r="C193" t="inlineStr">
        <is>
          <t>L07</t>
        </is>
      </c>
      <c r="D193" t="inlineStr">
        <is>
          <t>AL07G20</t>
        </is>
      </c>
      <c r="E193" t="inlineStr">
        <is>
          <t>K02C2</t>
        </is>
      </c>
      <c r="F193" t="inlineStr">
        <is>
          <t>King</t>
        </is>
      </c>
      <c r="G193" s="11" t="n"/>
      <c r="H193" s="22" t="n"/>
      <c r="I193" s="11" t="n"/>
      <c r="J193" s="22" t="n"/>
      <c r="K193" s="11" t="n"/>
      <c r="L193" t="inlineStr">
        <is>
          <t>Typology drawing R01</t>
        </is>
      </c>
      <c r="M193">
        <f>Config!$B$3&amp;"?room="&amp;A193</f>
        <v/>
      </c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 ht="15" customHeight="1">
      <c r="A194" t="inlineStr">
        <is>
          <t>A-L07-K02C2-02</t>
        </is>
      </c>
      <c r="B194" t="inlineStr">
        <is>
          <t>Tower A</t>
        </is>
      </c>
      <c r="C194" t="inlineStr">
        <is>
          <t>L07</t>
        </is>
      </c>
      <c r="D194" t="inlineStr">
        <is>
          <t>AL07G32</t>
        </is>
      </c>
      <c r="E194" t="inlineStr">
        <is>
          <t>K02C2</t>
        </is>
      </c>
      <c r="F194" t="inlineStr">
        <is>
          <t>King</t>
        </is>
      </c>
      <c r="G194" s="11" t="n"/>
      <c r="H194" s="22" t="n"/>
      <c r="I194" s="11" t="n"/>
      <c r="J194" s="22" t="n"/>
      <c r="K194" s="11" t="n"/>
      <c r="L194" t="inlineStr">
        <is>
          <t>Typology drawing R01</t>
        </is>
      </c>
      <c r="M194">
        <f>Config!$B$3&amp;"?room="&amp;A194</f>
        <v/>
      </c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 ht="15" customHeight="1">
      <c r="A195" t="inlineStr">
        <is>
          <t>A-L07-K02D1</t>
        </is>
      </c>
      <c r="B195" t="inlineStr">
        <is>
          <t>Tower A</t>
        </is>
      </c>
      <c r="C195" t="inlineStr">
        <is>
          <t>L07</t>
        </is>
      </c>
      <c r="D195" t="inlineStr">
        <is>
          <t>AL07G12</t>
        </is>
      </c>
      <c r="E195" t="inlineStr">
        <is>
          <t>K02D1</t>
        </is>
      </c>
      <c r="F195" t="inlineStr">
        <is>
          <t>King</t>
        </is>
      </c>
      <c r="G195" s="11" t="n"/>
      <c r="H195" s="22" t="n"/>
      <c r="I195" s="11" t="n"/>
      <c r="J195" s="22" t="n"/>
      <c r="K195" s="11" t="n"/>
      <c r="L195" t="inlineStr">
        <is>
          <t>Typology drawing R01</t>
        </is>
      </c>
      <c r="M195">
        <f>Config!$B$3&amp;"?room="&amp;A195</f>
        <v/>
      </c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 ht="15" customHeight="1">
      <c r="A196" t="inlineStr">
        <is>
          <t>A-L07-Q01</t>
        </is>
      </c>
      <c r="B196" t="inlineStr">
        <is>
          <t>Tower A</t>
        </is>
      </c>
      <c r="C196" t="inlineStr">
        <is>
          <t>L07</t>
        </is>
      </c>
      <c r="D196" t="inlineStr">
        <is>
          <t>AL07G21</t>
        </is>
      </c>
      <c r="E196" t="inlineStr">
        <is>
          <t>Q01</t>
        </is>
      </c>
      <c r="F196" t="inlineStr">
        <is>
          <t>Queen</t>
        </is>
      </c>
      <c r="G196" s="11" t="n"/>
      <c r="H196" s="22" t="n"/>
      <c r="I196" s="11" t="n"/>
      <c r="J196" s="22" t="n"/>
      <c r="K196" s="11" t="n"/>
      <c r="L196" t="inlineStr">
        <is>
          <t>Typology drawing R01</t>
        </is>
      </c>
      <c r="M196">
        <f>Config!$B$3&amp;"?room="&amp;A196</f>
        <v/>
      </c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 ht="15" customHeight="1">
      <c r="A197" t="inlineStr">
        <is>
          <t>A-L07-Q01C-01</t>
        </is>
      </c>
      <c r="B197" t="inlineStr">
        <is>
          <t>Tower A</t>
        </is>
      </c>
      <c r="C197" t="inlineStr">
        <is>
          <t>L07</t>
        </is>
      </c>
      <c r="D197" t="inlineStr">
        <is>
          <t>AL07G05</t>
        </is>
      </c>
      <c r="E197" t="inlineStr">
        <is>
          <t>Q01C</t>
        </is>
      </c>
      <c r="F197" t="inlineStr">
        <is>
          <t>Queen</t>
        </is>
      </c>
      <c r="G197" s="11" t="n"/>
      <c r="H197" s="22" t="n"/>
      <c r="I197" s="11" t="n"/>
      <c r="J197" s="22" t="n"/>
      <c r="K197" s="11" t="n"/>
      <c r="L197" t="inlineStr">
        <is>
          <t>Typology drawing R01</t>
        </is>
      </c>
      <c r="M197">
        <f>Config!$B$3&amp;"?room="&amp;A197</f>
        <v/>
      </c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 ht="15" customHeight="1">
      <c r="A198" t="inlineStr">
        <is>
          <t>A-L07-Q01C-02</t>
        </is>
      </c>
      <c r="B198" t="inlineStr">
        <is>
          <t>Tower A</t>
        </is>
      </c>
      <c r="C198" t="inlineStr">
        <is>
          <t>L07</t>
        </is>
      </c>
      <c r="D198" t="inlineStr">
        <is>
          <t>AL07G09</t>
        </is>
      </c>
      <c r="E198" t="inlineStr">
        <is>
          <t>Q01C</t>
        </is>
      </c>
      <c r="F198" t="inlineStr">
        <is>
          <t>Queen</t>
        </is>
      </c>
      <c r="G198" s="11" t="n"/>
      <c r="H198" s="22" t="n"/>
      <c r="I198" s="11" t="n"/>
      <c r="J198" s="22" t="n"/>
      <c r="K198" s="11" t="n"/>
      <c r="L198" t="inlineStr">
        <is>
          <t>Typology drawing R01</t>
        </is>
      </c>
      <c r="M198">
        <f>Config!$B$3&amp;"?room="&amp;A198</f>
        <v/>
      </c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 ht="15" customHeight="1">
      <c r="A199" t="inlineStr">
        <is>
          <t>A-L07-Q01C-03</t>
        </is>
      </c>
      <c r="B199" t="inlineStr">
        <is>
          <t>Tower A</t>
        </is>
      </c>
      <c r="C199" t="inlineStr">
        <is>
          <t>L07</t>
        </is>
      </c>
      <c r="D199" t="inlineStr">
        <is>
          <t>AL07G33</t>
        </is>
      </c>
      <c r="E199" t="inlineStr">
        <is>
          <t>Q01C</t>
        </is>
      </c>
      <c r="F199" t="inlineStr">
        <is>
          <t>Queen</t>
        </is>
      </c>
      <c r="G199" s="11" t="n"/>
      <c r="H199" s="22" t="n"/>
      <c r="I199" s="11" t="n"/>
      <c r="J199" s="22" t="n"/>
      <c r="K199" s="11" t="n"/>
      <c r="L199" t="inlineStr">
        <is>
          <t>Typology drawing R01</t>
        </is>
      </c>
      <c r="M199">
        <f>Config!$B$3&amp;"?room="&amp;A199</f>
        <v/>
      </c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 ht="15" customHeight="1">
      <c r="A200" t="inlineStr">
        <is>
          <t>A-L07-Q01C1</t>
        </is>
      </c>
      <c r="B200" t="inlineStr">
        <is>
          <t>Tower A</t>
        </is>
      </c>
      <c r="C200" t="inlineStr">
        <is>
          <t>L07</t>
        </is>
      </c>
      <c r="D200" t="inlineStr">
        <is>
          <t>AL07G14</t>
        </is>
      </c>
      <c r="E200" t="inlineStr">
        <is>
          <t>Q01C1</t>
        </is>
      </c>
      <c r="F200" t="inlineStr">
        <is>
          <t>Queen</t>
        </is>
      </c>
      <c r="G200" s="11" t="n"/>
      <c r="H200" s="22" t="n"/>
      <c r="I200" s="11" t="n"/>
      <c r="J200" s="22" t="n"/>
      <c r="K200" s="11" t="n"/>
      <c r="L200" t="inlineStr">
        <is>
          <t>Typology drawing R01</t>
        </is>
      </c>
      <c r="M200">
        <f>Config!$B$3&amp;"?room="&amp;A200</f>
        <v/>
      </c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 ht="15" customHeight="1">
      <c r="A201" t="inlineStr">
        <is>
          <t>A-L07-Q02C1-01</t>
        </is>
      </c>
      <c r="B201" t="inlineStr">
        <is>
          <t>Tower A</t>
        </is>
      </c>
      <c r="C201" t="inlineStr">
        <is>
          <t>L07</t>
        </is>
      </c>
      <c r="D201" t="inlineStr">
        <is>
          <t>AL07G06</t>
        </is>
      </c>
      <c r="E201" t="inlineStr">
        <is>
          <t>Q02C1</t>
        </is>
      </c>
      <c r="F201" t="inlineStr">
        <is>
          <t>Queen</t>
        </is>
      </c>
      <c r="G201" s="11" t="n"/>
      <c r="H201" s="22" t="n"/>
      <c r="I201" s="11" t="n"/>
      <c r="J201" s="22" t="n"/>
      <c r="K201" s="11" t="n"/>
      <c r="L201" t="inlineStr">
        <is>
          <t>Typology drawing R01</t>
        </is>
      </c>
      <c r="M201">
        <f>Config!$B$3&amp;"?room="&amp;A201</f>
        <v/>
      </c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 ht="15" customHeight="1">
      <c r="A202" t="inlineStr">
        <is>
          <t>A-L07-Q02C1-02</t>
        </is>
      </c>
      <c r="B202" t="inlineStr">
        <is>
          <t>Tower A</t>
        </is>
      </c>
      <c r="C202" t="inlineStr">
        <is>
          <t>L07</t>
        </is>
      </c>
      <c r="D202" t="inlineStr">
        <is>
          <t>AL07G10</t>
        </is>
      </c>
      <c r="E202" t="inlineStr">
        <is>
          <t>Q02C1</t>
        </is>
      </c>
      <c r="F202" t="inlineStr">
        <is>
          <t>Queen</t>
        </is>
      </c>
      <c r="G202" s="11" t="n"/>
      <c r="H202" s="22" t="n"/>
      <c r="I202" s="11" t="n"/>
      <c r="J202" s="22" t="n"/>
      <c r="K202" s="11" t="n"/>
      <c r="L202" t="inlineStr">
        <is>
          <t>Typology drawing R01</t>
        </is>
      </c>
      <c r="M202">
        <f>Config!$B$3&amp;"?room="&amp;A202</f>
        <v/>
      </c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 ht="15" customHeight="1">
      <c r="A203" t="inlineStr">
        <is>
          <t>A-L07-Q02C2-01</t>
        </is>
      </c>
      <c r="B203" t="inlineStr">
        <is>
          <t>Tower A</t>
        </is>
      </c>
      <c r="C203" t="inlineStr">
        <is>
          <t>L07</t>
        </is>
      </c>
      <c r="D203" t="inlineStr">
        <is>
          <t>AL07G22</t>
        </is>
      </c>
      <c r="E203" t="inlineStr">
        <is>
          <t>Q02C2</t>
        </is>
      </c>
      <c r="F203" t="inlineStr">
        <is>
          <t>Queen</t>
        </is>
      </c>
      <c r="G203" s="11" t="n"/>
      <c r="H203" s="22" t="n"/>
      <c r="I203" s="11" t="n"/>
      <c r="J203" s="22" t="n"/>
      <c r="K203" s="11" t="n"/>
      <c r="L203" t="inlineStr">
        <is>
          <t>Typology drawing R01</t>
        </is>
      </c>
      <c r="M203">
        <f>Config!$B$3&amp;"?room="&amp;A203</f>
        <v/>
      </c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 ht="15" customHeight="1">
      <c r="A204" t="inlineStr">
        <is>
          <t>A-L07-Q02C2-02</t>
        </is>
      </c>
      <c r="B204" t="inlineStr">
        <is>
          <t>Tower A</t>
        </is>
      </c>
      <c r="C204" t="inlineStr">
        <is>
          <t>L07</t>
        </is>
      </c>
      <c r="D204" t="inlineStr">
        <is>
          <t>AL07G34</t>
        </is>
      </c>
      <c r="E204" t="inlineStr">
        <is>
          <t>Q02C2</t>
        </is>
      </c>
      <c r="F204" t="inlineStr">
        <is>
          <t>Queen</t>
        </is>
      </c>
      <c r="G204" s="11" t="n"/>
      <c r="H204" s="22" t="n"/>
      <c r="I204" s="11" t="n"/>
      <c r="J204" s="22" t="n"/>
      <c r="K204" s="11" t="n"/>
      <c r="L204" t="inlineStr">
        <is>
          <t>Typology drawing R01</t>
        </is>
      </c>
      <c r="M204">
        <f>Config!$B$3&amp;"?room="&amp;A204</f>
        <v/>
      </c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 ht="15" customHeight="1">
      <c r="A205" t="inlineStr">
        <is>
          <t>A-L07-Q02E</t>
        </is>
      </c>
      <c r="B205" t="inlineStr">
        <is>
          <t>Tower A</t>
        </is>
      </c>
      <c r="C205" t="inlineStr">
        <is>
          <t>L07</t>
        </is>
      </c>
      <c r="D205" t="inlineStr">
        <is>
          <t>AL07G41</t>
        </is>
      </c>
      <c r="E205" t="inlineStr">
        <is>
          <t>Q02E</t>
        </is>
      </c>
      <c r="F205" t="inlineStr">
        <is>
          <t>Queen</t>
        </is>
      </c>
      <c r="G205" s="11" t="n"/>
      <c r="H205" s="22" t="n"/>
      <c r="I205" s="11" t="n"/>
      <c r="J205" s="22" t="n"/>
      <c r="K205" s="11" t="n"/>
      <c r="L205" t="inlineStr">
        <is>
          <t>Typology drawing R01</t>
        </is>
      </c>
      <c r="M205">
        <f>Config!$B$3&amp;"?room="&amp;A205</f>
        <v/>
      </c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 ht="15" customHeight="1">
      <c r="A206" t="inlineStr">
        <is>
          <t>A-L07-QADA2</t>
        </is>
      </c>
      <c r="B206" t="inlineStr">
        <is>
          <t>Tower A</t>
        </is>
      </c>
      <c r="C206" t="inlineStr">
        <is>
          <t>L07</t>
        </is>
      </c>
      <c r="D206" t="inlineStr">
        <is>
          <t>AL07G37</t>
        </is>
      </c>
      <c r="E206" t="inlineStr">
        <is>
          <t>QADA2</t>
        </is>
      </c>
      <c r="F206" t="inlineStr">
        <is>
          <t>Queen ADA</t>
        </is>
      </c>
      <c r="G206" s="11" t="n"/>
      <c r="H206" s="22" t="n"/>
      <c r="I206" s="11" t="n"/>
      <c r="J206" s="22" t="n"/>
      <c r="K206" s="11" t="n"/>
      <c r="L206" t="inlineStr">
        <is>
          <t>Typology drawing R01</t>
        </is>
      </c>
      <c r="M206">
        <f>Config!$B$3&amp;"?room="&amp;A206</f>
        <v/>
      </c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 ht="15" customHeight="1">
      <c r="A207" t="inlineStr">
        <is>
          <t>A-L07-S05</t>
        </is>
      </c>
      <c r="B207" t="inlineStr">
        <is>
          <t>Tower A</t>
        </is>
      </c>
      <c r="C207" t="inlineStr">
        <is>
          <t>L07</t>
        </is>
      </c>
      <c r="D207" t="inlineStr">
        <is>
          <t>AL07G16</t>
        </is>
      </c>
      <c r="E207" t="inlineStr">
        <is>
          <t>S05</t>
        </is>
      </c>
      <c r="F207" t="inlineStr">
        <is>
          <t>Suite</t>
        </is>
      </c>
      <c r="G207" s="11" t="n"/>
      <c r="H207" s="22" t="n"/>
      <c r="I207" s="11" t="n"/>
      <c r="J207" s="22" t="n"/>
      <c r="K207" s="11" t="n"/>
      <c r="L207" t="inlineStr">
        <is>
          <t>Typology drawing R01</t>
        </is>
      </c>
      <c r="M207">
        <f>Config!$B$3&amp;"?room="&amp;A207</f>
        <v/>
      </c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 ht="15" customHeight="1">
      <c r="A208" t="inlineStr">
        <is>
          <t>A-L07-S06</t>
        </is>
      </c>
      <c r="B208" t="inlineStr">
        <is>
          <t>Tower A</t>
        </is>
      </c>
      <c r="C208" t="inlineStr">
        <is>
          <t>L07</t>
        </is>
      </c>
      <c r="D208" t="inlineStr">
        <is>
          <t>AL07G43</t>
        </is>
      </c>
      <c r="E208" t="inlineStr">
        <is>
          <t>S06</t>
        </is>
      </c>
      <c r="F208" t="inlineStr">
        <is>
          <t>Suite</t>
        </is>
      </c>
      <c r="G208" s="11" t="n"/>
      <c r="H208" s="22" t="n"/>
      <c r="I208" s="11" t="n"/>
      <c r="J208" s="22" t="n"/>
      <c r="K208" s="11" t="n"/>
      <c r="L208" t="inlineStr">
        <is>
          <t>Typology drawing R01</t>
        </is>
      </c>
      <c r="M208">
        <f>Config!$B$3&amp;"?room="&amp;A208</f>
        <v/>
      </c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 ht="15" customHeight="1">
      <c r="A209" t="inlineStr">
        <is>
          <t>A-L07-S08</t>
        </is>
      </c>
      <c r="B209" t="inlineStr">
        <is>
          <t>Tower A</t>
        </is>
      </c>
      <c r="C209" t="inlineStr">
        <is>
          <t>L07</t>
        </is>
      </c>
      <c r="D209" t="inlineStr">
        <is>
          <t>AL07G03</t>
        </is>
      </c>
      <c r="E209" t="inlineStr">
        <is>
          <t>S08</t>
        </is>
      </c>
      <c r="F209" t="inlineStr">
        <is>
          <t>Suite</t>
        </is>
      </c>
      <c r="G209" s="11" t="n"/>
      <c r="H209" s="22" t="n"/>
      <c r="I209" s="11" t="n"/>
      <c r="J209" s="22" t="n"/>
      <c r="K209" s="11" t="n"/>
      <c r="L209" t="inlineStr">
        <is>
          <t>Inferred – verify</t>
        </is>
      </c>
      <c r="M209">
        <f>Config!$B$3&amp;"?room="&amp;A209</f>
        <v/>
      </c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 ht="15" customHeight="1">
      <c r="A210" t="inlineStr">
        <is>
          <t>A-L07-S08A</t>
        </is>
      </c>
      <c r="B210" t="inlineStr">
        <is>
          <t>Tower A</t>
        </is>
      </c>
      <c r="C210" t="inlineStr">
        <is>
          <t>L07</t>
        </is>
      </c>
      <c r="D210" t="inlineStr">
        <is>
          <t>AL07G04</t>
        </is>
      </c>
      <c r="E210" t="inlineStr">
        <is>
          <t>S08A</t>
        </is>
      </c>
      <c r="F210" t="inlineStr">
        <is>
          <t>Suite</t>
        </is>
      </c>
      <c r="G210" s="11" t="n"/>
      <c r="H210" s="22" t="n"/>
      <c r="I210" s="11" t="n"/>
      <c r="J210" s="22" t="n"/>
      <c r="K210" s="11" t="n"/>
      <c r="L210" t="inlineStr">
        <is>
          <t>Typology drawing R01</t>
        </is>
      </c>
      <c r="M210">
        <f>Config!$B$3&amp;"?room="&amp;A210</f>
        <v/>
      </c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 ht="15" customHeight="1">
      <c r="A211" t="inlineStr">
        <is>
          <t>A-L08-F04</t>
        </is>
      </c>
      <c r="B211" t="inlineStr">
        <is>
          <t>Tower A</t>
        </is>
      </c>
      <c r="C211" t="inlineStr">
        <is>
          <t>L08</t>
        </is>
      </c>
      <c r="D211" t="inlineStr">
        <is>
          <t>AL08G11</t>
        </is>
      </c>
      <c r="E211" t="inlineStr">
        <is>
          <t>F04</t>
        </is>
      </c>
      <c r="F211" t="inlineStr">
        <is>
          <t>Family</t>
        </is>
      </c>
      <c r="G211" s="11" t="n"/>
      <c r="H211" s="22" t="n"/>
      <c r="I211" s="11" t="n"/>
      <c r="J211" s="22" t="n"/>
      <c r="K211" s="11" t="n"/>
      <c r="L211" t="inlineStr">
        <is>
          <t>Typology drawing R01</t>
        </is>
      </c>
      <c r="M211">
        <f>Config!$B$3&amp;"?room="&amp;A211</f>
        <v/>
      </c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 ht="15" customHeight="1">
      <c r="A212" t="inlineStr">
        <is>
          <t>A-L08-F05</t>
        </is>
      </c>
      <c r="B212" t="inlineStr">
        <is>
          <t>Tower A</t>
        </is>
      </c>
      <c r="C212" t="inlineStr">
        <is>
          <t>L08</t>
        </is>
      </c>
      <c r="D212" t="inlineStr">
        <is>
          <t>AL08G46</t>
        </is>
      </c>
      <c r="E212" t="inlineStr">
        <is>
          <t>F05</t>
        </is>
      </c>
      <c r="F212" t="inlineStr">
        <is>
          <t>Family</t>
        </is>
      </c>
      <c r="G212" s="11" t="n"/>
      <c r="H212" s="22" t="n"/>
      <c r="I212" s="11" t="n"/>
      <c r="J212" s="22" t="n"/>
      <c r="K212" s="11" t="n"/>
      <c r="L212" t="inlineStr">
        <is>
          <t>Typology drawing R01</t>
        </is>
      </c>
      <c r="M212">
        <f>Config!$B$3&amp;"?room="&amp;A212</f>
        <v/>
      </c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 ht="15" customHeight="1">
      <c r="A213" t="inlineStr">
        <is>
          <t>A-L08-K01-01</t>
        </is>
      </c>
      <c r="B213" t="inlineStr">
        <is>
          <t>Tower A</t>
        </is>
      </c>
      <c r="C213" t="inlineStr">
        <is>
          <t>L08</t>
        </is>
      </c>
      <c r="D213" t="inlineStr">
        <is>
          <t>AL08G19</t>
        </is>
      </c>
      <c r="E213" t="inlineStr">
        <is>
          <t>K01</t>
        </is>
      </c>
      <c r="F213" t="inlineStr">
        <is>
          <t>King</t>
        </is>
      </c>
      <c r="G213" s="11" t="n"/>
      <c r="H213" s="22" t="n"/>
      <c r="I213" s="11" t="n"/>
      <c r="J213" s="22" t="n"/>
      <c r="K213" s="11" t="n"/>
      <c r="L213" t="inlineStr">
        <is>
          <t>Typology drawing R01</t>
        </is>
      </c>
      <c r="M213">
        <f>Config!$B$3&amp;"?room="&amp;A213</f>
        <v/>
      </c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 ht="15" customHeight="1">
      <c r="A214" t="inlineStr">
        <is>
          <t>A-L08-K01-02</t>
        </is>
      </c>
      <c r="B214" t="inlineStr">
        <is>
          <t>Tower A</t>
        </is>
      </c>
      <c r="C214" t="inlineStr">
        <is>
          <t>L08</t>
        </is>
      </c>
      <c r="D214" t="inlineStr">
        <is>
          <t>AL08G23</t>
        </is>
      </c>
      <c r="E214" t="inlineStr">
        <is>
          <t>K01</t>
        </is>
      </c>
      <c r="F214" t="inlineStr">
        <is>
          <t>King</t>
        </is>
      </c>
      <c r="G214" s="11" t="n"/>
      <c r="H214" s="22" t="n"/>
      <c r="I214" s="11" t="n"/>
      <c r="J214" s="22" t="n"/>
      <c r="K214" s="11" t="n"/>
      <c r="L214" t="inlineStr">
        <is>
          <t>Typology drawing R01</t>
        </is>
      </c>
      <c r="M214">
        <f>Config!$B$3&amp;"?room="&amp;A214</f>
        <v/>
      </c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 ht="15" customHeight="1">
      <c r="A215" t="inlineStr">
        <is>
          <t>A-L08-K01-03</t>
        </is>
      </c>
      <c r="B215" t="inlineStr">
        <is>
          <t>Tower A</t>
        </is>
      </c>
      <c r="C215" t="inlineStr">
        <is>
          <t>L08</t>
        </is>
      </c>
      <c r="D215" t="inlineStr">
        <is>
          <t>AL08G27</t>
        </is>
      </c>
      <c r="E215" t="inlineStr">
        <is>
          <t>K01</t>
        </is>
      </c>
      <c r="F215" t="inlineStr">
        <is>
          <t>King</t>
        </is>
      </c>
      <c r="G215" s="11" t="n"/>
      <c r="H215" s="22" t="n"/>
      <c r="I215" s="11" t="n"/>
      <c r="J215" s="22" t="n"/>
      <c r="K215" s="11" t="n"/>
      <c r="L215" t="inlineStr">
        <is>
          <t>Typology drawing R01</t>
        </is>
      </c>
      <c r="M215">
        <f>Config!$B$3&amp;"?room="&amp;A215</f>
        <v/>
      </c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 ht="15" customHeight="1">
      <c r="A216" t="inlineStr">
        <is>
          <t>A-L08-K01B-01</t>
        </is>
      </c>
      <c r="B216" t="inlineStr">
        <is>
          <t>Tower A</t>
        </is>
      </c>
      <c r="C216" t="inlineStr">
        <is>
          <t>L08</t>
        </is>
      </c>
      <c r="D216" t="inlineStr">
        <is>
          <t>AL08G26</t>
        </is>
      </c>
      <c r="E216" t="inlineStr">
        <is>
          <t>K01B</t>
        </is>
      </c>
      <c r="F216" t="inlineStr">
        <is>
          <t>King</t>
        </is>
      </c>
      <c r="G216" s="11" t="n"/>
      <c r="H216" s="22" t="n"/>
      <c r="I216" s="11" t="n"/>
      <c r="J216" s="22" t="n"/>
      <c r="K216" s="11" t="n"/>
      <c r="L216" t="inlineStr">
        <is>
          <t>Typology drawing R01</t>
        </is>
      </c>
      <c r="M216">
        <f>Config!$B$3&amp;"?room="&amp;A216</f>
        <v/>
      </c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 ht="15" customHeight="1">
      <c r="A217" t="inlineStr">
        <is>
          <t>A-L08-K01B-02</t>
        </is>
      </c>
      <c r="B217" t="inlineStr">
        <is>
          <t>Tower A</t>
        </is>
      </c>
      <c r="C217" t="inlineStr">
        <is>
          <t>L08</t>
        </is>
      </c>
      <c r="D217" t="inlineStr">
        <is>
          <t>AL08G30</t>
        </is>
      </c>
      <c r="E217" t="inlineStr">
        <is>
          <t>K01B</t>
        </is>
      </c>
      <c r="F217" t="inlineStr">
        <is>
          <t>King</t>
        </is>
      </c>
      <c r="G217" s="11" t="n"/>
      <c r="H217" s="22" t="n"/>
      <c r="I217" s="11" t="n"/>
      <c r="J217" s="22" t="n"/>
      <c r="K217" s="11" t="n"/>
      <c r="L217" t="inlineStr">
        <is>
          <t>Typology drawing R01</t>
        </is>
      </c>
      <c r="M217">
        <f>Config!$B$3&amp;"?room="&amp;A217</f>
        <v/>
      </c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 ht="15" customHeight="1">
      <c r="A218" t="inlineStr">
        <is>
          <t>A-L08-K01C-01</t>
        </is>
      </c>
      <c r="B218" t="inlineStr">
        <is>
          <t>Tower A</t>
        </is>
      </c>
      <c r="C218" t="inlineStr">
        <is>
          <t>L08</t>
        </is>
      </c>
      <c r="D218" t="inlineStr">
        <is>
          <t>AL08G07</t>
        </is>
      </c>
      <c r="E218" t="inlineStr">
        <is>
          <t>K01C</t>
        </is>
      </c>
      <c r="F218" t="inlineStr">
        <is>
          <t>King</t>
        </is>
      </c>
      <c r="G218" s="11" t="n"/>
      <c r="H218" s="22" t="n"/>
      <c r="I218" s="11" t="n"/>
      <c r="J218" s="22" t="n"/>
      <c r="K218" s="11" t="n"/>
      <c r="L218" t="inlineStr">
        <is>
          <t>Typology drawing R01</t>
        </is>
      </c>
      <c r="M218">
        <f>Config!$B$3&amp;"?room="&amp;A218</f>
        <v/>
      </c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 ht="15" customHeight="1">
      <c r="A219" t="inlineStr">
        <is>
          <t>A-L08-K01C-02</t>
        </is>
      </c>
      <c r="B219" t="inlineStr">
        <is>
          <t>Tower A</t>
        </is>
      </c>
      <c r="C219" t="inlineStr">
        <is>
          <t>L08</t>
        </is>
      </c>
      <c r="D219" t="inlineStr">
        <is>
          <t>AL08G31</t>
        </is>
      </c>
      <c r="E219" t="inlineStr">
        <is>
          <t>K01C</t>
        </is>
      </c>
      <c r="F219" t="inlineStr">
        <is>
          <t>King</t>
        </is>
      </c>
      <c r="G219" s="11" t="n"/>
      <c r="H219" s="22" t="n"/>
      <c r="I219" s="11" t="n"/>
      <c r="J219" s="22" t="n"/>
      <c r="K219" s="11" t="n"/>
      <c r="L219" t="inlineStr">
        <is>
          <t>Typology drawing R01</t>
        </is>
      </c>
      <c r="M219">
        <f>Config!$B$3&amp;"?room="&amp;A219</f>
        <v/>
      </c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 ht="15" customHeight="1">
      <c r="A220" t="inlineStr">
        <is>
          <t>A-L08-K01C-03</t>
        </is>
      </c>
      <c r="B220" t="inlineStr">
        <is>
          <t>Tower A</t>
        </is>
      </c>
      <c r="C220" t="inlineStr">
        <is>
          <t>L08</t>
        </is>
      </c>
      <c r="D220" t="inlineStr">
        <is>
          <t>AL08G35</t>
        </is>
      </c>
      <c r="E220" t="inlineStr">
        <is>
          <t>K01C</t>
        </is>
      </c>
      <c r="F220" t="inlineStr">
        <is>
          <t>King</t>
        </is>
      </c>
      <c r="G220" s="11" t="n"/>
      <c r="H220" s="22" t="n"/>
      <c r="I220" s="11" t="n"/>
      <c r="J220" s="22" t="n"/>
      <c r="K220" s="11" t="n"/>
      <c r="L220" t="inlineStr">
        <is>
          <t>Typology drawing R01</t>
        </is>
      </c>
      <c r="M220">
        <f>Config!$B$3&amp;"?room="&amp;A220</f>
        <v/>
      </c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 ht="15" customHeight="1">
      <c r="A221" t="inlineStr">
        <is>
          <t>A-L08-K01D</t>
        </is>
      </c>
      <c r="B221" t="inlineStr">
        <is>
          <t>Tower A</t>
        </is>
      </c>
      <c r="C221" t="inlineStr">
        <is>
          <t>L08</t>
        </is>
      </c>
      <c r="D221" t="inlineStr">
        <is>
          <t>AL08G39</t>
        </is>
      </c>
      <c r="E221" t="inlineStr">
        <is>
          <t>K01D</t>
        </is>
      </c>
      <c r="F221" t="inlineStr">
        <is>
          <t>King</t>
        </is>
      </c>
      <c r="G221" s="11" t="n"/>
      <c r="H221" s="22" t="n"/>
      <c r="I221" s="11" t="n"/>
      <c r="J221" s="22" t="n"/>
      <c r="K221" s="11" t="n"/>
      <c r="L221" t="inlineStr">
        <is>
          <t>Typology drawing R01</t>
        </is>
      </c>
      <c r="M221">
        <f>Config!$B$3&amp;"?room="&amp;A221</f>
        <v/>
      </c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 ht="15" customHeight="1">
      <c r="A222" t="inlineStr">
        <is>
          <t>A-L08-K02-01</t>
        </is>
      </c>
      <c r="B222" t="inlineStr">
        <is>
          <t>Tower A</t>
        </is>
      </c>
      <c r="C222" t="inlineStr">
        <is>
          <t>L08</t>
        </is>
      </c>
      <c r="D222" t="inlineStr">
        <is>
          <t>AL08G25</t>
        </is>
      </c>
      <c r="E222" t="inlineStr">
        <is>
          <t>K02</t>
        </is>
      </c>
      <c r="F222" t="inlineStr">
        <is>
          <t>King</t>
        </is>
      </c>
      <c r="G222" s="11" t="n"/>
      <c r="H222" s="22" t="n"/>
      <c r="I222" s="11" t="n"/>
      <c r="J222" s="22" t="n"/>
      <c r="K222" s="11" t="n"/>
      <c r="L222" t="inlineStr">
        <is>
          <t>Typology drawing R01</t>
        </is>
      </c>
      <c r="M222">
        <f>Config!$B$3&amp;"?room="&amp;A222</f>
        <v/>
      </c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 ht="15" customHeight="1">
      <c r="A223" t="inlineStr">
        <is>
          <t>A-L08-K02-02</t>
        </is>
      </c>
      <c r="B223" t="inlineStr">
        <is>
          <t>Tower A</t>
        </is>
      </c>
      <c r="C223" t="inlineStr">
        <is>
          <t>L08</t>
        </is>
      </c>
      <c r="D223" t="inlineStr">
        <is>
          <t>AL08G29</t>
        </is>
      </c>
      <c r="E223" t="inlineStr">
        <is>
          <t>K02</t>
        </is>
      </c>
      <c r="F223" t="inlineStr">
        <is>
          <t>King</t>
        </is>
      </c>
      <c r="G223" s="11" t="n"/>
      <c r="H223" s="22" t="n"/>
      <c r="I223" s="11" t="n"/>
      <c r="J223" s="22" t="n"/>
      <c r="K223" s="11" t="n"/>
      <c r="L223" t="inlineStr">
        <is>
          <t>Typology drawing R01</t>
        </is>
      </c>
      <c r="M223">
        <f>Config!$B$3&amp;"?room="&amp;A223</f>
        <v/>
      </c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 ht="15" customHeight="1">
      <c r="A224" t="inlineStr">
        <is>
          <t>A-L08-K02B-01</t>
        </is>
      </c>
      <c r="B224" t="inlineStr">
        <is>
          <t>Tower A</t>
        </is>
      </c>
      <c r="C224" t="inlineStr">
        <is>
          <t>L08</t>
        </is>
      </c>
      <c r="D224" t="inlineStr">
        <is>
          <t>AL08G24</t>
        </is>
      </c>
      <c r="E224" t="inlineStr">
        <is>
          <t>K02B</t>
        </is>
      </c>
      <c r="F224" t="inlineStr">
        <is>
          <t>King</t>
        </is>
      </c>
      <c r="G224" s="11" t="n"/>
      <c r="H224" s="22" t="n"/>
      <c r="I224" s="11" t="n"/>
      <c r="J224" s="22" t="n"/>
      <c r="K224" s="11" t="n"/>
      <c r="L224" t="inlineStr">
        <is>
          <t>Typology drawing R01</t>
        </is>
      </c>
      <c r="M224">
        <f>Config!$B$3&amp;"?room="&amp;A224</f>
        <v/>
      </c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 ht="15" customHeight="1">
      <c r="A225" t="inlineStr">
        <is>
          <t>A-L08-K02B-02</t>
        </is>
      </c>
      <c r="B225" t="inlineStr">
        <is>
          <t>Tower A</t>
        </is>
      </c>
      <c r="C225" t="inlineStr">
        <is>
          <t>L08</t>
        </is>
      </c>
      <c r="D225" t="inlineStr">
        <is>
          <t>AL08G28</t>
        </is>
      </c>
      <c r="E225" t="inlineStr">
        <is>
          <t>K02B</t>
        </is>
      </c>
      <c r="F225" t="inlineStr">
        <is>
          <t>King</t>
        </is>
      </c>
      <c r="G225" s="11" t="n"/>
      <c r="H225" s="22" t="n"/>
      <c r="I225" s="11" t="n"/>
      <c r="J225" s="22" t="n"/>
      <c r="K225" s="11" t="n"/>
      <c r="L225" t="inlineStr">
        <is>
          <t>Typology drawing R01</t>
        </is>
      </c>
      <c r="M225">
        <f>Config!$B$3&amp;"?room="&amp;A225</f>
        <v/>
      </c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 ht="15" customHeight="1">
      <c r="A226" t="inlineStr">
        <is>
          <t>A-L08-K02B-03</t>
        </is>
      </c>
      <c r="B226" t="inlineStr">
        <is>
          <t>Tower A</t>
        </is>
      </c>
      <c r="C226" t="inlineStr">
        <is>
          <t>L08</t>
        </is>
      </c>
      <c r="D226" t="inlineStr">
        <is>
          <t>AL08G36</t>
        </is>
      </c>
      <c r="E226" t="inlineStr">
        <is>
          <t>K02B</t>
        </is>
      </c>
      <c r="F226" t="inlineStr">
        <is>
          <t>King</t>
        </is>
      </c>
      <c r="G226" s="11" t="n"/>
      <c r="H226" s="22" t="n"/>
      <c r="I226" s="11" t="n"/>
      <c r="J226" s="22" t="n"/>
      <c r="K226" s="11" t="n"/>
      <c r="L226" t="inlineStr">
        <is>
          <t>Typology drawing R01</t>
        </is>
      </c>
      <c r="M226">
        <f>Config!$B$3&amp;"?room="&amp;A226</f>
        <v/>
      </c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 ht="15" customHeight="1">
      <c r="A227" t="inlineStr">
        <is>
          <t>A-L08-K02C1</t>
        </is>
      </c>
      <c r="B227" t="inlineStr">
        <is>
          <t>Tower A</t>
        </is>
      </c>
      <c r="C227" t="inlineStr">
        <is>
          <t>L08</t>
        </is>
      </c>
      <c r="D227" t="inlineStr">
        <is>
          <t>AL08G08</t>
        </is>
      </c>
      <c r="E227" t="inlineStr">
        <is>
          <t>K02C1</t>
        </is>
      </c>
      <c r="F227" t="inlineStr">
        <is>
          <t>King</t>
        </is>
      </c>
      <c r="G227" s="11" t="n"/>
      <c r="H227" s="22" t="n"/>
      <c r="I227" s="11" t="n"/>
      <c r="J227" s="22" t="n"/>
      <c r="K227" s="11" t="n"/>
      <c r="L227" t="inlineStr">
        <is>
          <t>Typology drawing R01</t>
        </is>
      </c>
      <c r="M227">
        <f>Config!$B$3&amp;"?room="&amp;A227</f>
        <v/>
      </c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 ht="15" customHeight="1">
      <c r="A228" t="inlineStr">
        <is>
          <t>A-L08-K02C2-01</t>
        </is>
      </c>
      <c r="B228" t="inlineStr">
        <is>
          <t>Tower A</t>
        </is>
      </c>
      <c r="C228" t="inlineStr">
        <is>
          <t>L08</t>
        </is>
      </c>
      <c r="D228" t="inlineStr">
        <is>
          <t>AL08G20</t>
        </is>
      </c>
      <c r="E228" t="inlineStr">
        <is>
          <t>K02C2</t>
        </is>
      </c>
      <c r="F228" t="inlineStr">
        <is>
          <t>King</t>
        </is>
      </c>
      <c r="G228" s="11" t="n"/>
      <c r="H228" s="22" t="n"/>
      <c r="I228" s="11" t="n"/>
      <c r="J228" s="22" t="n"/>
      <c r="K228" s="11" t="n"/>
      <c r="L228" t="inlineStr">
        <is>
          <t>Typology drawing R01</t>
        </is>
      </c>
      <c r="M228">
        <f>Config!$B$3&amp;"?room="&amp;A228</f>
        <v/>
      </c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 ht="15" customHeight="1">
      <c r="A229" t="inlineStr">
        <is>
          <t>A-L08-K02C2-02</t>
        </is>
      </c>
      <c r="B229" t="inlineStr">
        <is>
          <t>Tower A</t>
        </is>
      </c>
      <c r="C229" t="inlineStr">
        <is>
          <t>L08</t>
        </is>
      </c>
      <c r="D229" t="inlineStr">
        <is>
          <t>AL08G32</t>
        </is>
      </c>
      <c r="E229" t="inlineStr">
        <is>
          <t>K02C2</t>
        </is>
      </c>
      <c r="F229" t="inlineStr">
        <is>
          <t>King</t>
        </is>
      </c>
      <c r="G229" s="11" t="n"/>
      <c r="H229" s="22" t="n"/>
      <c r="I229" s="11" t="n"/>
      <c r="J229" s="22" t="n"/>
      <c r="K229" s="11" t="n"/>
      <c r="L229" t="inlineStr">
        <is>
          <t>Typology drawing R01</t>
        </is>
      </c>
      <c r="M229">
        <f>Config!$B$3&amp;"?room="&amp;A229</f>
        <v/>
      </c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 ht="15" customHeight="1">
      <c r="A230" t="inlineStr">
        <is>
          <t>A-L08-K02D1</t>
        </is>
      </c>
      <c r="B230" t="inlineStr">
        <is>
          <t>Tower A</t>
        </is>
      </c>
      <c r="C230" t="inlineStr">
        <is>
          <t>L08</t>
        </is>
      </c>
      <c r="D230" t="inlineStr">
        <is>
          <t>AL08G12</t>
        </is>
      </c>
      <c r="E230" t="inlineStr">
        <is>
          <t>K02D1</t>
        </is>
      </c>
      <c r="F230" t="inlineStr">
        <is>
          <t>King</t>
        </is>
      </c>
      <c r="G230" s="11" t="n"/>
      <c r="H230" s="22" t="n"/>
      <c r="I230" s="11" t="n"/>
      <c r="J230" s="22" t="n"/>
      <c r="K230" s="11" t="n"/>
      <c r="L230" t="inlineStr">
        <is>
          <t>Typology drawing R01</t>
        </is>
      </c>
      <c r="M230">
        <f>Config!$B$3&amp;"?room="&amp;A230</f>
        <v/>
      </c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 ht="15" customHeight="1">
      <c r="A231" t="inlineStr">
        <is>
          <t>A-L08-Q01</t>
        </is>
      </c>
      <c r="B231" t="inlineStr">
        <is>
          <t>Tower A</t>
        </is>
      </c>
      <c r="C231" t="inlineStr">
        <is>
          <t>L08</t>
        </is>
      </c>
      <c r="D231" t="inlineStr">
        <is>
          <t>AL08G21</t>
        </is>
      </c>
      <c r="E231" t="inlineStr">
        <is>
          <t>Q01</t>
        </is>
      </c>
      <c r="F231" t="inlineStr">
        <is>
          <t>Queen</t>
        </is>
      </c>
      <c r="G231" s="11" t="n"/>
      <c r="H231" s="22" t="n"/>
      <c r="I231" s="11" t="n"/>
      <c r="J231" s="22" t="n"/>
      <c r="K231" s="11" t="n"/>
      <c r="L231" t="inlineStr">
        <is>
          <t>Typology drawing R01</t>
        </is>
      </c>
      <c r="M231">
        <f>Config!$B$3&amp;"?room="&amp;A231</f>
        <v/>
      </c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 ht="15" customHeight="1">
      <c r="A232" t="inlineStr">
        <is>
          <t>A-L08-Q01C-01</t>
        </is>
      </c>
      <c r="B232" t="inlineStr">
        <is>
          <t>Tower A</t>
        </is>
      </c>
      <c r="C232" t="inlineStr">
        <is>
          <t>L08</t>
        </is>
      </c>
      <c r="D232" t="inlineStr">
        <is>
          <t>AL08G05</t>
        </is>
      </c>
      <c r="E232" t="inlineStr">
        <is>
          <t>Q01C</t>
        </is>
      </c>
      <c r="F232" t="inlineStr">
        <is>
          <t>Queen</t>
        </is>
      </c>
      <c r="G232" s="11" t="n"/>
      <c r="H232" s="22" t="n"/>
      <c r="I232" s="11" t="n"/>
      <c r="J232" s="22" t="n"/>
      <c r="K232" s="11" t="n"/>
      <c r="L232" t="inlineStr">
        <is>
          <t>Typology drawing R01</t>
        </is>
      </c>
      <c r="M232">
        <f>Config!$B$3&amp;"?room="&amp;A232</f>
        <v/>
      </c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 ht="15" customHeight="1">
      <c r="A233" t="inlineStr">
        <is>
          <t>A-L08-Q01C-02</t>
        </is>
      </c>
      <c r="B233" t="inlineStr">
        <is>
          <t>Tower A</t>
        </is>
      </c>
      <c r="C233" t="inlineStr">
        <is>
          <t>L08</t>
        </is>
      </c>
      <c r="D233" t="inlineStr">
        <is>
          <t>AL08G09</t>
        </is>
      </c>
      <c r="E233" t="inlineStr">
        <is>
          <t>Q01C</t>
        </is>
      </c>
      <c r="F233" t="inlineStr">
        <is>
          <t>Queen</t>
        </is>
      </c>
      <c r="G233" s="11" t="n"/>
      <c r="H233" s="22" t="n"/>
      <c r="I233" s="11" t="n"/>
      <c r="J233" s="22" t="n"/>
      <c r="K233" s="11" t="n"/>
      <c r="L233" t="inlineStr">
        <is>
          <t>Typology drawing R01</t>
        </is>
      </c>
      <c r="M233">
        <f>Config!$B$3&amp;"?room="&amp;A233</f>
        <v/>
      </c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 ht="15" customHeight="1">
      <c r="A234" t="inlineStr">
        <is>
          <t>A-L08-Q01C-03</t>
        </is>
      </c>
      <c r="B234" t="inlineStr">
        <is>
          <t>Tower A</t>
        </is>
      </c>
      <c r="C234" t="inlineStr">
        <is>
          <t>L08</t>
        </is>
      </c>
      <c r="D234" t="inlineStr">
        <is>
          <t>AL08G33</t>
        </is>
      </c>
      <c r="E234" t="inlineStr">
        <is>
          <t>Q01C</t>
        </is>
      </c>
      <c r="F234" t="inlineStr">
        <is>
          <t>Queen</t>
        </is>
      </c>
      <c r="G234" s="11" t="n"/>
      <c r="H234" s="22" t="n"/>
      <c r="I234" s="11" t="n"/>
      <c r="J234" s="22" t="n"/>
      <c r="K234" s="11" t="n"/>
      <c r="L234" t="inlineStr">
        <is>
          <t>Typology drawing R01</t>
        </is>
      </c>
      <c r="M234">
        <f>Config!$B$3&amp;"?room="&amp;A234</f>
        <v/>
      </c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 ht="15" customHeight="1">
      <c r="A235" t="inlineStr">
        <is>
          <t>A-L08-Q01C-04</t>
        </is>
      </c>
      <c r="B235" t="inlineStr">
        <is>
          <t>Tower A</t>
        </is>
      </c>
      <c r="C235" t="inlineStr">
        <is>
          <t>L08</t>
        </is>
      </c>
      <c r="D235" t="inlineStr">
        <is>
          <t>AL08G37</t>
        </is>
      </c>
      <c r="E235" t="inlineStr">
        <is>
          <t>Q01C</t>
        </is>
      </c>
      <c r="F235" t="inlineStr">
        <is>
          <t>Queen</t>
        </is>
      </c>
      <c r="G235" s="11" t="n"/>
      <c r="H235" s="22" t="n"/>
      <c r="I235" s="11" t="n"/>
      <c r="J235" s="22" t="n"/>
      <c r="K235" s="11" t="n"/>
      <c r="L235" t="inlineStr">
        <is>
          <t>Typology drawing R01</t>
        </is>
      </c>
      <c r="M235">
        <f>Config!$B$3&amp;"?room="&amp;A235</f>
        <v/>
      </c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 ht="15" customHeight="1">
      <c r="A236" t="inlineStr">
        <is>
          <t>A-L08-Q01C1</t>
        </is>
      </c>
      <c r="B236" t="inlineStr">
        <is>
          <t>Tower A</t>
        </is>
      </c>
      <c r="C236" t="inlineStr">
        <is>
          <t>L08</t>
        </is>
      </c>
      <c r="D236" t="inlineStr">
        <is>
          <t>AL08G14</t>
        </is>
      </c>
      <c r="E236" t="inlineStr">
        <is>
          <t>Q01C1</t>
        </is>
      </c>
      <c r="F236" t="inlineStr">
        <is>
          <t>Queen</t>
        </is>
      </c>
      <c r="G236" s="11" t="n"/>
      <c r="H236" s="22" t="n"/>
      <c r="I236" s="11" t="n"/>
      <c r="J236" s="22" t="n"/>
      <c r="K236" s="11" t="n"/>
      <c r="L236" t="inlineStr">
        <is>
          <t>Typology drawing R01</t>
        </is>
      </c>
      <c r="M236">
        <f>Config!$B$3&amp;"?room="&amp;A236</f>
        <v/>
      </c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 ht="15" customHeight="1">
      <c r="A237" t="inlineStr">
        <is>
          <t>A-L08-Q02C1-01</t>
        </is>
      </c>
      <c r="B237" t="inlineStr">
        <is>
          <t>Tower A</t>
        </is>
      </c>
      <c r="C237" t="inlineStr">
        <is>
          <t>L08</t>
        </is>
      </c>
      <c r="D237" t="inlineStr">
        <is>
          <t>AL08G06</t>
        </is>
      </c>
      <c r="E237" t="inlineStr">
        <is>
          <t>Q02C1</t>
        </is>
      </c>
      <c r="F237" t="inlineStr">
        <is>
          <t>Queen</t>
        </is>
      </c>
      <c r="G237" s="11" t="n"/>
      <c r="H237" s="22" t="n"/>
      <c r="I237" s="11" t="n"/>
      <c r="J237" s="22" t="n"/>
      <c r="K237" s="11" t="n"/>
      <c r="L237" t="inlineStr">
        <is>
          <t>Typology drawing R01</t>
        </is>
      </c>
      <c r="M237">
        <f>Config!$B$3&amp;"?room="&amp;A237</f>
        <v/>
      </c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 ht="15" customHeight="1">
      <c r="A238" t="inlineStr">
        <is>
          <t>A-L08-Q02C1-02</t>
        </is>
      </c>
      <c r="B238" t="inlineStr">
        <is>
          <t>Tower A</t>
        </is>
      </c>
      <c r="C238" t="inlineStr">
        <is>
          <t>L08</t>
        </is>
      </c>
      <c r="D238" t="inlineStr">
        <is>
          <t>AL08G10</t>
        </is>
      </c>
      <c r="E238" t="inlineStr">
        <is>
          <t>Q02C1</t>
        </is>
      </c>
      <c r="F238" t="inlineStr">
        <is>
          <t>Queen</t>
        </is>
      </c>
      <c r="G238" s="11" t="n"/>
      <c r="H238" s="22" t="n"/>
      <c r="I238" s="11" t="n"/>
      <c r="J238" s="22" t="n"/>
      <c r="K238" s="11" t="n"/>
      <c r="L238" t="inlineStr">
        <is>
          <t>Typology drawing R01</t>
        </is>
      </c>
      <c r="M238">
        <f>Config!$B$3&amp;"?room="&amp;A238</f>
        <v/>
      </c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 ht="15" customHeight="1">
      <c r="A239" t="inlineStr">
        <is>
          <t>A-L08-Q02C2-01</t>
        </is>
      </c>
      <c r="B239" t="inlineStr">
        <is>
          <t>Tower A</t>
        </is>
      </c>
      <c r="C239" t="inlineStr">
        <is>
          <t>L08</t>
        </is>
      </c>
      <c r="D239" t="inlineStr">
        <is>
          <t>AL08G22</t>
        </is>
      </c>
      <c r="E239" t="inlineStr">
        <is>
          <t>Q02C2</t>
        </is>
      </c>
      <c r="F239" t="inlineStr">
        <is>
          <t>Queen</t>
        </is>
      </c>
      <c r="G239" s="11" t="n"/>
      <c r="H239" s="22" t="n"/>
      <c r="I239" s="11" t="n"/>
      <c r="J239" s="22" t="n"/>
      <c r="K239" s="11" t="n"/>
      <c r="L239" t="inlineStr">
        <is>
          <t>Typology drawing R01</t>
        </is>
      </c>
      <c r="M239">
        <f>Config!$B$3&amp;"?room="&amp;A239</f>
        <v/>
      </c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 ht="15" customHeight="1">
      <c r="A240" t="inlineStr">
        <is>
          <t>A-L08-Q02C2-02</t>
        </is>
      </c>
      <c r="B240" t="inlineStr">
        <is>
          <t>Tower A</t>
        </is>
      </c>
      <c r="C240" t="inlineStr">
        <is>
          <t>L08</t>
        </is>
      </c>
      <c r="D240" t="inlineStr">
        <is>
          <t>AL08G34</t>
        </is>
      </c>
      <c r="E240" t="inlineStr">
        <is>
          <t>Q02C2</t>
        </is>
      </c>
      <c r="F240" t="inlineStr">
        <is>
          <t>Queen</t>
        </is>
      </c>
      <c r="G240" s="11" t="n"/>
      <c r="H240" s="22" t="n"/>
      <c r="I240" s="11" t="n"/>
      <c r="J240" s="22" t="n"/>
      <c r="K240" s="11" t="n"/>
      <c r="L240" t="inlineStr">
        <is>
          <t>Typology drawing R01</t>
        </is>
      </c>
      <c r="M240">
        <f>Config!$B$3&amp;"?room="&amp;A240</f>
        <v/>
      </c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 ht="15" customHeight="1">
      <c r="A241" t="inlineStr">
        <is>
          <t>A-L08-Q02E</t>
        </is>
      </c>
      <c r="B241" t="inlineStr">
        <is>
          <t>Tower A</t>
        </is>
      </c>
      <c r="C241" t="inlineStr">
        <is>
          <t>L08</t>
        </is>
      </c>
      <c r="D241" t="inlineStr">
        <is>
          <t>AL08G41</t>
        </is>
      </c>
      <c r="E241" t="inlineStr">
        <is>
          <t>Q02E</t>
        </is>
      </c>
      <c r="F241" t="inlineStr">
        <is>
          <t>Queen</t>
        </is>
      </c>
      <c r="G241" s="11" t="n"/>
      <c r="H241" s="22" t="n"/>
      <c r="I241" s="11" t="n"/>
      <c r="J241" s="22" t="n"/>
      <c r="K241" s="11" t="n"/>
      <c r="L241" t="inlineStr">
        <is>
          <t>Typology drawing R01</t>
        </is>
      </c>
      <c r="M241">
        <f>Config!$B$3&amp;"?room="&amp;A241</f>
        <v/>
      </c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 ht="15" customHeight="1">
      <c r="A242" t="inlineStr">
        <is>
          <t>A-L08-S05</t>
        </is>
      </c>
      <c r="B242" t="inlineStr">
        <is>
          <t>Tower A</t>
        </is>
      </c>
      <c r="C242" t="inlineStr">
        <is>
          <t>L08</t>
        </is>
      </c>
      <c r="D242" t="inlineStr">
        <is>
          <t>AL08G16</t>
        </is>
      </c>
      <c r="E242" t="inlineStr">
        <is>
          <t>S05</t>
        </is>
      </c>
      <c r="F242" t="inlineStr">
        <is>
          <t>Suite</t>
        </is>
      </c>
      <c r="G242" s="11" t="n"/>
      <c r="H242" s="22" t="n"/>
      <c r="I242" s="11" t="n"/>
      <c r="J242" s="22" t="n"/>
      <c r="K242" s="11" t="n"/>
      <c r="L242" t="inlineStr">
        <is>
          <t>Typology drawing R01</t>
        </is>
      </c>
      <c r="M242">
        <f>Config!$B$3&amp;"?room="&amp;A242</f>
        <v/>
      </c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 ht="15" customHeight="1">
      <c r="A243" t="inlineStr">
        <is>
          <t>A-L08-S06</t>
        </is>
      </c>
      <c r="B243" t="inlineStr">
        <is>
          <t>Tower A</t>
        </is>
      </c>
      <c r="C243" t="inlineStr">
        <is>
          <t>L08</t>
        </is>
      </c>
      <c r="D243" t="inlineStr">
        <is>
          <t>AL08G43</t>
        </is>
      </c>
      <c r="E243" t="inlineStr">
        <is>
          <t>S06</t>
        </is>
      </c>
      <c r="F243" t="inlineStr">
        <is>
          <t>Suite</t>
        </is>
      </c>
      <c r="G243" s="11" t="n"/>
      <c r="H243" s="22" t="n"/>
      <c r="I243" s="11" t="n"/>
      <c r="J243" s="22" t="n"/>
      <c r="K243" s="11" t="n"/>
      <c r="L243" t="inlineStr">
        <is>
          <t>Typology drawing R01</t>
        </is>
      </c>
      <c r="M243">
        <f>Config!$B$3&amp;"?room="&amp;A243</f>
        <v/>
      </c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 ht="15" customHeight="1">
      <c r="A244" t="inlineStr">
        <is>
          <t>A-L08-S08</t>
        </is>
      </c>
      <c r="B244" t="inlineStr">
        <is>
          <t>Tower A</t>
        </is>
      </c>
      <c r="C244" t="inlineStr">
        <is>
          <t>L08</t>
        </is>
      </c>
      <c r="D244" t="inlineStr">
        <is>
          <t>AL08G03</t>
        </is>
      </c>
      <c r="E244" t="inlineStr">
        <is>
          <t>S08</t>
        </is>
      </c>
      <c r="F244" t="inlineStr">
        <is>
          <t>Suite</t>
        </is>
      </c>
      <c r="G244" s="11" t="n"/>
      <c r="H244" s="22" t="n"/>
      <c r="I244" s="11" t="n"/>
      <c r="J244" s="22" t="n"/>
      <c r="K244" s="11" t="n"/>
      <c r="L244" t="inlineStr">
        <is>
          <t>Typology drawing R01</t>
        </is>
      </c>
      <c r="M244">
        <f>Config!$B$3&amp;"?room="&amp;A244</f>
        <v/>
      </c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 ht="15" customHeight="1">
      <c r="A245" t="inlineStr">
        <is>
          <t>A-L08-S08A</t>
        </is>
      </c>
      <c r="B245" t="inlineStr">
        <is>
          <t>Tower A</t>
        </is>
      </c>
      <c r="C245" t="inlineStr">
        <is>
          <t>L08</t>
        </is>
      </c>
      <c r="D245" t="inlineStr">
        <is>
          <t>AL08G04</t>
        </is>
      </c>
      <c r="E245" t="inlineStr">
        <is>
          <t>S08A</t>
        </is>
      </c>
      <c r="F245" t="inlineStr">
        <is>
          <t>Suite</t>
        </is>
      </c>
      <c r="G245" s="11" t="n"/>
      <c r="H245" s="22" t="n"/>
      <c r="I245" s="11" t="n"/>
      <c r="J245" s="22" t="n"/>
      <c r="K245" s="11" t="n"/>
      <c r="L245" t="inlineStr">
        <is>
          <t>Typology drawing R01</t>
        </is>
      </c>
      <c r="M245">
        <f>Config!$B$3&amp;"?room="&amp;A245</f>
        <v/>
      </c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 ht="15" customHeight="1">
      <c r="A246" t="inlineStr">
        <is>
          <t>A-L09-F04</t>
        </is>
      </c>
      <c r="B246" t="inlineStr">
        <is>
          <t>Tower A</t>
        </is>
      </c>
      <c r="C246" t="inlineStr">
        <is>
          <t>L09</t>
        </is>
      </c>
      <c r="D246" t="inlineStr">
        <is>
          <t>AL09G11</t>
        </is>
      </c>
      <c r="E246" t="inlineStr">
        <is>
          <t>F04</t>
        </is>
      </c>
      <c r="F246" t="inlineStr">
        <is>
          <t>Family</t>
        </is>
      </c>
      <c r="G246" s="11" t="n"/>
      <c r="H246" s="22" t="n"/>
      <c r="I246" s="11" t="n"/>
      <c r="J246" s="22" t="n"/>
      <c r="K246" s="11" t="n"/>
      <c r="L246" t="inlineStr">
        <is>
          <t>Typology drawing R01</t>
        </is>
      </c>
      <c r="M246">
        <f>Config!$B$3&amp;"?room="&amp;A246</f>
        <v/>
      </c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 ht="15" customHeight="1">
      <c r="A247" t="inlineStr">
        <is>
          <t>A-L09-F05</t>
        </is>
      </c>
      <c r="B247" t="inlineStr">
        <is>
          <t>Tower A</t>
        </is>
      </c>
      <c r="C247" t="inlineStr">
        <is>
          <t>L09</t>
        </is>
      </c>
      <c r="D247" t="inlineStr">
        <is>
          <t>AL09G46</t>
        </is>
      </c>
      <c r="E247" t="inlineStr">
        <is>
          <t>F05</t>
        </is>
      </c>
      <c r="F247" t="inlineStr">
        <is>
          <t>Family</t>
        </is>
      </c>
      <c r="G247" s="11" t="n"/>
      <c r="H247" s="22" t="n"/>
      <c r="I247" s="11" t="n"/>
      <c r="J247" s="22" t="n"/>
      <c r="K247" s="11" t="n"/>
      <c r="L247" t="inlineStr">
        <is>
          <t>Typology drawing R01</t>
        </is>
      </c>
      <c r="M247">
        <f>Config!$B$3&amp;"?room="&amp;A247</f>
        <v/>
      </c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 ht="15" customHeight="1">
      <c r="A248" t="inlineStr">
        <is>
          <t>A-L09-K01-01</t>
        </is>
      </c>
      <c r="B248" t="inlineStr">
        <is>
          <t>Tower A</t>
        </is>
      </c>
      <c r="C248" t="inlineStr">
        <is>
          <t>L09</t>
        </is>
      </c>
      <c r="D248" t="inlineStr">
        <is>
          <t>AL09G19</t>
        </is>
      </c>
      <c r="E248" t="inlineStr">
        <is>
          <t>K01</t>
        </is>
      </c>
      <c r="F248" t="inlineStr">
        <is>
          <t>King</t>
        </is>
      </c>
      <c r="G248" s="11" t="n"/>
      <c r="H248" s="22" t="n"/>
      <c r="I248" s="11" t="n"/>
      <c r="J248" s="22" t="n"/>
      <c r="K248" s="11" t="n"/>
      <c r="L248" t="inlineStr">
        <is>
          <t>Typology drawing R01</t>
        </is>
      </c>
      <c r="M248">
        <f>Config!$B$3&amp;"?room="&amp;A248</f>
        <v/>
      </c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 ht="15" customHeight="1">
      <c r="A249" t="inlineStr">
        <is>
          <t>A-L09-K01-02</t>
        </is>
      </c>
      <c r="B249" t="inlineStr">
        <is>
          <t>Tower A</t>
        </is>
      </c>
      <c r="C249" t="inlineStr">
        <is>
          <t>L09</t>
        </is>
      </c>
      <c r="D249" t="inlineStr">
        <is>
          <t>AL09G23</t>
        </is>
      </c>
      <c r="E249" t="inlineStr">
        <is>
          <t>K01</t>
        </is>
      </c>
      <c r="F249" t="inlineStr">
        <is>
          <t>King</t>
        </is>
      </c>
      <c r="G249" s="11" t="n"/>
      <c r="H249" s="22" t="n"/>
      <c r="I249" s="11" t="n"/>
      <c r="J249" s="22" t="n"/>
      <c r="K249" s="11" t="n"/>
      <c r="L249" t="inlineStr">
        <is>
          <t>Typology drawing R01</t>
        </is>
      </c>
      <c r="M249">
        <f>Config!$B$3&amp;"?room="&amp;A249</f>
        <v/>
      </c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 ht="15" customHeight="1">
      <c r="A250" t="inlineStr">
        <is>
          <t>A-L09-K01-03</t>
        </is>
      </c>
      <c r="B250" t="inlineStr">
        <is>
          <t>Tower A</t>
        </is>
      </c>
      <c r="C250" t="inlineStr">
        <is>
          <t>L09</t>
        </is>
      </c>
      <c r="D250" t="inlineStr">
        <is>
          <t>AL09G27</t>
        </is>
      </c>
      <c r="E250" t="inlineStr">
        <is>
          <t>K01</t>
        </is>
      </c>
      <c r="F250" t="inlineStr">
        <is>
          <t>King</t>
        </is>
      </c>
      <c r="G250" s="11" t="n"/>
      <c r="H250" s="22" t="n"/>
      <c r="I250" s="11" t="n"/>
      <c r="J250" s="22" t="n"/>
      <c r="K250" s="11" t="n"/>
      <c r="L250" t="inlineStr">
        <is>
          <t>Typology drawing R01</t>
        </is>
      </c>
      <c r="M250">
        <f>Config!$B$3&amp;"?room="&amp;A250</f>
        <v/>
      </c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 ht="15" customHeight="1">
      <c r="A251" t="inlineStr">
        <is>
          <t>A-L09-K01B-01</t>
        </is>
      </c>
      <c r="B251" t="inlineStr">
        <is>
          <t>Tower A</t>
        </is>
      </c>
      <c r="C251" t="inlineStr">
        <is>
          <t>L09</t>
        </is>
      </c>
      <c r="D251" t="inlineStr">
        <is>
          <t>AL09G26</t>
        </is>
      </c>
      <c r="E251" t="inlineStr">
        <is>
          <t>K01B</t>
        </is>
      </c>
      <c r="F251" t="inlineStr">
        <is>
          <t>King</t>
        </is>
      </c>
      <c r="G251" s="11" t="n"/>
      <c r="H251" s="22" t="n"/>
      <c r="I251" s="11" t="n"/>
      <c r="J251" s="22" t="n"/>
      <c r="K251" s="11" t="n"/>
      <c r="L251" t="inlineStr">
        <is>
          <t>Typology drawing R01</t>
        </is>
      </c>
      <c r="M251">
        <f>Config!$B$3&amp;"?room="&amp;A251</f>
        <v/>
      </c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 ht="15" customHeight="1">
      <c r="A252" t="inlineStr">
        <is>
          <t>A-L09-K01B-02</t>
        </is>
      </c>
      <c r="B252" t="inlineStr">
        <is>
          <t>Tower A</t>
        </is>
      </c>
      <c r="C252" t="inlineStr">
        <is>
          <t>L09</t>
        </is>
      </c>
      <c r="D252" t="inlineStr">
        <is>
          <t>AL09G30</t>
        </is>
      </c>
      <c r="E252" t="inlineStr">
        <is>
          <t>K01B</t>
        </is>
      </c>
      <c r="F252" t="inlineStr">
        <is>
          <t>King</t>
        </is>
      </c>
      <c r="G252" s="11" t="n"/>
      <c r="H252" s="22" t="n"/>
      <c r="I252" s="11" t="n"/>
      <c r="J252" s="22" t="n"/>
      <c r="K252" s="11" t="n"/>
      <c r="L252" t="inlineStr">
        <is>
          <t>Typology drawing R01</t>
        </is>
      </c>
      <c r="M252">
        <f>Config!$B$3&amp;"?room="&amp;A252</f>
        <v/>
      </c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 ht="15" customHeight="1">
      <c r="A253" t="inlineStr">
        <is>
          <t>A-L09-K01C-01</t>
        </is>
      </c>
      <c r="B253" t="inlineStr">
        <is>
          <t>Tower A</t>
        </is>
      </c>
      <c r="C253" t="inlineStr">
        <is>
          <t>L09</t>
        </is>
      </c>
      <c r="D253" t="inlineStr">
        <is>
          <t>AL09G07</t>
        </is>
      </c>
      <c r="E253" t="inlineStr">
        <is>
          <t>K01C</t>
        </is>
      </c>
      <c r="F253" t="inlineStr">
        <is>
          <t>King</t>
        </is>
      </c>
      <c r="G253" s="11" t="n"/>
      <c r="H253" s="22" t="n"/>
      <c r="I253" s="11" t="n"/>
      <c r="J253" s="22" t="n"/>
      <c r="K253" s="11" t="n"/>
      <c r="L253" t="inlineStr">
        <is>
          <t>Typology drawing R01</t>
        </is>
      </c>
      <c r="M253">
        <f>Config!$B$3&amp;"?room="&amp;A253</f>
        <v/>
      </c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 ht="15" customHeight="1">
      <c r="A254" t="inlineStr">
        <is>
          <t>A-L09-K01C-02</t>
        </is>
      </c>
      <c r="B254" t="inlineStr">
        <is>
          <t>Tower A</t>
        </is>
      </c>
      <c r="C254" t="inlineStr">
        <is>
          <t>L09</t>
        </is>
      </c>
      <c r="D254" t="inlineStr">
        <is>
          <t>AL09G31</t>
        </is>
      </c>
      <c r="E254" t="inlineStr">
        <is>
          <t>K01C</t>
        </is>
      </c>
      <c r="F254" t="inlineStr">
        <is>
          <t>King</t>
        </is>
      </c>
      <c r="G254" s="11" t="n"/>
      <c r="H254" s="22" t="n"/>
      <c r="I254" s="11" t="n"/>
      <c r="J254" s="22" t="n"/>
      <c r="K254" s="11" t="n"/>
      <c r="L254" t="inlineStr">
        <is>
          <t>Typology drawing R01</t>
        </is>
      </c>
      <c r="M254">
        <f>Config!$B$3&amp;"?room="&amp;A254</f>
        <v/>
      </c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 ht="15" customHeight="1">
      <c r="A255" t="inlineStr">
        <is>
          <t>A-L09-K01C-03</t>
        </is>
      </c>
      <c r="B255" t="inlineStr">
        <is>
          <t>Tower A</t>
        </is>
      </c>
      <c r="C255" t="inlineStr">
        <is>
          <t>L09</t>
        </is>
      </c>
      <c r="D255" t="inlineStr">
        <is>
          <t>AL09G35</t>
        </is>
      </c>
      <c r="E255" t="inlineStr">
        <is>
          <t>K01C</t>
        </is>
      </c>
      <c r="F255" t="inlineStr">
        <is>
          <t>King</t>
        </is>
      </c>
      <c r="G255" s="11" t="n"/>
      <c r="H255" s="22" t="n"/>
      <c r="I255" s="11" t="n"/>
      <c r="J255" s="22" t="n"/>
      <c r="K255" s="11" t="n"/>
      <c r="L255" t="inlineStr">
        <is>
          <t>Typology drawing R01</t>
        </is>
      </c>
      <c r="M255">
        <f>Config!$B$3&amp;"?room="&amp;A255</f>
        <v/>
      </c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 ht="15" customHeight="1">
      <c r="A256" t="inlineStr">
        <is>
          <t>A-L09-K01D</t>
        </is>
      </c>
      <c r="B256" t="inlineStr">
        <is>
          <t>Tower A</t>
        </is>
      </c>
      <c r="C256" t="inlineStr">
        <is>
          <t>L09</t>
        </is>
      </c>
      <c r="D256" t="inlineStr">
        <is>
          <t>AL09G39</t>
        </is>
      </c>
      <c r="E256" t="inlineStr">
        <is>
          <t>K01D</t>
        </is>
      </c>
      <c r="F256" t="inlineStr">
        <is>
          <t>King</t>
        </is>
      </c>
      <c r="G256" s="11" t="n"/>
      <c r="H256" s="22" t="n"/>
      <c r="I256" s="11" t="n"/>
      <c r="J256" s="22" t="n"/>
      <c r="K256" s="11" t="n"/>
      <c r="L256" t="inlineStr">
        <is>
          <t>Typology drawing R01</t>
        </is>
      </c>
      <c r="M256">
        <f>Config!$B$3&amp;"?room="&amp;A256</f>
        <v/>
      </c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 ht="15" customHeight="1">
      <c r="A257" t="inlineStr">
        <is>
          <t>A-L09-K02-01</t>
        </is>
      </c>
      <c r="B257" t="inlineStr">
        <is>
          <t>Tower A</t>
        </is>
      </c>
      <c r="C257" t="inlineStr">
        <is>
          <t>L09</t>
        </is>
      </c>
      <c r="D257" t="inlineStr">
        <is>
          <t>AL09G25</t>
        </is>
      </c>
      <c r="E257" t="inlineStr">
        <is>
          <t>K02</t>
        </is>
      </c>
      <c r="F257" t="inlineStr">
        <is>
          <t>King</t>
        </is>
      </c>
      <c r="G257" s="11" t="n"/>
      <c r="H257" s="22" t="n"/>
      <c r="I257" s="11" t="n"/>
      <c r="J257" s="22" t="n"/>
      <c r="K257" s="11" t="n"/>
      <c r="L257" t="inlineStr">
        <is>
          <t>Typology drawing R01</t>
        </is>
      </c>
      <c r="M257">
        <f>Config!$B$3&amp;"?room="&amp;A257</f>
        <v/>
      </c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 ht="15" customHeight="1">
      <c r="A258" t="inlineStr">
        <is>
          <t>A-L09-K02-02</t>
        </is>
      </c>
      <c r="B258" t="inlineStr">
        <is>
          <t>Tower A</t>
        </is>
      </c>
      <c r="C258" t="inlineStr">
        <is>
          <t>L09</t>
        </is>
      </c>
      <c r="D258" t="inlineStr">
        <is>
          <t>AL09G29</t>
        </is>
      </c>
      <c r="E258" t="inlineStr">
        <is>
          <t>K02</t>
        </is>
      </c>
      <c r="F258" t="inlineStr">
        <is>
          <t>King</t>
        </is>
      </c>
      <c r="G258" s="11" t="n"/>
      <c r="H258" s="22" t="n"/>
      <c r="I258" s="11" t="n"/>
      <c r="J258" s="22" t="n"/>
      <c r="K258" s="11" t="n"/>
      <c r="L258" t="inlineStr">
        <is>
          <t>Typology drawing R01</t>
        </is>
      </c>
      <c r="M258">
        <f>Config!$B$3&amp;"?room="&amp;A258</f>
        <v/>
      </c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 ht="15" customHeight="1">
      <c r="A259" t="inlineStr">
        <is>
          <t>A-L09-K02B-01</t>
        </is>
      </c>
      <c r="B259" t="inlineStr">
        <is>
          <t>Tower A</t>
        </is>
      </c>
      <c r="C259" t="inlineStr">
        <is>
          <t>L09</t>
        </is>
      </c>
      <c r="D259" t="inlineStr">
        <is>
          <t>AL09G24</t>
        </is>
      </c>
      <c r="E259" t="inlineStr">
        <is>
          <t>K02B</t>
        </is>
      </c>
      <c r="F259" t="inlineStr">
        <is>
          <t>King</t>
        </is>
      </c>
      <c r="G259" s="11" t="n"/>
      <c r="H259" s="22" t="n"/>
      <c r="I259" s="11" t="n"/>
      <c r="J259" s="22" t="n"/>
      <c r="K259" s="11" t="n"/>
      <c r="L259" t="inlineStr">
        <is>
          <t>Typology drawing R01</t>
        </is>
      </c>
      <c r="M259">
        <f>Config!$B$3&amp;"?room="&amp;A259</f>
        <v/>
      </c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 ht="15" customHeight="1">
      <c r="A260" t="inlineStr">
        <is>
          <t>A-L09-K02B-02</t>
        </is>
      </c>
      <c r="B260" t="inlineStr">
        <is>
          <t>Tower A</t>
        </is>
      </c>
      <c r="C260" t="inlineStr">
        <is>
          <t>L09</t>
        </is>
      </c>
      <c r="D260" t="inlineStr">
        <is>
          <t>AL09G28</t>
        </is>
      </c>
      <c r="E260" t="inlineStr">
        <is>
          <t>K02B</t>
        </is>
      </c>
      <c r="F260" t="inlineStr">
        <is>
          <t>King</t>
        </is>
      </c>
      <c r="G260" s="11" t="n"/>
      <c r="H260" s="22" t="n"/>
      <c r="I260" s="11" t="n"/>
      <c r="J260" s="22" t="n"/>
      <c r="K260" s="11" t="n"/>
      <c r="L260" t="inlineStr">
        <is>
          <t>Typology drawing R01</t>
        </is>
      </c>
      <c r="M260">
        <f>Config!$B$3&amp;"?room="&amp;A260</f>
        <v/>
      </c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 ht="15" customHeight="1">
      <c r="A261" t="inlineStr">
        <is>
          <t>A-L09-K02B-03</t>
        </is>
      </c>
      <c r="B261" t="inlineStr">
        <is>
          <t>Tower A</t>
        </is>
      </c>
      <c r="C261" t="inlineStr">
        <is>
          <t>L09</t>
        </is>
      </c>
      <c r="D261" t="inlineStr">
        <is>
          <t>AL09G36</t>
        </is>
      </c>
      <c r="E261" t="inlineStr">
        <is>
          <t>K02B</t>
        </is>
      </c>
      <c r="F261" t="inlineStr">
        <is>
          <t>King</t>
        </is>
      </c>
      <c r="G261" s="11" t="n"/>
      <c r="H261" s="22" t="n"/>
      <c r="I261" s="11" t="n"/>
      <c r="J261" s="22" t="n"/>
      <c r="K261" s="11" t="n"/>
      <c r="L261" t="inlineStr">
        <is>
          <t>Typology drawing R01</t>
        </is>
      </c>
      <c r="M261">
        <f>Config!$B$3&amp;"?room="&amp;A261</f>
        <v/>
      </c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 ht="15" customHeight="1">
      <c r="A262" t="inlineStr">
        <is>
          <t>A-L09-K02C1</t>
        </is>
      </c>
      <c r="B262" t="inlineStr">
        <is>
          <t>Tower A</t>
        </is>
      </c>
      <c r="C262" t="inlineStr">
        <is>
          <t>L09</t>
        </is>
      </c>
      <c r="D262" t="inlineStr">
        <is>
          <t>AL09G08</t>
        </is>
      </c>
      <c r="E262" t="inlineStr">
        <is>
          <t>K02C1</t>
        </is>
      </c>
      <c r="F262" t="inlineStr">
        <is>
          <t>King</t>
        </is>
      </c>
      <c r="G262" s="11" t="n"/>
      <c r="H262" s="22" t="n"/>
      <c r="I262" s="11" t="n"/>
      <c r="J262" s="22" t="n"/>
      <c r="K262" s="11" t="n"/>
      <c r="L262" t="inlineStr">
        <is>
          <t>Typology drawing R01</t>
        </is>
      </c>
      <c r="M262">
        <f>Config!$B$3&amp;"?room="&amp;A262</f>
        <v/>
      </c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 ht="15" customHeight="1">
      <c r="A263" t="inlineStr">
        <is>
          <t>A-L09-K02C2-01</t>
        </is>
      </c>
      <c r="B263" t="inlineStr">
        <is>
          <t>Tower A</t>
        </is>
      </c>
      <c r="C263" t="inlineStr">
        <is>
          <t>L09</t>
        </is>
      </c>
      <c r="D263" t="inlineStr">
        <is>
          <t>AL09G20</t>
        </is>
      </c>
      <c r="E263" t="inlineStr">
        <is>
          <t>K02C2</t>
        </is>
      </c>
      <c r="F263" t="inlineStr">
        <is>
          <t>King</t>
        </is>
      </c>
      <c r="G263" s="11" t="n"/>
      <c r="H263" s="22" t="n"/>
      <c r="I263" s="11" t="n"/>
      <c r="J263" s="22" t="n"/>
      <c r="K263" s="11" t="n"/>
      <c r="L263" t="inlineStr">
        <is>
          <t>Typology drawing R01</t>
        </is>
      </c>
      <c r="M263">
        <f>Config!$B$3&amp;"?room="&amp;A263</f>
        <v/>
      </c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 ht="15" customHeight="1">
      <c r="A264" t="inlineStr">
        <is>
          <t>A-L09-K02C2-02</t>
        </is>
      </c>
      <c r="B264" t="inlineStr">
        <is>
          <t>Tower A</t>
        </is>
      </c>
      <c r="C264" t="inlineStr">
        <is>
          <t>L09</t>
        </is>
      </c>
      <c r="D264" t="inlineStr">
        <is>
          <t>AL09G32</t>
        </is>
      </c>
      <c r="E264" t="inlineStr">
        <is>
          <t>K02C2</t>
        </is>
      </c>
      <c r="F264" t="inlineStr">
        <is>
          <t>King</t>
        </is>
      </c>
      <c r="G264" s="11" t="n"/>
      <c r="H264" s="22" t="n"/>
      <c r="I264" s="11" t="n"/>
      <c r="J264" s="22" t="n"/>
      <c r="K264" s="11" t="n"/>
      <c r="L264" t="inlineStr">
        <is>
          <t>Typology drawing R01</t>
        </is>
      </c>
      <c r="M264">
        <f>Config!$B$3&amp;"?room="&amp;A264</f>
        <v/>
      </c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 ht="15" customHeight="1">
      <c r="A265" t="inlineStr">
        <is>
          <t>A-L09-K02D1</t>
        </is>
      </c>
      <c r="B265" t="inlineStr">
        <is>
          <t>Tower A</t>
        </is>
      </c>
      <c r="C265" t="inlineStr">
        <is>
          <t>L09</t>
        </is>
      </c>
      <c r="D265" t="inlineStr">
        <is>
          <t>AL09G12</t>
        </is>
      </c>
      <c r="E265" t="inlineStr">
        <is>
          <t>K02D1</t>
        </is>
      </c>
      <c r="F265" t="inlineStr">
        <is>
          <t>King</t>
        </is>
      </c>
      <c r="G265" s="11" t="n"/>
      <c r="H265" s="22" t="n"/>
      <c r="I265" s="11" t="n"/>
      <c r="J265" s="22" t="n"/>
      <c r="K265" s="11" t="n"/>
      <c r="L265" t="inlineStr">
        <is>
          <t>Typology drawing R01</t>
        </is>
      </c>
      <c r="M265">
        <f>Config!$B$3&amp;"?room="&amp;A265</f>
        <v/>
      </c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 ht="15" customHeight="1">
      <c r="A266" t="inlineStr">
        <is>
          <t>A-L09-Q01</t>
        </is>
      </c>
      <c r="B266" t="inlineStr">
        <is>
          <t>Tower A</t>
        </is>
      </c>
      <c r="C266" t="inlineStr">
        <is>
          <t>L09</t>
        </is>
      </c>
      <c r="D266" t="inlineStr">
        <is>
          <t>AL09G21</t>
        </is>
      </c>
      <c r="E266" t="inlineStr">
        <is>
          <t>Q01</t>
        </is>
      </c>
      <c r="F266" t="inlineStr">
        <is>
          <t>Queen</t>
        </is>
      </c>
      <c r="G266" s="11" t="n"/>
      <c r="H266" s="22" t="n"/>
      <c r="I266" s="11" t="n"/>
      <c r="J266" s="22" t="n"/>
      <c r="K266" s="11" t="n"/>
      <c r="L266" t="inlineStr">
        <is>
          <t>Typology drawing R01</t>
        </is>
      </c>
      <c r="M266">
        <f>Config!$B$3&amp;"?room="&amp;A266</f>
        <v/>
      </c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 ht="15" customHeight="1">
      <c r="A267" t="inlineStr">
        <is>
          <t>A-L09-Q01C-01</t>
        </is>
      </c>
      <c r="B267" t="inlineStr">
        <is>
          <t>Tower A</t>
        </is>
      </c>
      <c r="C267" t="inlineStr">
        <is>
          <t>L09</t>
        </is>
      </c>
      <c r="D267" t="inlineStr">
        <is>
          <t>AL09G05</t>
        </is>
      </c>
      <c r="E267" t="inlineStr">
        <is>
          <t>Q01C</t>
        </is>
      </c>
      <c r="F267" t="inlineStr">
        <is>
          <t>Queen</t>
        </is>
      </c>
      <c r="G267" s="11" t="n"/>
      <c r="H267" s="22" t="n"/>
      <c r="I267" s="11" t="n"/>
      <c r="J267" s="22" t="n"/>
      <c r="K267" s="11" t="n"/>
      <c r="L267" t="inlineStr">
        <is>
          <t>Typology drawing R01</t>
        </is>
      </c>
      <c r="M267">
        <f>Config!$B$3&amp;"?room="&amp;A267</f>
        <v/>
      </c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 ht="15" customHeight="1">
      <c r="A268" t="inlineStr">
        <is>
          <t>A-L09-Q01C-02</t>
        </is>
      </c>
      <c r="B268" t="inlineStr">
        <is>
          <t>Tower A</t>
        </is>
      </c>
      <c r="C268" t="inlineStr">
        <is>
          <t>L09</t>
        </is>
      </c>
      <c r="D268" t="inlineStr">
        <is>
          <t>AL09G09</t>
        </is>
      </c>
      <c r="E268" t="inlineStr">
        <is>
          <t>Q01C</t>
        </is>
      </c>
      <c r="F268" t="inlineStr">
        <is>
          <t>Queen</t>
        </is>
      </c>
      <c r="G268" s="11" t="n"/>
      <c r="H268" s="22" t="n"/>
      <c r="I268" s="11" t="n"/>
      <c r="J268" s="22" t="n"/>
      <c r="K268" s="11" t="n"/>
      <c r="L268" t="inlineStr">
        <is>
          <t>Typology drawing R01</t>
        </is>
      </c>
      <c r="M268">
        <f>Config!$B$3&amp;"?room="&amp;A268</f>
        <v/>
      </c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 ht="15" customHeight="1">
      <c r="A269" t="inlineStr">
        <is>
          <t>A-L09-Q01C-03</t>
        </is>
      </c>
      <c r="B269" t="inlineStr">
        <is>
          <t>Tower A</t>
        </is>
      </c>
      <c r="C269" t="inlineStr">
        <is>
          <t>L09</t>
        </is>
      </c>
      <c r="D269" t="inlineStr">
        <is>
          <t>AL09G33</t>
        </is>
      </c>
      <c r="E269" t="inlineStr">
        <is>
          <t>Q01C</t>
        </is>
      </c>
      <c r="F269" t="inlineStr">
        <is>
          <t>Queen</t>
        </is>
      </c>
      <c r="G269" s="11" t="n"/>
      <c r="H269" s="22" t="n"/>
      <c r="I269" s="11" t="n"/>
      <c r="J269" s="22" t="n"/>
      <c r="K269" s="11" t="n"/>
      <c r="L269" t="inlineStr">
        <is>
          <t>Typology drawing R01</t>
        </is>
      </c>
      <c r="M269">
        <f>Config!$B$3&amp;"?room="&amp;A269</f>
        <v/>
      </c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 ht="15" customHeight="1">
      <c r="A270" t="inlineStr">
        <is>
          <t>A-L09-Q01C-04</t>
        </is>
      </c>
      <c r="B270" t="inlineStr">
        <is>
          <t>Tower A</t>
        </is>
      </c>
      <c r="C270" t="inlineStr">
        <is>
          <t>L09</t>
        </is>
      </c>
      <c r="D270" t="inlineStr">
        <is>
          <t>AL09G37</t>
        </is>
      </c>
      <c r="E270" t="inlineStr">
        <is>
          <t>Q01C</t>
        </is>
      </c>
      <c r="F270" t="inlineStr">
        <is>
          <t>Queen</t>
        </is>
      </c>
      <c r="G270" s="11" t="n"/>
      <c r="H270" s="22" t="n"/>
      <c r="I270" s="11" t="n"/>
      <c r="J270" s="22" t="n"/>
      <c r="K270" s="11" t="n"/>
      <c r="L270" t="inlineStr">
        <is>
          <t>Typology drawing R01</t>
        </is>
      </c>
      <c r="M270">
        <f>Config!$B$3&amp;"?room="&amp;A270</f>
        <v/>
      </c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 ht="15" customHeight="1">
      <c r="A271" t="inlineStr">
        <is>
          <t>A-L09-Q01C1</t>
        </is>
      </c>
      <c r="B271" t="inlineStr">
        <is>
          <t>Tower A</t>
        </is>
      </c>
      <c r="C271" t="inlineStr">
        <is>
          <t>L09</t>
        </is>
      </c>
      <c r="D271" t="inlineStr">
        <is>
          <t>AL09G14</t>
        </is>
      </c>
      <c r="E271" t="inlineStr">
        <is>
          <t>Q01C1</t>
        </is>
      </c>
      <c r="F271" t="inlineStr">
        <is>
          <t>Queen</t>
        </is>
      </c>
      <c r="G271" s="11" t="n"/>
      <c r="H271" s="22" t="n"/>
      <c r="I271" s="11" t="n"/>
      <c r="J271" s="22" t="n"/>
      <c r="K271" s="11" t="n"/>
      <c r="L271" t="inlineStr">
        <is>
          <t>Typology drawing R01</t>
        </is>
      </c>
      <c r="M271">
        <f>Config!$B$3&amp;"?room="&amp;A271</f>
        <v/>
      </c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 ht="15" customHeight="1">
      <c r="A272" t="inlineStr">
        <is>
          <t>A-L09-Q02C1-01</t>
        </is>
      </c>
      <c r="B272" t="inlineStr">
        <is>
          <t>Tower A</t>
        </is>
      </c>
      <c r="C272" t="inlineStr">
        <is>
          <t>L09</t>
        </is>
      </c>
      <c r="D272" t="inlineStr">
        <is>
          <t>AL09G06</t>
        </is>
      </c>
      <c r="E272" t="inlineStr">
        <is>
          <t>Q02C1</t>
        </is>
      </c>
      <c r="F272" t="inlineStr">
        <is>
          <t>Queen</t>
        </is>
      </c>
      <c r="G272" s="11" t="n"/>
      <c r="H272" s="22" t="n"/>
      <c r="I272" s="11" t="n"/>
      <c r="J272" s="22" t="n"/>
      <c r="K272" s="11" t="n"/>
      <c r="L272" t="inlineStr">
        <is>
          <t>Typology drawing R01</t>
        </is>
      </c>
      <c r="M272">
        <f>Config!$B$3&amp;"?room="&amp;A272</f>
        <v/>
      </c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 ht="15" customHeight="1">
      <c r="A273" t="inlineStr">
        <is>
          <t>A-L09-Q02C1-02</t>
        </is>
      </c>
      <c r="B273" t="inlineStr">
        <is>
          <t>Tower A</t>
        </is>
      </c>
      <c r="C273" t="inlineStr">
        <is>
          <t>L09</t>
        </is>
      </c>
      <c r="D273" t="inlineStr">
        <is>
          <t>AL09G10</t>
        </is>
      </c>
      <c r="E273" t="inlineStr">
        <is>
          <t>Q02C1</t>
        </is>
      </c>
      <c r="F273" t="inlineStr">
        <is>
          <t>Queen</t>
        </is>
      </c>
      <c r="G273" s="11" t="n"/>
      <c r="H273" s="22" t="n"/>
      <c r="I273" s="11" t="n"/>
      <c r="J273" s="22" t="n"/>
      <c r="K273" s="11" t="n"/>
      <c r="L273" t="inlineStr">
        <is>
          <t>Typology drawing R01</t>
        </is>
      </c>
      <c r="M273">
        <f>Config!$B$3&amp;"?room="&amp;A273</f>
        <v/>
      </c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 ht="15" customHeight="1">
      <c r="A274" t="inlineStr">
        <is>
          <t>A-L09-Q02C2-01</t>
        </is>
      </c>
      <c r="B274" t="inlineStr">
        <is>
          <t>Tower A</t>
        </is>
      </c>
      <c r="C274" t="inlineStr">
        <is>
          <t>L09</t>
        </is>
      </c>
      <c r="D274" t="inlineStr">
        <is>
          <t>AL09G22</t>
        </is>
      </c>
      <c r="E274" t="inlineStr">
        <is>
          <t>Q02C2</t>
        </is>
      </c>
      <c r="F274" t="inlineStr">
        <is>
          <t>Queen</t>
        </is>
      </c>
      <c r="G274" s="11" t="n"/>
      <c r="H274" s="22" t="n"/>
      <c r="I274" s="11" t="n"/>
      <c r="J274" s="22" t="n"/>
      <c r="K274" s="11" t="n"/>
      <c r="L274" t="inlineStr">
        <is>
          <t>Typology drawing R01</t>
        </is>
      </c>
      <c r="M274">
        <f>Config!$B$3&amp;"?room="&amp;A274</f>
        <v/>
      </c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 ht="15" customHeight="1">
      <c r="A275" t="inlineStr">
        <is>
          <t>A-L09-Q02C2-02</t>
        </is>
      </c>
      <c r="B275" t="inlineStr">
        <is>
          <t>Tower A</t>
        </is>
      </c>
      <c r="C275" t="inlineStr">
        <is>
          <t>L09</t>
        </is>
      </c>
      <c r="D275" t="inlineStr">
        <is>
          <t>AL09G34</t>
        </is>
      </c>
      <c r="E275" t="inlineStr">
        <is>
          <t>Q02C2</t>
        </is>
      </c>
      <c r="F275" t="inlineStr">
        <is>
          <t>Queen</t>
        </is>
      </c>
      <c r="G275" s="11" t="n"/>
      <c r="H275" s="22" t="n"/>
      <c r="I275" s="11" t="n"/>
      <c r="J275" s="22" t="n"/>
      <c r="K275" s="11" t="n"/>
      <c r="L275" t="inlineStr">
        <is>
          <t>Typology drawing R01</t>
        </is>
      </c>
      <c r="M275">
        <f>Config!$B$3&amp;"?room="&amp;A275</f>
        <v/>
      </c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 ht="15" customHeight="1">
      <c r="A276" t="inlineStr">
        <is>
          <t>A-L09-Q02E</t>
        </is>
      </c>
      <c r="B276" t="inlineStr">
        <is>
          <t>Tower A</t>
        </is>
      </c>
      <c r="C276" t="inlineStr">
        <is>
          <t>L09</t>
        </is>
      </c>
      <c r="D276" t="inlineStr">
        <is>
          <t>AL09G41</t>
        </is>
      </c>
      <c r="E276" t="inlineStr">
        <is>
          <t>Q02E</t>
        </is>
      </c>
      <c r="F276" t="inlineStr">
        <is>
          <t>Queen</t>
        </is>
      </c>
      <c r="G276" s="11" t="n"/>
      <c r="H276" s="22" t="n"/>
      <c r="I276" s="11" t="n"/>
      <c r="J276" s="22" t="n"/>
      <c r="K276" s="11" t="n"/>
      <c r="L276" t="inlineStr">
        <is>
          <t>Typology drawing R01</t>
        </is>
      </c>
      <c r="M276">
        <f>Config!$B$3&amp;"?room="&amp;A276</f>
        <v/>
      </c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 ht="15" customHeight="1">
      <c r="A277" t="inlineStr">
        <is>
          <t>A-L09-S05</t>
        </is>
      </c>
      <c r="B277" t="inlineStr">
        <is>
          <t>Tower A</t>
        </is>
      </c>
      <c r="C277" t="inlineStr">
        <is>
          <t>L09</t>
        </is>
      </c>
      <c r="D277" t="inlineStr">
        <is>
          <t>AL09G16</t>
        </is>
      </c>
      <c r="E277" t="inlineStr">
        <is>
          <t>S05</t>
        </is>
      </c>
      <c r="F277" t="inlineStr">
        <is>
          <t>Suite</t>
        </is>
      </c>
      <c r="G277" s="11" t="n"/>
      <c r="H277" s="22" t="n"/>
      <c r="I277" s="11" t="n"/>
      <c r="J277" s="22" t="n"/>
      <c r="K277" s="11" t="n"/>
      <c r="L277" t="inlineStr">
        <is>
          <t>Typology drawing R01</t>
        </is>
      </c>
      <c r="M277">
        <f>Config!$B$3&amp;"?room="&amp;A277</f>
        <v/>
      </c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 ht="15" customHeight="1">
      <c r="A278" t="inlineStr">
        <is>
          <t>A-L09-S06</t>
        </is>
      </c>
      <c r="B278" t="inlineStr">
        <is>
          <t>Tower A</t>
        </is>
      </c>
      <c r="C278" t="inlineStr">
        <is>
          <t>L09</t>
        </is>
      </c>
      <c r="D278" t="inlineStr">
        <is>
          <t>AL09G43</t>
        </is>
      </c>
      <c r="E278" t="inlineStr">
        <is>
          <t>S06</t>
        </is>
      </c>
      <c r="F278" t="inlineStr">
        <is>
          <t>Suite</t>
        </is>
      </c>
      <c r="G278" s="11" t="n"/>
      <c r="H278" s="22" t="n"/>
      <c r="I278" s="11" t="n"/>
      <c r="J278" s="22" t="n"/>
      <c r="K278" s="11" t="n"/>
      <c r="L278" t="inlineStr">
        <is>
          <t>Typology drawing R01</t>
        </is>
      </c>
      <c r="M278">
        <f>Config!$B$3&amp;"?room="&amp;A278</f>
        <v/>
      </c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 ht="15" customHeight="1">
      <c r="A279" t="inlineStr">
        <is>
          <t>A-L09-S08</t>
        </is>
      </c>
      <c r="B279" t="inlineStr">
        <is>
          <t>Tower A</t>
        </is>
      </c>
      <c r="C279" t="inlineStr">
        <is>
          <t>L09</t>
        </is>
      </c>
      <c r="D279" t="inlineStr">
        <is>
          <t>AL09G03</t>
        </is>
      </c>
      <c r="E279" t="inlineStr">
        <is>
          <t>S08</t>
        </is>
      </c>
      <c r="F279" t="inlineStr">
        <is>
          <t>Suite</t>
        </is>
      </c>
      <c r="G279" s="11" t="n"/>
      <c r="H279" s="22" t="n"/>
      <c r="I279" s="11" t="n"/>
      <c r="J279" s="22" t="n"/>
      <c r="K279" s="11" t="n"/>
      <c r="L279" t="inlineStr">
        <is>
          <t>Typology drawing R01</t>
        </is>
      </c>
      <c r="M279">
        <f>Config!$B$3&amp;"?room="&amp;A279</f>
        <v/>
      </c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 ht="15" customHeight="1">
      <c r="A280" t="inlineStr">
        <is>
          <t>A-L09-S08A</t>
        </is>
      </c>
      <c r="B280" t="inlineStr">
        <is>
          <t>Tower A</t>
        </is>
      </c>
      <c r="C280" t="inlineStr">
        <is>
          <t>L09</t>
        </is>
      </c>
      <c r="D280" t="inlineStr">
        <is>
          <t>AL09G04</t>
        </is>
      </c>
      <c r="E280" t="inlineStr">
        <is>
          <t>S08A</t>
        </is>
      </c>
      <c r="F280" t="inlineStr">
        <is>
          <t>Suite</t>
        </is>
      </c>
      <c r="G280" s="11" t="n"/>
      <c r="H280" s="22" t="n"/>
      <c r="I280" s="11" t="n"/>
      <c r="J280" s="22" t="n"/>
      <c r="K280" s="11" t="n"/>
      <c r="L280" t="inlineStr">
        <is>
          <t>Typology drawing R01</t>
        </is>
      </c>
      <c r="M280">
        <f>Config!$B$3&amp;"?room="&amp;A280</f>
        <v/>
      </c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 ht="15" customHeight="1">
      <c r="A281" t="inlineStr">
        <is>
          <t>B-L01-F01</t>
        </is>
      </c>
      <c r="B281" t="inlineStr">
        <is>
          <t>Tower B</t>
        </is>
      </c>
      <c r="C281" t="inlineStr">
        <is>
          <t>L01</t>
        </is>
      </c>
      <c r="D281" t="inlineStr">
        <is>
          <t>BL01G63</t>
        </is>
      </c>
      <c r="E281" t="inlineStr">
        <is>
          <t>F01</t>
        </is>
      </c>
      <c r="F281" t="inlineStr">
        <is>
          <t>Family</t>
        </is>
      </c>
      <c r="G281" s="11" t="n"/>
      <c r="H281" s="22" t="n"/>
      <c r="I281" s="11" t="n"/>
      <c r="J281" s="22" t="n"/>
      <c r="K281" s="11" t="n"/>
      <c r="L281" t="inlineStr">
        <is>
          <t>Typology drawing R01</t>
        </is>
      </c>
      <c r="M281">
        <f>Config!$B$3&amp;"?room="&amp;A281</f>
        <v/>
      </c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 ht="15" customHeight="1">
      <c r="A282" t="inlineStr">
        <is>
          <t>B-L01-F02</t>
        </is>
      </c>
      <c r="B282" t="inlineStr">
        <is>
          <t>Tower B</t>
        </is>
      </c>
      <c r="C282" t="inlineStr">
        <is>
          <t>L01</t>
        </is>
      </c>
      <c r="D282" t="inlineStr">
        <is>
          <t>BL01G90</t>
        </is>
      </c>
      <c r="E282" t="inlineStr">
        <is>
          <t>F02</t>
        </is>
      </c>
      <c r="F282" t="inlineStr">
        <is>
          <t>Family</t>
        </is>
      </c>
      <c r="G282" s="11" t="n"/>
      <c r="H282" s="22" t="n"/>
      <c r="I282" s="11" t="n"/>
      <c r="J282" s="22" t="n"/>
      <c r="K282" s="11" t="n"/>
      <c r="L282" t="inlineStr">
        <is>
          <t>Typology drawing R01</t>
        </is>
      </c>
      <c r="M282">
        <f>Config!$B$3&amp;"?room="&amp;A282</f>
        <v/>
      </c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 ht="15" customHeight="1">
      <c r="A283" t="inlineStr">
        <is>
          <t>B-L01-K01A-01</t>
        </is>
      </c>
      <c r="B283" t="inlineStr">
        <is>
          <t>Tower B</t>
        </is>
      </c>
      <c r="C283" t="inlineStr">
        <is>
          <t>L01</t>
        </is>
      </c>
      <c r="D283" t="inlineStr">
        <is>
          <t>BL01G58</t>
        </is>
      </c>
      <c r="E283" t="inlineStr">
        <is>
          <t>K01A</t>
        </is>
      </c>
      <c r="F283" t="inlineStr">
        <is>
          <t>King</t>
        </is>
      </c>
      <c r="G283" s="11" t="n"/>
      <c r="H283" s="22" t="n"/>
      <c r="I283" s="11" t="n"/>
      <c r="J283" s="22" t="n"/>
      <c r="K283" s="11" t="n"/>
      <c r="L283" t="inlineStr">
        <is>
          <t>Typology drawing R01</t>
        </is>
      </c>
      <c r="M283">
        <f>Config!$B$3&amp;"?room="&amp;A283</f>
        <v/>
      </c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 ht="15" customHeight="1">
      <c r="A284" t="inlineStr">
        <is>
          <t>B-L01-K01A-02</t>
        </is>
      </c>
      <c r="B284" t="inlineStr">
        <is>
          <t>Tower B</t>
        </is>
      </c>
      <c r="C284" t="inlineStr">
        <is>
          <t>L01</t>
        </is>
      </c>
      <c r="D284" t="inlineStr">
        <is>
          <t>BL01G84</t>
        </is>
      </c>
      <c r="E284" t="inlineStr">
        <is>
          <t>K01A</t>
        </is>
      </c>
      <c r="F284" t="inlineStr">
        <is>
          <t>King</t>
        </is>
      </c>
      <c r="G284" s="11" t="n"/>
      <c r="H284" s="22" t="n"/>
      <c r="I284" s="11" t="n"/>
      <c r="J284" s="22" t="n"/>
      <c r="K284" s="11" t="n"/>
      <c r="L284" t="inlineStr">
        <is>
          <t>Typology drawing R01</t>
        </is>
      </c>
      <c r="M284">
        <f>Config!$B$3&amp;"?room="&amp;A284</f>
        <v/>
      </c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 ht="15" customHeight="1">
      <c r="A285" t="inlineStr">
        <is>
          <t>B-L01-K01C1-01</t>
        </is>
      </c>
      <c r="B285" t="inlineStr">
        <is>
          <t>Tower B</t>
        </is>
      </c>
      <c r="C285" t="inlineStr">
        <is>
          <t>L01</t>
        </is>
      </c>
      <c r="D285" t="inlineStr">
        <is>
          <t>BL01G72</t>
        </is>
      </c>
      <c r="E285" t="inlineStr">
        <is>
          <t>K01C1</t>
        </is>
      </c>
      <c r="F285" t="inlineStr">
        <is>
          <t>King</t>
        </is>
      </c>
      <c r="G285" s="11" t="n"/>
      <c r="H285" s="22" t="n"/>
      <c r="I285" s="11" t="n"/>
      <c r="J285" s="22" t="n"/>
      <c r="K285" s="11" t="n"/>
      <c r="L285" t="inlineStr">
        <is>
          <t>Typology drawing R01</t>
        </is>
      </c>
      <c r="M285">
        <f>Config!$B$3&amp;"?room="&amp;A285</f>
        <v/>
      </c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 ht="15" customHeight="1">
      <c r="A286" t="inlineStr">
        <is>
          <t>B-L01-K01C1-02</t>
        </is>
      </c>
      <c r="B286" t="inlineStr">
        <is>
          <t>Tower B</t>
        </is>
      </c>
      <c r="C286" t="inlineStr">
        <is>
          <t>L01</t>
        </is>
      </c>
      <c r="D286" t="inlineStr">
        <is>
          <t>BL01G76</t>
        </is>
      </c>
      <c r="E286" t="inlineStr">
        <is>
          <t>K01C1</t>
        </is>
      </c>
      <c r="F286" t="inlineStr">
        <is>
          <t>King</t>
        </is>
      </c>
      <c r="G286" s="11" t="n"/>
      <c r="H286" s="22" t="n"/>
      <c r="I286" s="11" t="n"/>
      <c r="J286" s="22" t="n"/>
      <c r="K286" s="11" t="n"/>
      <c r="L286" t="inlineStr">
        <is>
          <t>Typology drawing R01</t>
        </is>
      </c>
      <c r="M286">
        <f>Config!$B$3&amp;"?room="&amp;A286</f>
        <v/>
      </c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 ht="15" customHeight="1">
      <c r="A287" t="inlineStr">
        <is>
          <t>B-L01-K01C1-03</t>
        </is>
      </c>
      <c r="B287" t="inlineStr">
        <is>
          <t>Tower B</t>
        </is>
      </c>
      <c r="C287" t="inlineStr">
        <is>
          <t>L01</t>
        </is>
      </c>
      <c r="D287" t="inlineStr">
        <is>
          <t>BL01G80</t>
        </is>
      </c>
      <c r="E287" t="inlineStr">
        <is>
          <t>K01C1</t>
        </is>
      </c>
      <c r="F287" t="inlineStr">
        <is>
          <t>King</t>
        </is>
      </c>
      <c r="G287" s="11" t="n"/>
      <c r="H287" s="22" t="n"/>
      <c r="I287" s="11" t="n"/>
      <c r="J287" s="22" t="n"/>
      <c r="K287" s="11" t="n"/>
      <c r="L287" t="inlineStr">
        <is>
          <t>Typology drawing R01</t>
        </is>
      </c>
      <c r="M287">
        <f>Config!$B$3&amp;"?room="&amp;A287</f>
        <v/>
      </c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 ht="15" customHeight="1">
      <c r="A288" t="inlineStr">
        <is>
          <t>B-L01-K02A</t>
        </is>
      </c>
      <c r="B288" t="inlineStr">
        <is>
          <t>Tower B</t>
        </is>
      </c>
      <c r="C288" t="inlineStr">
        <is>
          <t>L01</t>
        </is>
      </c>
      <c r="D288" t="inlineStr">
        <is>
          <t>BL01G82</t>
        </is>
      </c>
      <c r="E288" t="inlineStr">
        <is>
          <t>K02A</t>
        </is>
      </c>
      <c r="F288" t="inlineStr">
        <is>
          <t>King</t>
        </is>
      </c>
      <c r="G288" s="11" t="n"/>
      <c r="H288" s="22" t="n"/>
      <c r="I288" s="11" t="n"/>
      <c r="J288" s="22" t="n"/>
      <c r="K288" s="11" t="n"/>
      <c r="L288" t="inlineStr">
        <is>
          <t>Typology drawing R01</t>
        </is>
      </c>
      <c r="M288">
        <f>Config!$B$3&amp;"?room="&amp;A288</f>
        <v/>
      </c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 ht="15" customHeight="1">
      <c r="A289" t="inlineStr">
        <is>
          <t>B-L01-K02C1</t>
        </is>
      </c>
      <c r="B289" t="inlineStr">
        <is>
          <t>Tower B</t>
        </is>
      </c>
      <c r="C289" t="inlineStr">
        <is>
          <t>L01</t>
        </is>
      </c>
      <c r="D289" t="inlineStr">
        <is>
          <t>BL01G74</t>
        </is>
      </c>
      <c r="E289" t="inlineStr">
        <is>
          <t>K02C1</t>
        </is>
      </c>
      <c r="F289" t="inlineStr">
        <is>
          <t>King</t>
        </is>
      </c>
      <c r="G289" s="11" t="n"/>
      <c r="H289" s="22" t="n"/>
      <c r="I289" s="11" t="n"/>
      <c r="J289" s="22" t="n"/>
      <c r="K289" s="11" t="n"/>
      <c r="L289" t="inlineStr">
        <is>
          <t>Typology drawing R01</t>
        </is>
      </c>
      <c r="M289">
        <f>Config!$B$3&amp;"?room="&amp;A289</f>
        <v/>
      </c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 ht="15" customHeight="1">
      <c r="A290" t="inlineStr">
        <is>
          <t>B-L01-K03</t>
        </is>
      </c>
      <c r="B290" t="inlineStr">
        <is>
          <t>Tower B</t>
        </is>
      </c>
      <c r="C290" t="inlineStr">
        <is>
          <t>L01</t>
        </is>
      </c>
      <c r="D290" t="inlineStr">
        <is>
          <t>BL01G89</t>
        </is>
      </c>
      <c r="E290" t="inlineStr">
        <is>
          <t>K03</t>
        </is>
      </c>
      <c r="F290" t="inlineStr">
        <is>
          <t>King</t>
        </is>
      </c>
      <c r="G290" s="11" t="n"/>
      <c r="H290" s="22" t="n"/>
      <c r="I290" s="11" t="n"/>
      <c r="J290" s="22" t="n"/>
      <c r="K290" s="11" t="n"/>
      <c r="L290" t="inlineStr">
        <is>
          <t>Typology drawing R01</t>
        </is>
      </c>
      <c r="M290">
        <f>Config!$B$3&amp;"?room="&amp;A290</f>
        <v/>
      </c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 ht="15" customHeight="1">
      <c r="A291" t="inlineStr">
        <is>
          <t>B-L01-KADA1</t>
        </is>
      </c>
      <c r="B291" t="inlineStr">
        <is>
          <t>Tower B</t>
        </is>
      </c>
      <c r="C291" t="inlineStr">
        <is>
          <t>L01</t>
        </is>
      </c>
      <c r="D291" t="inlineStr">
        <is>
          <t>BL01G60</t>
        </is>
      </c>
      <c r="E291" t="inlineStr">
        <is>
          <t>KADA1</t>
        </is>
      </c>
      <c r="F291" t="inlineStr">
        <is>
          <t>King ADA</t>
        </is>
      </c>
      <c r="G291" s="11" t="n"/>
      <c r="H291" s="22" t="n"/>
      <c r="I291" s="11" t="n"/>
      <c r="J291" s="22" t="n"/>
      <c r="K291" s="11" t="n"/>
      <c r="L291" t="inlineStr">
        <is>
          <t>Typology drawing R01</t>
        </is>
      </c>
      <c r="M291">
        <f>Config!$B$3&amp;"?room="&amp;A291</f>
        <v/>
      </c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 ht="15" customHeight="1">
      <c r="A292" t="inlineStr">
        <is>
          <t>B-L01-PS01-01</t>
        </is>
      </c>
      <c r="B292" t="inlineStr">
        <is>
          <t>Tower B</t>
        </is>
      </c>
      <c r="C292" t="inlineStr">
        <is>
          <t>L01</t>
        </is>
      </c>
      <c r="D292" t="inlineStr">
        <is>
          <t>BL01G59</t>
        </is>
      </c>
      <c r="E292" t="inlineStr">
        <is>
          <t>PS01</t>
        </is>
      </c>
      <c r="F292" t="inlineStr">
        <is>
          <t>Premium Suite</t>
        </is>
      </c>
      <c r="G292" s="11" t="n"/>
      <c r="H292" s="22" t="n"/>
      <c r="I292" s="11" t="n"/>
      <c r="J292" s="22" t="n"/>
      <c r="K292" s="11" t="n"/>
      <c r="L292" t="inlineStr">
        <is>
          <t>Typology drawing R01</t>
        </is>
      </c>
      <c r="M292">
        <f>Config!$B$3&amp;"?room="&amp;A292</f>
        <v/>
      </c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 ht="15" customHeight="1">
      <c r="A293" t="inlineStr">
        <is>
          <t>B-L01-PS01-02</t>
        </is>
      </c>
      <c r="B293" t="inlineStr">
        <is>
          <t>Tower B</t>
        </is>
      </c>
      <c r="C293" t="inlineStr">
        <is>
          <t>L01</t>
        </is>
      </c>
      <c r="D293" t="inlineStr">
        <is>
          <t>BL01G75</t>
        </is>
      </c>
      <c r="E293" t="inlineStr">
        <is>
          <t>PS01</t>
        </is>
      </c>
      <c r="F293" t="inlineStr">
        <is>
          <t>Premium Suite</t>
        </is>
      </c>
      <c r="G293" s="11" t="n"/>
      <c r="H293" s="22" t="n"/>
      <c r="I293" s="11" t="n"/>
      <c r="J293" s="22" t="n"/>
      <c r="K293" s="11" t="n"/>
      <c r="L293" t="inlineStr">
        <is>
          <t>Typology drawing R01</t>
        </is>
      </c>
      <c r="M293">
        <f>Config!$B$3&amp;"?room="&amp;A293</f>
        <v/>
      </c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 ht="15" customHeight="1">
      <c r="A294" t="inlineStr">
        <is>
          <t>B-L01-Q01C</t>
        </is>
      </c>
      <c r="B294" t="inlineStr">
        <is>
          <t>Tower B</t>
        </is>
      </c>
      <c r="C294" t="inlineStr">
        <is>
          <t>L01</t>
        </is>
      </c>
      <c r="D294" t="inlineStr">
        <is>
          <t>BL01G83</t>
        </is>
      </c>
      <c r="E294" t="inlineStr">
        <is>
          <t>Q01C</t>
        </is>
      </c>
      <c r="F294" t="inlineStr">
        <is>
          <t>Queen</t>
        </is>
      </c>
      <c r="G294" s="11" t="n"/>
      <c r="H294" s="22" t="n"/>
      <c r="I294" s="11" t="n"/>
      <c r="J294" s="22" t="n"/>
      <c r="K294" s="11" t="n"/>
      <c r="L294" t="inlineStr">
        <is>
          <t>Typology drawing R01</t>
        </is>
      </c>
      <c r="M294">
        <f>Config!$B$3&amp;"?room="&amp;A294</f>
        <v/>
      </c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 ht="15" customHeight="1">
      <c r="A295" t="inlineStr">
        <is>
          <t>B-L01-Q01C1-01</t>
        </is>
      </c>
      <c r="B295" t="inlineStr">
        <is>
          <t>Tower B</t>
        </is>
      </c>
      <c r="C295" t="inlineStr">
        <is>
          <t>L01</t>
        </is>
      </c>
      <c r="D295" t="inlineStr">
        <is>
          <t>BL01G64</t>
        </is>
      </c>
      <c r="E295" t="inlineStr">
        <is>
          <t>Q01C1</t>
        </is>
      </c>
      <c r="F295" t="inlineStr">
        <is>
          <t>Queen</t>
        </is>
      </c>
      <c r="G295" s="11" t="n"/>
      <c r="H295" s="22" t="n"/>
      <c r="I295" s="11" t="n"/>
      <c r="J295" s="22" t="n"/>
      <c r="K295" s="11" t="n"/>
      <c r="L295" t="inlineStr">
        <is>
          <t>Typology drawing R01</t>
        </is>
      </c>
      <c r="M295">
        <f>Config!$B$3&amp;"?room="&amp;A295</f>
        <v/>
      </c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 ht="15" customHeight="1">
      <c r="A296" t="inlineStr">
        <is>
          <t>B-L01-Q01C1-02</t>
        </is>
      </c>
      <c r="B296" t="inlineStr">
        <is>
          <t>Tower B</t>
        </is>
      </c>
      <c r="C296" t="inlineStr">
        <is>
          <t>L01</t>
        </is>
      </c>
      <c r="D296" t="inlineStr">
        <is>
          <t>BL01G70</t>
        </is>
      </c>
      <c r="E296" t="inlineStr">
        <is>
          <t>Q01C1</t>
        </is>
      </c>
      <c r="F296" t="inlineStr">
        <is>
          <t>Queen</t>
        </is>
      </c>
      <c r="G296" s="11" t="n"/>
      <c r="H296" s="22" t="n"/>
      <c r="I296" s="11" t="n"/>
      <c r="J296" s="22" t="n"/>
      <c r="K296" s="11" t="n"/>
      <c r="L296" t="inlineStr">
        <is>
          <t>Typology drawing R01</t>
        </is>
      </c>
      <c r="M296">
        <f>Config!$B$3&amp;"?room="&amp;A296</f>
        <v/>
      </c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 ht="15" customHeight="1">
      <c r="A297" t="inlineStr">
        <is>
          <t>B-L01-Q01C1-03</t>
        </is>
      </c>
      <c r="B297" t="inlineStr">
        <is>
          <t>Tower B</t>
        </is>
      </c>
      <c r="C297" t="inlineStr">
        <is>
          <t>L01</t>
        </is>
      </c>
      <c r="D297" t="inlineStr">
        <is>
          <t>BL01G78</t>
        </is>
      </c>
      <c r="E297" t="inlineStr">
        <is>
          <t>Q01C1</t>
        </is>
      </c>
      <c r="F297" t="inlineStr">
        <is>
          <t>Queen</t>
        </is>
      </c>
      <c r="G297" s="11" t="n"/>
      <c r="H297" s="22" t="n"/>
      <c r="I297" s="11" t="n"/>
      <c r="J297" s="22" t="n"/>
      <c r="K297" s="11" t="n"/>
      <c r="L297" t="inlineStr">
        <is>
          <t>Typology drawing R01</t>
        </is>
      </c>
      <c r="M297">
        <f>Config!$B$3&amp;"?room="&amp;A297</f>
        <v/>
      </c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 ht="15" customHeight="1">
      <c r="A298" t="inlineStr">
        <is>
          <t>B-L01-Q02C</t>
        </is>
      </c>
      <c r="B298" t="inlineStr">
        <is>
          <t>Tower B</t>
        </is>
      </c>
      <c r="C298" t="inlineStr">
        <is>
          <t>L01</t>
        </is>
      </c>
      <c r="D298" t="inlineStr">
        <is>
          <t>BL01G87</t>
        </is>
      </c>
      <c r="E298" t="inlineStr">
        <is>
          <t>Q02C</t>
        </is>
      </c>
      <c r="F298" t="inlineStr">
        <is>
          <t>Queen</t>
        </is>
      </c>
      <c r="G298" s="11" t="n"/>
      <c r="H298" s="22" t="n"/>
      <c r="I298" s="11" t="n"/>
      <c r="J298" s="22" t="n"/>
      <c r="K298" s="11" t="n"/>
      <c r="L298" t="inlineStr">
        <is>
          <t>Typology drawing R01</t>
        </is>
      </c>
      <c r="M298">
        <f>Config!$B$3&amp;"?room="&amp;A298</f>
        <v/>
      </c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 ht="15" customHeight="1">
      <c r="A299" t="inlineStr">
        <is>
          <t>B-L01-Q02C1</t>
        </is>
      </c>
      <c r="B299" t="inlineStr">
        <is>
          <t>Tower B</t>
        </is>
      </c>
      <c r="C299" t="inlineStr">
        <is>
          <t>L01</t>
        </is>
      </c>
      <c r="D299" t="inlineStr">
        <is>
          <t>BL01G62</t>
        </is>
      </c>
      <c r="E299" t="inlineStr">
        <is>
          <t>Q02C1</t>
        </is>
      </c>
      <c r="F299" t="inlineStr">
        <is>
          <t>Queen</t>
        </is>
      </c>
      <c r="G299" s="11" t="n"/>
      <c r="H299" s="22" t="n"/>
      <c r="I299" s="11" t="n"/>
      <c r="J299" s="22" t="n"/>
      <c r="K299" s="11" t="n"/>
      <c r="L299" t="inlineStr">
        <is>
          <t>Typology drawing R01</t>
        </is>
      </c>
      <c r="M299">
        <f>Config!$B$3&amp;"?room="&amp;A299</f>
        <v/>
      </c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 ht="15" customHeight="1">
      <c r="A300" t="inlineStr">
        <is>
          <t>B-L01-Q02D</t>
        </is>
      </c>
      <c r="B300" t="inlineStr">
        <is>
          <t>Tower B</t>
        </is>
      </c>
      <c r="C300" t="inlineStr">
        <is>
          <t>L01</t>
        </is>
      </c>
      <c r="D300" t="inlineStr">
        <is>
          <t>BL01G85</t>
        </is>
      </c>
      <c r="E300" t="inlineStr">
        <is>
          <t>Q02D</t>
        </is>
      </c>
      <c r="F300" t="inlineStr">
        <is>
          <t>Queen</t>
        </is>
      </c>
      <c r="G300" s="11" t="n"/>
      <c r="H300" s="22" t="n"/>
      <c r="I300" s="11" t="n"/>
      <c r="J300" s="22" t="n"/>
      <c r="K300" s="11" t="n"/>
      <c r="L300" t="inlineStr">
        <is>
          <t>Typology drawing R01</t>
        </is>
      </c>
      <c r="M300">
        <f>Config!$B$3&amp;"?room="&amp;A300</f>
        <v/>
      </c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 ht="15" customHeight="1">
      <c r="A301" t="inlineStr">
        <is>
          <t>B-L01-Q04*</t>
        </is>
      </c>
      <c r="B301" t="inlineStr">
        <is>
          <t>Tower B</t>
        </is>
      </c>
      <c r="C301" t="inlineStr">
        <is>
          <t>L01</t>
        </is>
      </c>
      <c r="D301" t="inlineStr">
        <is>
          <t>BL01G71</t>
        </is>
      </c>
      <c r="E301" t="inlineStr">
        <is>
          <t>Q04*</t>
        </is>
      </c>
      <c r="F301" t="inlineStr">
        <is>
          <t>Queen</t>
        </is>
      </c>
      <c r="G301" s="11" t="n"/>
      <c r="H301" s="22" t="n"/>
      <c r="I301" s="11" t="n"/>
      <c r="J301" s="22" t="n"/>
      <c r="K301" s="11" t="n"/>
      <c r="L301" t="inlineStr">
        <is>
          <t>Typology drawing R01</t>
        </is>
      </c>
      <c r="M301">
        <f>Config!$B$3&amp;"?room="&amp;A301</f>
        <v/>
      </c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 ht="15" customHeight="1">
      <c r="A302" t="inlineStr">
        <is>
          <t>B-L01-Q06</t>
        </is>
      </c>
      <c r="B302" t="inlineStr">
        <is>
          <t>Tower B</t>
        </is>
      </c>
      <c r="C302" t="inlineStr">
        <is>
          <t>L01</t>
        </is>
      </c>
      <c r="D302" t="inlineStr">
        <is>
          <t>BL01G86</t>
        </is>
      </c>
      <c r="E302" t="inlineStr">
        <is>
          <t>Q06</t>
        </is>
      </c>
      <c r="F302" t="inlineStr">
        <is>
          <t>Queen</t>
        </is>
      </c>
      <c r="G302" s="11" t="n"/>
      <c r="H302" s="22" t="n"/>
      <c r="I302" s="11" t="n"/>
      <c r="J302" s="22" t="n"/>
      <c r="K302" s="11" t="n"/>
      <c r="L302" t="inlineStr">
        <is>
          <t>Typology drawing R01</t>
        </is>
      </c>
      <c r="M302">
        <f>Config!$B$3&amp;"?room="&amp;A302</f>
        <v/>
      </c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 ht="15" customHeight="1">
      <c r="A303" t="inlineStr">
        <is>
          <t>B-L01-Q07*-01</t>
        </is>
      </c>
      <c r="B303" t="inlineStr">
        <is>
          <t>Tower B</t>
        </is>
      </c>
      <c r="C303" t="inlineStr">
        <is>
          <t>L01</t>
        </is>
      </c>
      <c r="D303" t="inlineStr">
        <is>
          <t>BL01G61</t>
        </is>
      </c>
      <c r="E303" t="inlineStr">
        <is>
          <t>Q07*</t>
        </is>
      </c>
      <c r="F303" t="inlineStr">
        <is>
          <t>Queen</t>
        </is>
      </c>
      <c r="G303" s="11" t="n"/>
      <c r="H303" s="22" t="n"/>
      <c r="I303" s="11" t="n"/>
      <c r="J303" s="22" t="n"/>
      <c r="K303" s="11" t="n"/>
      <c r="L303" t="inlineStr">
        <is>
          <t>Typology drawing R01</t>
        </is>
      </c>
      <c r="M303">
        <f>Config!$B$3&amp;"?room="&amp;A303</f>
        <v/>
      </c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 ht="15" customHeight="1">
      <c r="A304" t="inlineStr">
        <is>
          <t>B-L01-Q07*-02</t>
        </is>
      </c>
      <c r="B304" t="inlineStr">
        <is>
          <t>Tower B</t>
        </is>
      </c>
      <c r="C304" t="inlineStr">
        <is>
          <t>L01</t>
        </is>
      </c>
      <c r="D304" t="inlineStr">
        <is>
          <t>BL01G77</t>
        </is>
      </c>
      <c r="E304" t="inlineStr">
        <is>
          <t>Q07*</t>
        </is>
      </c>
      <c r="F304" t="inlineStr">
        <is>
          <t>Queen</t>
        </is>
      </c>
      <c r="G304" s="11" t="n"/>
      <c r="H304" s="22" t="n"/>
      <c r="I304" s="11" t="n"/>
      <c r="J304" s="22" t="n"/>
      <c r="K304" s="11" t="n"/>
      <c r="L304" t="inlineStr">
        <is>
          <t>Typology drawing R01</t>
        </is>
      </c>
      <c r="M304">
        <f>Config!$B$3&amp;"?room="&amp;A304</f>
        <v/>
      </c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 ht="15" customHeight="1">
      <c r="A305" t="inlineStr">
        <is>
          <t>B-L01-S01</t>
        </is>
      </c>
      <c r="B305" t="inlineStr">
        <is>
          <t>Tower B</t>
        </is>
      </c>
      <c r="C305" t="inlineStr">
        <is>
          <t>L01</t>
        </is>
      </c>
      <c r="D305" t="inlineStr">
        <is>
          <t>BL01G49</t>
        </is>
      </c>
      <c r="E305" t="inlineStr">
        <is>
          <t>S01</t>
        </is>
      </c>
      <c r="F305" t="inlineStr">
        <is>
          <t>Suite</t>
        </is>
      </c>
      <c r="G305" s="11" t="n"/>
      <c r="H305" s="22" t="n"/>
      <c r="I305" s="11" t="n"/>
      <c r="J305" s="22" t="n"/>
      <c r="K305" s="11" t="n"/>
      <c r="L305" t="inlineStr">
        <is>
          <t>Typology drawing R01</t>
        </is>
      </c>
      <c r="M305">
        <f>Config!$B$3&amp;"?room="&amp;A305</f>
        <v/>
      </c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 ht="15" customHeight="1">
      <c r="A306" t="inlineStr">
        <is>
          <t>B-L01-S02</t>
        </is>
      </c>
      <c r="B306" t="inlineStr">
        <is>
          <t>Tower B</t>
        </is>
      </c>
      <c r="C306" t="inlineStr">
        <is>
          <t>L01</t>
        </is>
      </c>
      <c r="D306" t="inlineStr">
        <is>
          <t>BL01G51</t>
        </is>
      </c>
      <c r="E306" t="inlineStr">
        <is>
          <t>S02</t>
        </is>
      </c>
      <c r="F306" t="inlineStr">
        <is>
          <t>Suite</t>
        </is>
      </c>
      <c r="G306" s="11" t="n"/>
      <c r="H306" s="22" t="n"/>
      <c r="I306" s="11" t="n"/>
      <c r="J306" s="22" t="n"/>
      <c r="K306" s="11" t="n"/>
      <c r="L306" t="inlineStr">
        <is>
          <t>Typology drawing R01</t>
        </is>
      </c>
      <c r="M306">
        <f>Config!$B$3&amp;"?room="&amp;A306</f>
        <v/>
      </c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 ht="15" customHeight="1">
      <c r="A307" t="inlineStr">
        <is>
          <t>B-L01-S03</t>
        </is>
      </c>
      <c r="B307" t="inlineStr">
        <is>
          <t>Tower B</t>
        </is>
      </c>
      <c r="C307" t="inlineStr">
        <is>
          <t>L01</t>
        </is>
      </c>
      <c r="D307" t="inlineStr">
        <is>
          <t>BL01G66</t>
        </is>
      </c>
      <c r="E307" t="inlineStr">
        <is>
          <t>S03</t>
        </is>
      </c>
      <c r="F307" t="inlineStr">
        <is>
          <t>Suite</t>
        </is>
      </c>
      <c r="G307" s="11" t="n"/>
      <c r="H307" s="22" t="n"/>
      <c r="I307" s="11" t="n"/>
      <c r="J307" s="22" t="n"/>
      <c r="K307" s="11" t="n"/>
      <c r="L307" t="inlineStr">
        <is>
          <t>Typology drawing R01</t>
        </is>
      </c>
      <c r="M307">
        <f>Config!$B$3&amp;"?room="&amp;A307</f>
        <v/>
      </c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 ht="15" customHeight="1">
      <c r="A308" t="inlineStr">
        <is>
          <t>B-L01-S04</t>
        </is>
      </c>
      <c r="B308" t="inlineStr">
        <is>
          <t>Tower B</t>
        </is>
      </c>
      <c r="C308" t="inlineStr">
        <is>
          <t>L01</t>
        </is>
      </c>
      <c r="D308" t="inlineStr">
        <is>
          <t>BL01G81</t>
        </is>
      </c>
      <c r="E308" t="inlineStr">
        <is>
          <t>S04</t>
        </is>
      </c>
      <c r="F308" t="inlineStr">
        <is>
          <t>Suite</t>
        </is>
      </c>
      <c r="G308" s="11" t="n"/>
      <c r="H308" s="22" t="n"/>
      <c r="I308" s="11" t="n"/>
      <c r="J308" s="22" t="n"/>
      <c r="K308" s="11" t="n"/>
      <c r="L308" t="inlineStr">
        <is>
          <t>Typology drawing R01</t>
        </is>
      </c>
      <c r="M308">
        <f>Config!$B$3&amp;"?room="&amp;A308</f>
        <v/>
      </c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 ht="15" customHeight="1">
      <c r="A309" t="inlineStr">
        <is>
          <t>B-L02-F02</t>
        </is>
      </c>
      <c r="B309" t="inlineStr">
        <is>
          <t>Tower B</t>
        </is>
      </c>
      <c r="C309" t="inlineStr">
        <is>
          <t>L02</t>
        </is>
      </c>
      <c r="D309" t="inlineStr">
        <is>
          <t>BL02G90</t>
        </is>
      </c>
      <c r="E309" t="inlineStr">
        <is>
          <t>F02</t>
        </is>
      </c>
      <c r="F309" t="inlineStr">
        <is>
          <t>Family</t>
        </is>
      </c>
      <c r="G309" s="11" t="n"/>
      <c r="H309" s="22" t="n"/>
      <c r="I309" s="11" t="n"/>
      <c r="J309" s="22" t="n"/>
      <c r="K309" s="11" t="n"/>
      <c r="L309" t="inlineStr">
        <is>
          <t>Typology drawing R01</t>
        </is>
      </c>
      <c r="M309">
        <f>Config!$B$3&amp;"?room="&amp;A309</f>
        <v/>
      </c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 ht="15" customHeight="1">
      <c r="A310" t="inlineStr">
        <is>
          <t>B-L02-F06</t>
        </is>
      </c>
      <c r="B310" t="inlineStr">
        <is>
          <t>Tower B</t>
        </is>
      </c>
      <c r="C310" t="inlineStr">
        <is>
          <t>L02</t>
        </is>
      </c>
      <c r="D310" t="inlineStr">
        <is>
          <t>BL02G63</t>
        </is>
      </c>
      <c r="E310" t="inlineStr">
        <is>
          <t>F06</t>
        </is>
      </c>
      <c r="F310" t="inlineStr">
        <is>
          <t>Family</t>
        </is>
      </c>
      <c r="G310" s="11" t="n"/>
      <c r="H310" s="22" t="n"/>
      <c r="I310" s="11" t="n"/>
      <c r="J310" s="22" t="n"/>
      <c r="K310" s="11" t="n"/>
      <c r="L310" t="inlineStr">
        <is>
          <t>Typology drawing R01</t>
        </is>
      </c>
      <c r="M310">
        <f>Config!$B$3&amp;"?room="&amp;A310</f>
        <v/>
      </c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 ht="15" customHeight="1">
      <c r="A311" t="inlineStr">
        <is>
          <t>B-L02-K01-01</t>
        </is>
      </c>
      <c r="B311" t="inlineStr">
        <is>
          <t>Tower B</t>
        </is>
      </c>
      <c r="C311" t="inlineStr">
        <is>
          <t>L02</t>
        </is>
      </c>
      <c r="D311" t="inlineStr">
        <is>
          <t>BL02G53</t>
        </is>
      </c>
      <c r="E311" t="inlineStr">
        <is>
          <t>K01</t>
        </is>
      </c>
      <c r="F311" t="inlineStr">
        <is>
          <t>King</t>
        </is>
      </c>
      <c r="G311" s="11" t="n"/>
      <c r="H311" s="22" t="n"/>
      <c r="I311" s="11" t="n"/>
      <c r="J311" s="22" t="n"/>
      <c r="K311" s="11" t="n"/>
      <c r="L311" t="inlineStr">
        <is>
          <t>Typology drawing R01</t>
        </is>
      </c>
      <c r="M311">
        <f>Config!$B$3&amp;"?room="&amp;A311</f>
        <v/>
      </c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 ht="15" customHeight="1">
      <c r="A312" t="inlineStr">
        <is>
          <t>B-L02-K01-02</t>
        </is>
      </c>
      <c r="B312" t="inlineStr">
        <is>
          <t>Tower B</t>
        </is>
      </c>
      <c r="C312" t="inlineStr">
        <is>
          <t>L02</t>
        </is>
      </c>
      <c r="D312" t="inlineStr">
        <is>
          <t>BL02G77</t>
        </is>
      </c>
      <c r="E312" t="inlineStr">
        <is>
          <t>K01</t>
        </is>
      </c>
      <c r="F312" t="inlineStr">
        <is>
          <t>King</t>
        </is>
      </c>
      <c r="G312" s="11" t="n"/>
      <c r="H312" s="22" t="n"/>
      <c r="I312" s="11" t="n"/>
      <c r="J312" s="22" t="n"/>
      <c r="K312" s="11" t="n"/>
      <c r="L312" t="inlineStr">
        <is>
          <t>Typology drawing R01</t>
        </is>
      </c>
      <c r="M312">
        <f>Config!$B$3&amp;"?room="&amp;A312</f>
        <v/>
      </c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 ht="15" customHeight="1">
      <c r="A313" t="inlineStr">
        <is>
          <t>B-L02-K01A-01</t>
        </is>
      </c>
      <c r="B313" t="inlineStr">
        <is>
          <t>Tower B</t>
        </is>
      </c>
      <c r="C313" t="inlineStr">
        <is>
          <t>L02</t>
        </is>
      </c>
      <c r="D313" t="inlineStr">
        <is>
          <t>BL02G58</t>
        </is>
      </c>
      <c r="E313" t="inlineStr">
        <is>
          <t>K01A</t>
        </is>
      </c>
      <c r="F313" t="inlineStr">
        <is>
          <t>King</t>
        </is>
      </c>
      <c r="G313" s="11" t="n"/>
      <c r="H313" s="22" t="n"/>
      <c r="I313" s="11" t="n"/>
      <c r="J313" s="22" t="n"/>
      <c r="K313" s="11" t="n"/>
      <c r="L313" t="inlineStr">
        <is>
          <t>Typology drawing R01</t>
        </is>
      </c>
      <c r="M313">
        <f>Config!$B$3&amp;"?room="&amp;A313</f>
        <v/>
      </c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 ht="15" customHeight="1">
      <c r="A314" t="inlineStr">
        <is>
          <t>B-L02-K01A-02</t>
        </is>
      </c>
      <c r="B314" t="inlineStr">
        <is>
          <t>Tower B</t>
        </is>
      </c>
      <c r="C314" t="inlineStr">
        <is>
          <t>L02</t>
        </is>
      </c>
      <c r="D314" t="inlineStr">
        <is>
          <t>BL02G76</t>
        </is>
      </c>
      <c r="E314" t="inlineStr">
        <is>
          <t>K01A</t>
        </is>
      </c>
      <c r="F314" t="inlineStr">
        <is>
          <t>King</t>
        </is>
      </c>
      <c r="G314" s="11" t="n"/>
      <c r="H314" s="22" t="n"/>
      <c r="I314" s="11" t="n"/>
      <c r="J314" s="22" t="n"/>
      <c r="K314" s="11" t="n"/>
      <c r="L314" t="inlineStr">
        <is>
          <t>Typology drawing R01</t>
        </is>
      </c>
      <c r="M314">
        <f>Config!$B$3&amp;"?room="&amp;A314</f>
        <v/>
      </c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 ht="15" customHeight="1">
      <c r="A315" t="inlineStr">
        <is>
          <t>B-L02-K01A-03</t>
        </is>
      </c>
      <c r="B315" t="inlineStr">
        <is>
          <t>Tower B</t>
        </is>
      </c>
      <c r="C315" t="inlineStr">
        <is>
          <t>L02</t>
        </is>
      </c>
      <c r="D315" t="inlineStr">
        <is>
          <t>BL02G84</t>
        </is>
      </c>
      <c r="E315" t="inlineStr">
        <is>
          <t>K01A</t>
        </is>
      </c>
      <c r="F315" t="inlineStr">
        <is>
          <t>King</t>
        </is>
      </c>
      <c r="G315" s="11" t="n"/>
      <c r="H315" s="22" t="n"/>
      <c r="I315" s="11" t="n"/>
      <c r="J315" s="22" t="n"/>
      <c r="K315" s="11" t="n"/>
      <c r="L315" t="inlineStr">
        <is>
          <t>Typology drawing R01</t>
        </is>
      </c>
      <c r="M315">
        <f>Config!$B$3&amp;"?room="&amp;A315</f>
        <v/>
      </c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 ht="15" customHeight="1">
      <c r="A316" t="inlineStr">
        <is>
          <t>B-L02-K01C</t>
        </is>
      </c>
      <c r="B316" t="inlineStr">
        <is>
          <t>Tower B</t>
        </is>
      </c>
      <c r="C316" t="inlineStr">
        <is>
          <t>L02</t>
        </is>
      </c>
      <c r="D316" t="inlineStr">
        <is>
          <t>BL02G81</t>
        </is>
      </c>
      <c r="E316" t="inlineStr">
        <is>
          <t>K01C</t>
        </is>
      </c>
      <c r="F316" t="inlineStr">
        <is>
          <t>King</t>
        </is>
      </c>
      <c r="G316" s="11" t="n"/>
      <c r="H316" s="22" t="n"/>
      <c r="I316" s="11" t="n"/>
      <c r="J316" s="22" t="n"/>
      <c r="K316" s="11" t="n"/>
      <c r="L316" t="inlineStr">
        <is>
          <t>Typology drawing R01</t>
        </is>
      </c>
      <c r="M316">
        <f>Config!$B$3&amp;"?room="&amp;A316</f>
        <v/>
      </c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 ht="15" customHeight="1">
      <c r="A317" t="inlineStr">
        <is>
          <t>B-L02-K01C1-01</t>
        </is>
      </c>
      <c r="B317" t="inlineStr">
        <is>
          <t>Tower B</t>
        </is>
      </c>
      <c r="C317" t="inlineStr">
        <is>
          <t>L02</t>
        </is>
      </c>
      <c r="D317" t="inlineStr">
        <is>
          <t>BL02G72</t>
        </is>
      </c>
      <c r="E317" t="inlineStr">
        <is>
          <t>K01C1</t>
        </is>
      </c>
      <c r="F317" t="inlineStr">
        <is>
          <t>King</t>
        </is>
      </c>
      <c r="G317" s="11" t="n"/>
      <c r="H317" s="22" t="n"/>
      <c r="I317" s="11" t="n"/>
      <c r="J317" s="22" t="n"/>
      <c r="K317" s="11" t="n"/>
      <c r="L317" t="inlineStr">
        <is>
          <t>Typology drawing R01</t>
        </is>
      </c>
      <c r="M317">
        <f>Config!$B$3&amp;"?room="&amp;A317</f>
        <v/>
      </c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 ht="15" customHeight="1">
      <c r="A318" t="inlineStr">
        <is>
          <t>B-L02-K01C1-02</t>
        </is>
      </c>
      <c r="B318" t="inlineStr">
        <is>
          <t>Tower B</t>
        </is>
      </c>
      <c r="C318" t="inlineStr">
        <is>
          <t>L02</t>
        </is>
      </c>
      <c r="D318" t="inlineStr">
        <is>
          <t>BL02G80</t>
        </is>
      </c>
      <c r="E318" t="inlineStr">
        <is>
          <t>K01C1</t>
        </is>
      </c>
      <c r="F318" t="inlineStr">
        <is>
          <t>King</t>
        </is>
      </c>
      <c r="G318" s="11" t="n"/>
      <c r="H318" s="22" t="n"/>
      <c r="I318" s="11" t="n"/>
      <c r="J318" s="22" t="n"/>
      <c r="K318" s="11" t="n"/>
      <c r="L318" t="inlineStr">
        <is>
          <t>Typology drawing R01</t>
        </is>
      </c>
      <c r="M318">
        <f>Config!$B$3&amp;"?room="&amp;A318</f>
        <v/>
      </c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 ht="15" customHeight="1">
      <c r="A319" t="inlineStr">
        <is>
          <t>B-L02-K01D</t>
        </is>
      </c>
      <c r="B319" t="inlineStr">
        <is>
          <t>Tower B</t>
        </is>
      </c>
      <c r="C319" t="inlineStr">
        <is>
          <t>L02</t>
        </is>
      </c>
      <c r="D319" t="inlineStr">
        <is>
          <t>BL02G61</t>
        </is>
      </c>
      <c r="E319" t="inlineStr">
        <is>
          <t>K01D</t>
        </is>
      </c>
      <c r="F319" t="inlineStr">
        <is>
          <t>King</t>
        </is>
      </c>
      <c r="G319" s="11" t="n"/>
      <c r="H319" s="22" t="n"/>
      <c r="I319" s="11" t="n"/>
      <c r="J319" s="22" t="n"/>
      <c r="K319" s="11" t="n"/>
      <c r="L319" t="inlineStr">
        <is>
          <t>Typology drawing R01</t>
        </is>
      </c>
      <c r="M319">
        <f>Config!$B$3&amp;"?room="&amp;A319</f>
        <v/>
      </c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 ht="15" customHeight="1">
      <c r="A320" t="inlineStr">
        <is>
          <t>B-L02-K02-01</t>
        </is>
      </c>
      <c r="B320" t="inlineStr">
        <is>
          <t>Tower B</t>
        </is>
      </c>
      <c r="C320" t="inlineStr">
        <is>
          <t>L02</t>
        </is>
      </c>
      <c r="D320" t="inlineStr">
        <is>
          <t>BL02G55</t>
        </is>
      </c>
      <c r="E320" t="inlineStr">
        <is>
          <t>K02</t>
        </is>
      </c>
      <c r="F320" t="inlineStr">
        <is>
          <t>King</t>
        </is>
      </c>
      <c r="G320" s="11" t="n"/>
      <c r="H320" s="22" t="n"/>
      <c r="I320" s="11" t="n"/>
      <c r="J320" s="22" t="n"/>
      <c r="K320" s="11" t="n"/>
      <c r="L320" t="inlineStr">
        <is>
          <t>Typology drawing R01</t>
        </is>
      </c>
      <c r="M320">
        <f>Config!$B$3&amp;"?room="&amp;A320</f>
        <v/>
      </c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 ht="15" customHeight="1">
      <c r="A321" t="inlineStr">
        <is>
          <t>B-L02-K02-02</t>
        </is>
      </c>
      <c r="B321" t="inlineStr">
        <is>
          <t>Tower B</t>
        </is>
      </c>
      <c r="C321" t="inlineStr">
        <is>
          <t>L02</t>
        </is>
      </c>
      <c r="D321" t="inlineStr">
        <is>
          <t>BL02G71</t>
        </is>
      </c>
      <c r="E321" t="inlineStr">
        <is>
          <t>K02</t>
        </is>
      </c>
      <c r="F321" t="inlineStr">
        <is>
          <t>King</t>
        </is>
      </c>
      <c r="G321" s="11" t="n"/>
      <c r="H321" s="22" t="n"/>
      <c r="I321" s="11" t="n"/>
      <c r="J321" s="22" t="n"/>
      <c r="K321" s="11" t="n"/>
      <c r="L321" t="inlineStr">
        <is>
          <t>Typology drawing R01</t>
        </is>
      </c>
      <c r="M321">
        <f>Config!$B$3&amp;"?room="&amp;A321</f>
        <v/>
      </c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 ht="15" customHeight="1">
      <c r="A322" t="inlineStr">
        <is>
          <t>B-L02-K02-03</t>
        </is>
      </c>
      <c r="B322" t="inlineStr">
        <is>
          <t>Tower B</t>
        </is>
      </c>
      <c r="C322" t="inlineStr">
        <is>
          <t>L02</t>
        </is>
      </c>
      <c r="D322" t="inlineStr">
        <is>
          <t>BL02G79</t>
        </is>
      </c>
      <c r="E322" t="inlineStr">
        <is>
          <t>K02</t>
        </is>
      </c>
      <c r="F322" t="inlineStr">
        <is>
          <t>King</t>
        </is>
      </c>
      <c r="G322" s="11" t="n"/>
      <c r="H322" s="22" t="n"/>
      <c r="I322" s="11" t="n"/>
      <c r="J322" s="22" t="n"/>
      <c r="K322" s="11" t="n"/>
      <c r="L322" t="inlineStr">
        <is>
          <t>Typology drawing R01</t>
        </is>
      </c>
      <c r="M322">
        <f>Config!$B$3&amp;"?room="&amp;A322</f>
        <v/>
      </c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 ht="15" customHeight="1">
      <c r="A323" t="inlineStr">
        <is>
          <t>B-L02-K02A-01</t>
        </is>
      </c>
      <c r="B323" t="inlineStr">
        <is>
          <t>Tower B</t>
        </is>
      </c>
      <c r="C323" t="inlineStr">
        <is>
          <t>L02</t>
        </is>
      </c>
      <c r="D323" t="inlineStr">
        <is>
          <t>BL02G74</t>
        </is>
      </c>
      <c r="E323" t="inlineStr">
        <is>
          <t>K02A</t>
        </is>
      </c>
      <c r="F323" t="inlineStr">
        <is>
          <t>King</t>
        </is>
      </c>
      <c r="G323" s="11" t="n"/>
      <c r="H323" s="22" t="n"/>
      <c r="I323" s="11" t="n"/>
      <c r="J323" s="22" t="n"/>
      <c r="K323" s="11" t="n"/>
      <c r="L323" t="inlineStr">
        <is>
          <t>Typology drawing R01</t>
        </is>
      </c>
      <c r="M323">
        <f>Config!$B$3&amp;"?room="&amp;A323</f>
        <v/>
      </c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 ht="15" customHeight="1">
      <c r="A324" t="inlineStr">
        <is>
          <t>B-L02-K02A-02</t>
        </is>
      </c>
      <c r="B324" t="inlineStr">
        <is>
          <t>Tower B</t>
        </is>
      </c>
      <c r="C324" t="inlineStr">
        <is>
          <t>L02</t>
        </is>
      </c>
      <c r="D324" t="inlineStr">
        <is>
          <t>BL02G82</t>
        </is>
      </c>
      <c r="E324" t="inlineStr">
        <is>
          <t>K02A</t>
        </is>
      </c>
      <c r="F324" t="inlineStr">
        <is>
          <t>King</t>
        </is>
      </c>
      <c r="G324" s="11" t="n"/>
      <c r="H324" s="22" t="n"/>
      <c r="I324" s="11" t="n"/>
      <c r="J324" s="22" t="n"/>
      <c r="K324" s="11" t="n"/>
      <c r="L324" t="inlineStr">
        <is>
          <t>Typology drawing R01</t>
        </is>
      </c>
      <c r="M324">
        <f>Config!$B$3&amp;"?room="&amp;A324</f>
        <v/>
      </c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 ht="15" customHeight="1">
      <c r="A325" t="inlineStr">
        <is>
          <t>B-L02-K02C-01</t>
        </is>
      </c>
      <c r="B325" t="inlineStr">
        <is>
          <t>Tower B</t>
        </is>
      </c>
      <c r="C325" t="inlineStr">
        <is>
          <t>L02</t>
        </is>
      </c>
      <c r="D325" t="inlineStr">
        <is>
          <t>BL02G59</t>
        </is>
      </c>
      <c r="E325" t="inlineStr">
        <is>
          <t>K02C</t>
        </is>
      </c>
      <c r="F325" t="inlineStr">
        <is>
          <t>King</t>
        </is>
      </c>
      <c r="G325" s="11" t="n"/>
      <c r="H325" s="22" t="n"/>
      <c r="I325" s="11" t="n"/>
      <c r="J325" s="22" t="n"/>
      <c r="K325" s="11" t="n"/>
      <c r="L325" t="inlineStr">
        <is>
          <t>Typology drawing R01</t>
        </is>
      </c>
      <c r="M325">
        <f>Config!$B$3&amp;"?room="&amp;A325</f>
        <v/>
      </c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 ht="15" customHeight="1">
      <c r="A326" t="inlineStr">
        <is>
          <t>B-L02-K02C-02</t>
        </is>
      </c>
      <c r="B326" t="inlineStr">
        <is>
          <t>Tower B</t>
        </is>
      </c>
      <c r="C326" t="inlineStr">
        <is>
          <t>L02</t>
        </is>
      </c>
      <c r="D326" t="inlineStr">
        <is>
          <t>BL02G75</t>
        </is>
      </c>
      <c r="E326" t="inlineStr">
        <is>
          <t>K02C</t>
        </is>
      </c>
      <c r="F326" t="inlineStr">
        <is>
          <t>King</t>
        </is>
      </c>
      <c r="G326" s="11" t="n"/>
      <c r="H326" s="22" t="n"/>
      <c r="I326" s="11" t="n"/>
      <c r="J326" s="22" t="n"/>
      <c r="K326" s="11" t="n"/>
      <c r="L326" t="inlineStr">
        <is>
          <t>Typology drawing R01</t>
        </is>
      </c>
      <c r="M326">
        <f>Config!$B$3&amp;"?room="&amp;A326</f>
        <v/>
      </c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 ht="15" customHeight="1">
      <c r="A327" t="inlineStr">
        <is>
          <t>B-L02-K03</t>
        </is>
      </c>
      <c r="B327" t="inlineStr">
        <is>
          <t>Tower B</t>
        </is>
      </c>
      <c r="C327" t="inlineStr">
        <is>
          <t>L02</t>
        </is>
      </c>
      <c r="D327" t="inlineStr">
        <is>
          <t>BL02G89</t>
        </is>
      </c>
      <c r="E327" t="inlineStr">
        <is>
          <t>K03</t>
        </is>
      </c>
      <c r="F327" t="inlineStr">
        <is>
          <t>King</t>
        </is>
      </c>
      <c r="G327" s="11" t="n"/>
      <c r="H327" s="22" t="n"/>
      <c r="I327" s="11" t="n"/>
      <c r="J327" s="22" t="n"/>
      <c r="K327" s="11" t="n"/>
      <c r="L327" t="inlineStr">
        <is>
          <t>Typology drawing R01</t>
        </is>
      </c>
      <c r="M327">
        <f>Config!$B$3&amp;"?room="&amp;A327</f>
        <v/>
      </c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 ht="15" customHeight="1">
      <c r="A328" t="inlineStr">
        <is>
          <t>B-L02-KADA1</t>
        </is>
      </c>
      <c r="B328" t="inlineStr">
        <is>
          <t>Tower B</t>
        </is>
      </c>
      <c r="C328" t="inlineStr">
        <is>
          <t>L02</t>
        </is>
      </c>
      <c r="D328" t="inlineStr">
        <is>
          <t>BL02G60</t>
        </is>
      </c>
      <c r="E328" t="inlineStr">
        <is>
          <t>KADA1</t>
        </is>
      </c>
      <c r="F328" t="inlineStr">
        <is>
          <t>King ADA</t>
        </is>
      </c>
      <c r="G328" s="11" t="n"/>
      <c r="H328" s="22" t="n"/>
      <c r="I328" s="11" t="n"/>
      <c r="J328" s="22" t="n"/>
      <c r="K328" s="11" t="n"/>
      <c r="L328" t="inlineStr">
        <is>
          <t>Typology drawing R01</t>
        </is>
      </c>
      <c r="M328">
        <f>Config!$B$3&amp;"?room="&amp;A328</f>
        <v/>
      </c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 ht="15" customHeight="1">
      <c r="A329" t="inlineStr">
        <is>
          <t>B-L02-Q01C</t>
        </is>
      </c>
      <c r="B329" t="inlineStr">
        <is>
          <t>Tower B</t>
        </is>
      </c>
      <c r="C329" t="inlineStr">
        <is>
          <t>L02</t>
        </is>
      </c>
      <c r="D329" t="inlineStr">
        <is>
          <t>BL02G83</t>
        </is>
      </c>
      <c r="E329" t="inlineStr">
        <is>
          <t>Q01C</t>
        </is>
      </c>
      <c r="F329" t="inlineStr">
        <is>
          <t>Queen</t>
        </is>
      </c>
      <c r="G329" s="11" t="n"/>
      <c r="H329" s="22" t="n"/>
      <c r="I329" s="11" t="n"/>
      <c r="J329" s="22" t="n"/>
      <c r="K329" s="11" t="n"/>
      <c r="L329" t="inlineStr">
        <is>
          <t>Typology drawing R01</t>
        </is>
      </c>
      <c r="M329">
        <f>Config!$B$3&amp;"?room="&amp;A329</f>
        <v/>
      </c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 ht="15" customHeight="1">
      <c r="A330" t="inlineStr">
        <is>
          <t>B-L02-Q01C1-01</t>
        </is>
      </c>
      <c r="B330" t="inlineStr">
        <is>
          <t>Tower B</t>
        </is>
      </c>
      <c r="C330" t="inlineStr">
        <is>
          <t>L02</t>
        </is>
      </c>
      <c r="D330" t="inlineStr">
        <is>
          <t>BL02G64</t>
        </is>
      </c>
      <c r="E330" t="inlineStr">
        <is>
          <t>Q01C1</t>
        </is>
      </c>
      <c r="F330" t="inlineStr">
        <is>
          <t>Queen</t>
        </is>
      </c>
      <c r="G330" s="11" t="n"/>
      <c r="H330" s="22" t="n"/>
      <c r="I330" s="11" t="n"/>
      <c r="J330" s="22" t="n"/>
      <c r="K330" s="11" t="n"/>
      <c r="L330" t="inlineStr">
        <is>
          <t>Typology drawing R01</t>
        </is>
      </c>
      <c r="M330">
        <f>Config!$B$3&amp;"?room="&amp;A330</f>
        <v/>
      </c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 ht="15" customHeight="1">
      <c r="A331" t="inlineStr">
        <is>
          <t>B-L02-Q01C1-02</t>
        </is>
      </c>
      <c r="B331" t="inlineStr">
        <is>
          <t>Tower B</t>
        </is>
      </c>
      <c r="C331" t="inlineStr">
        <is>
          <t>L02</t>
        </is>
      </c>
      <c r="D331" t="inlineStr">
        <is>
          <t>BL02G70</t>
        </is>
      </c>
      <c r="E331" t="inlineStr">
        <is>
          <t>Q01C1</t>
        </is>
      </c>
      <c r="F331" t="inlineStr">
        <is>
          <t>Queen</t>
        </is>
      </c>
      <c r="G331" s="11" t="n"/>
      <c r="H331" s="22" t="n"/>
      <c r="I331" s="11" t="n"/>
      <c r="J331" s="22" t="n"/>
      <c r="K331" s="11" t="n"/>
      <c r="L331" t="inlineStr">
        <is>
          <t>Typology drawing R01</t>
        </is>
      </c>
      <c r="M331">
        <f>Config!$B$3&amp;"?room="&amp;A331</f>
        <v/>
      </c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 ht="15" customHeight="1">
      <c r="A332" t="inlineStr">
        <is>
          <t>B-L02-Q01C1-03</t>
        </is>
      </c>
      <c r="B332" t="inlineStr">
        <is>
          <t>Tower B</t>
        </is>
      </c>
      <c r="C332" t="inlineStr">
        <is>
          <t>L02</t>
        </is>
      </c>
      <c r="D332" t="inlineStr">
        <is>
          <t>BL02G78</t>
        </is>
      </c>
      <c r="E332" t="inlineStr">
        <is>
          <t>Q01C1</t>
        </is>
      </c>
      <c r="F332" t="inlineStr">
        <is>
          <t>Queen</t>
        </is>
      </c>
      <c r="G332" s="11" t="n"/>
      <c r="H332" s="22" t="n"/>
      <c r="I332" s="11" t="n"/>
      <c r="J332" s="22" t="n"/>
      <c r="K332" s="11" t="n"/>
      <c r="L332" t="inlineStr">
        <is>
          <t>Typology drawing R01</t>
        </is>
      </c>
      <c r="M332">
        <f>Config!$B$3&amp;"?room="&amp;A332</f>
        <v/>
      </c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 ht="15" customHeight="1">
      <c r="A333" t="inlineStr">
        <is>
          <t>B-L02-Q02C-01</t>
        </is>
      </c>
      <c r="B333" t="inlineStr">
        <is>
          <t>Tower B</t>
        </is>
      </c>
      <c r="C333" t="inlineStr">
        <is>
          <t>L02</t>
        </is>
      </c>
      <c r="D333" t="inlineStr">
        <is>
          <t>BL02G57</t>
        </is>
      </c>
      <c r="E333" t="inlineStr">
        <is>
          <t>Q02C</t>
        </is>
      </c>
      <c r="F333" t="inlineStr">
        <is>
          <t>Queen</t>
        </is>
      </c>
      <c r="G333" s="11" t="n"/>
      <c r="H333" s="22" t="n"/>
      <c r="I333" s="11" t="n"/>
      <c r="J333" s="22" t="n"/>
      <c r="K333" s="11" t="n"/>
      <c r="L333" t="inlineStr">
        <is>
          <t>Typology drawing R01</t>
        </is>
      </c>
      <c r="M333">
        <f>Config!$B$3&amp;"?room="&amp;A333</f>
        <v/>
      </c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 ht="15" customHeight="1">
      <c r="A334" t="inlineStr">
        <is>
          <t>B-L02-Q02C-02</t>
        </is>
      </c>
      <c r="B334" t="inlineStr">
        <is>
          <t>Tower B</t>
        </is>
      </c>
      <c r="C334" t="inlineStr">
        <is>
          <t>L02</t>
        </is>
      </c>
      <c r="D334" t="inlineStr">
        <is>
          <t>BL02G73</t>
        </is>
      </c>
      <c r="E334" t="inlineStr">
        <is>
          <t>Q02C</t>
        </is>
      </c>
      <c r="F334" t="inlineStr">
        <is>
          <t>Queen</t>
        </is>
      </c>
      <c r="G334" s="11" t="n"/>
      <c r="H334" s="22" t="n"/>
      <c r="I334" s="11" t="n"/>
      <c r="J334" s="22" t="n"/>
      <c r="K334" s="11" t="n"/>
      <c r="L334" t="inlineStr">
        <is>
          <t>Typology drawing R01</t>
        </is>
      </c>
      <c r="M334">
        <f>Config!$B$3&amp;"?room="&amp;A334</f>
        <v/>
      </c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 ht="15" customHeight="1">
      <c r="A335" t="inlineStr">
        <is>
          <t>B-L02-Q02C-03</t>
        </is>
      </c>
      <c r="B335" t="inlineStr">
        <is>
          <t>Tower B</t>
        </is>
      </c>
      <c r="C335" t="inlineStr">
        <is>
          <t>L02</t>
        </is>
      </c>
      <c r="D335" t="inlineStr">
        <is>
          <t>BL02G87</t>
        </is>
      </c>
      <c r="E335" t="inlineStr">
        <is>
          <t>Q02C</t>
        </is>
      </c>
      <c r="F335" t="inlineStr">
        <is>
          <t>Queen</t>
        </is>
      </c>
      <c r="G335" s="11" t="n"/>
      <c r="H335" s="22" t="n"/>
      <c r="I335" s="11" t="n"/>
      <c r="J335" s="22" t="n"/>
      <c r="K335" s="11" t="n"/>
      <c r="L335" t="inlineStr">
        <is>
          <t>Typology drawing R01</t>
        </is>
      </c>
      <c r="M335">
        <f>Config!$B$3&amp;"?room="&amp;A335</f>
        <v/>
      </c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 ht="15" customHeight="1">
      <c r="A336" t="inlineStr">
        <is>
          <t>B-L02-Q02C1</t>
        </is>
      </c>
      <c r="B336" t="inlineStr">
        <is>
          <t>Tower B</t>
        </is>
      </c>
      <c r="C336" t="inlineStr">
        <is>
          <t>L02</t>
        </is>
      </c>
      <c r="D336" t="inlineStr">
        <is>
          <t>BL02G62</t>
        </is>
      </c>
      <c r="E336" t="inlineStr">
        <is>
          <t>Q02C1</t>
        </is>
      </c>
      <c r="F336" t="inlineStr">
        <is>
          <t>Queen</t>
        </is>
      </c>
      <c r="G336" s="11" t="n"/>
      <c r="H336" s="22" t="n"/>
      <c r="I336" s="11" t="n"/>
      <c r="J336" s="22" t="n"/>
      <c r="K336" s="11" t="n"/>
      <c r="L336" t="inlineStr">
        <is>
          <t>Typology drawing R01</t>
        </is>
      </c>
      <c r="M336">
        <f>Config!$B$3&amp;"?room="&amp;A336</f>
        <v/>
      </c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 ht="15" customHeight="1">
      <c r="A337" t="inlineStr">
        <is>
          <t>B-L02-Q02D</t>
        </is>
      </c>
      <c r="B337" t="inlineStr">
        <is>
          <t>Tower B</t>
        </is>
      </c>
      <c r="C337" t="inlineStr">
        <is>
          <t>L02</t>
        </is>
      </c>
      <c r="D337" t="inlineStr">
        <is>
          <t>BL02G85</t>
        </is>
      </c>
      <c r="E337" t="inlineStr">
        <is>
          <t>Q02D</t>
        </is>
      </c>
      <c r="F337" t="inlineStr">
        <is>
          <t>Queen</t>
        </is>
      </c>
      <c r="G337" s="11" t="n"/>
      <c r="H337" s="22" t="n"/>
      <c r="I337" s="11" t="n"/>
      <c r="J337" s="22" t="n"/>
      <c r="K337" s="11" t="n"/>
      <c r="L337" t="inlineStr">
        <is>
          <t>Typology drawing R01</t>
        </is>
      </c>
      <c r="M337">
        <f>Config!$B$3&amp;"?room="&amp;A337</f>
        <v/>
      </c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 ht="15" customHeight="1">
      <c r="A338" t="inlineStr">
        <is>
          <t>B-L02-Q04</t>
        </is>
      </c>
      <c r="B338" t="inlineStr">
        <is>
          <t>Tower B</t>
        </is>
      </c>
      <c r="C338" t="inlineStr">
        <is>
          <t>L02</t>
        </is>
      </c>
      <c r="D338" t="inlineStr">
        <is>
          <t>BL02G69</t>
        </is>
      </c>
      <c r="E338" t="inlineStr">
        <is>
          <t>Q04</t>
        </is>
      </c>
      <c r="F338" t="inlineStr">
        <is>
          <t>Queen</t>
        </is>
      </c>
      <c r="G338" s="11" t="n"/>
      <c r="H338" s="22" t="n"/>
      <c r="I338" s="11" t="n"/>
      <c r="J338" s="22" t="n"/>
      <c r="K338" s="11" t="n"/>
      <c r="L338" t="inlineStr">
        <is>
          <t>Typology drawing R01</t>
        </is>
      </c>
      <c r="M338">
        <f>Config!$B$3&amp;"?room="&amp;A338</f>
        <v/>
      </c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 ht="15" customHeight="1">
      <c r="A339" t="inlineStr">
        <is>
          <t>B-L02-Q05</t>
        </is>
      </c>
      <c r="B339" t="inlineStr">
        <is>
          <t>Tower B</t>
        </is>
      </c>
      <c r="C339" t="inlineStr">
        <is>
          <t>L02</t>
        </is>
      </c>
      <c r="D339" t="inlineStr">
        <is>
          <t>BL02G51</t>
        </is>
      </c>
      <c r="E339" t="inlineStr">
        <is>
          <t>Q05</t>
        </is>
      </c>
      <c r="F339" t="inlineStr">
        <is>
          <t>Queen</t>
        </is>
      </c>
      <c r="G339" s="11" t="n"/>
      <c r="H339" s="22" t="n"/>
      <c r="I339" s="11" t="n"/>
      <c r="J339" s="22" t="n"/>
      <c r="K339" s="11" t="n"/>
      <c r="L339" t="inlineStr">
        <is>
          <t>Typology drawing R01</t>
        </is>
      </c>
      <c r="M339">
        <f>Config!$B$3&amp;"?room="&amp;A339</f>
        <v/>
      </c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 ht="15" customHeight="1">
      <c r="A340" t="inlineStr">
        <is>
          <t>B-L02-Q06</t>
        </is>
      </c>
      <c r="B340" t="inlineStr">
        <is>
          <t>Tower B</t>
        </is>
      </c>
      <c r="C340" t="inlineStr">
        <is>
          <t>L02</t>
        </is>
      </c>
      <c r="D340" t="inlineStr">
        <is>
          <t>BL02G86</t>
        </is>
      </c>
      <c r="E340" t="inlineStr">
        <is>
          <t>Q06</t>
        </is>
      </c>
      <c r="F340" t="inlineStr">
        <is>
          <t>Queen</t>
        </is>
      </c>
      <c r="G340" s="11" t="n"/>
      <c r="H340" s="22" t="n"/>
      <c r="I340" s="11" t="n"/>
      <c r="J340" s="22" t="n"/>
      <c r="K340" s="11" t="n"/>
      <c r="L340" t="inlineStr">
        <is>
          <t>Typology drawing R01</t>
        </is>
      </c>
      <c r="M340">
        <f>Config!$B$3&amp;"?room="&amp;A340</f>
        <v/>
      </c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 ht="15" customHeight="1">
      <c r="A341" t="inlineStr">
        <is>
          <t>B-L02-S07</t>
        </is>
      </c>
      <c r="B341" t="inlineStr">
        <is>
          <t>Tower B</t>
        </is>
      </c>
      <c r="C341" t="inlineStr">
        <is>
          <t>L02</t>
        </is>
      </c>
      <c r="D341" t="inlineStr">
        <is>
          <t>BL02G49</t>
        </is>
      </c>
      <c r="E341" t="inlineStr">
        <is>
          <t>S07</t>
        </is>
      </c>
      <c r="F341" t="inlineStr">
        <is>
          <t>Suite</t>
        </is>
      </c>
      <c r="G341" s="11" t="n"/>
      <c r="H341" s="22" t="n"/>
      <c r="I341" s="11" t="n"/>
      <c r="J341" s="22" t="n"/>
      <c r="K341" s="11" t="n"/>
      <c r="L341" t="inlineStr">
        <is>
          <t>Typology drawing R01</t>
        </is>
      </c>
      <c r="M341">
        <f>Config!$B$3&amp;"?room="&amp;A341</f>
        <v/>
      </c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 ht="15" customHeight="1">
      <c r="A342" t="inlineStr">
        <is>
          <t>B-L02-SADA</t>
        </is>
      </c>
      <c r="B342" t="inlineStr">
        <is>
          <t>Tower B</t>
        </is>
      </c>
      <c r="C342" t="inlineStr">
        <is>
          <t>L02</t>
        </is>
      </c>
      <c r="D342" t="inlineStr">
        <is>
          <t>BL02G66</t>
        </is>
      </c>
      <c r="E342" t="inlineStr">
        <is>
          <t>SADA</t>
        </is>
      </c>
      <c r="F342" t="inlineStr">
        <is>
          <t>Suite ADA</t>
        </is>
      </c>
      <c r="G342" s="11" t="n"/>
      <c r="H342" s="22" t="n"/>
      <c r="I342" s="11" t="n"/>
      <c r="J342" s="22" t="n"/>
      <c r="K342" s="11" t="n"/>
      <c r="L342" t="inlineStr">
        <is>
          <t>Typology drawing R01</t>
        </is>
      </c>
      <c r="M342">
        <f>Config!$B$3&amp;"?room="&amp;A342</f>
        <v/>
      </c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 ht="15" customHeight="1">
      <c r="A343" t="inlineStr">
        <is>
          <t>B-L03-F02</t>
        </is>
      </c>
      <c r="B343" t="inlineStr">
        <is>
          <t>Tower B</t>
        </is>
      </c>
      <c r="C343" t="inlineStr">
        <is>
          <t>L03</t>
        </is>
      </c>
      <c r="D343" t="inlineStr">
        <is>
          <t>BL03G90</t>
        </is>
      </c>
      <c r="E343" t="inlineStr">
        <is>
          <t>F02</t>
        </is>
      </c>
      <c r="F343" t="inlineStr">
        <is>
          <t>Family</t>
        </is>
      </c>
      <c r="G343" s="11" t="n"/>
      <c r="H343" s="22" t="n"/>
      <c r="I343" s="11" t="n"/>
      <c r="J343" s="22" t="n"/>
      <c r="K343" s="11" t="n"/>
      <c r="L343" t="inlineStr">
        <is>
          <t>Typology drawing R01</t>
        </is>
      </c>
      <c r="M343">
        <f>Config!$B$3&amp;"?room="&amp;A343</f>
        <v/>
      </c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 ht="15" customHeight="1">
      <c r="A344" t="inlineStr">
        <is>
          <t>B-L03-F06</t>
        </is>
      </c>
      <c r="B344" t="inlineStr">
        <is>
          <t>Tower B</t>
        </is>
      </c>
      <c r="C344" t="inlineStr">
        <is>
          <t>L03</t>
        </is>
      </c>
      <c r="D344" t="inlineStr">
        <is>
          <t>BL03G63</t>
        </is>
      </c>
      <c r="E344" t="inlineStr">
        <is>
          <t>F06</t>
        </is>
      </c>
      <c r="F344" t="inlineStr">
        <is>
          <t>Family</t>
        </is>
      </c>
      <c r="G344" s="11" t="n"/>
      <c r="H344" s="22" t="n"/>
      <c r="I344" s="11" t="n"/>
      <c r="J344" s="22" t="n"/>
      <c r="K344" s="11" t="n"/>
      <c r="L344" t="inlineStr">
        <is>
          <t>Typology drawing R01</t>
        </is>
      </c>
      <c r="M344">
        <f>Config!$B$3&amp;"?room="&amp;A344</f>
        <v/>
      </c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 ht="15" customHeight="1">
      <c r="A345" t="inlineStr">
        <is>
          <t>B-L03-K01-01</t>
        </is>
      </c>
      <c r="B345" t="inlineStr">
        <is>
          <t>Tower B</t>
        </is>
      </c>
      <c r="C345" t="inlineStr">
        <is>
          <t>L03</t>
        </is>
      </c>
      <c r="D345" t="inlineStr">
        <is>
          <t>BL03G53</t>
        </is>
      </c>
      <c r="E345" t="inlineStr">
        <is>
          <t>K01</t>
        </is>
      </c>
      <c r="F345" t="inlineStr">
        <is>
          <t>King</t>
        </is>
      </c>
      <c r="G345" s="11" t="n"/>
      <c r="H345" s="22" t="n"/>
      <c r="I345" s="11" t="n"/>
      <c r="J345" s="22" t="n"/>
      <c r="K345" s="11" t="n"/>
      <c r="L345" t="inlineStr">
        <is>
          <t>Typology drawing R01</t>
        </is>
      </c>
      <c r="M345">
        <f>Config!$B$3&amp;"?room="&amp;A345</f>
        <v/>
      </c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 ht="15" customHeight="1">
      <c r="A346" t="inlineStr">
        <is>
          <t>B-L03-K01-02</t>
        </is>
      </c>
      <c r="B346" t="inlineStr">
        <is>
          <t>Tower B</t>
        </is>
      </c>
      <c r="C346" t="inlineStr">
        <is>
          <t>L03</t>
        </is>
      </c>
      <c r="D346" t="inlineStr">
        <is>
          <t>BL03G77</t>
        </is>
      </c>
      <c r="E346" t="inlineStr">
        <is>
          <t>K01</t>
        </is>
      </c>
      <c r="F346" t="inlineStr">
        <is>
          <t>King</t>
        </is>
      </c>
      <c r="G346" s="11" t="n"/>
      <c r="H346" s="22" t="n"/>
      <c r="I346" s="11" t="n"/>
      <c r="J346" s="22" t="n"/>
      <c r="K346" s="11" t="n"/>
      <c r="L346" t="inlineStr">
        <is>
          <t>Typology drawing R01</t>
        </is>
      </c>
      <c r="M346">
        <f>Config!$B$3&amp;"?room="&amp;A346</f>
        <v/>
      </c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 ht="15" customHeight="1">
      <c r="A347" t="inlineStr">
        <is>
          <t>B-L03-K01A-01</t>
        </is>
      </c>
      <c r="B347" t="inlineStr">
        <is>
          <t>Tower B</t>
        </is>
      </c>
      <c r="C347" t="inlineStr">
        <is>
          <t>L03</t>
        </is>
      </c>
      <c r="D347" t="inlineStr">
        <is>
          <t>BL03G58</t>
        </is>
      </c>
      <c r="E347" t="inlineStr">
        <is>
          <t>K01A</t>
        </is>
      </c>
      <c r="F347" t="inlineStr">
        <is>
          <t>King</t>
        </is>
      </c>
      <c r="G347" s="11" t="n"/>
      <c r="H347" s="22" t="n"/>
      <c r="I347" s="11" t="n"/>
      <c r="J347" s="22" t="n"/>
      <c r="K347" s="11" t="n"/>
      <c r="L347" t="inlineStr">
        <is>
          <t>Typology drawing R01</t>
        </is>
      </c>
      <c r="M347">
        <f>Config!$B$3&amp;"?room="&amp;A347</f>
        <v/>
      </c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 ht="15" customHeight="1">
      <c r="A348" t="inlineStr">
        <is>
          <t>B-L03-K01A-02</t>
        </is>
      </c>
      <c r="B348" t="inlineStr">
        <is>
          <t>Tower B</t>
        </is>
      </c>
      <c r="C348" t="inlineStr">
        <is>
          <t>L03</t>
        </is>
      </c>
      <c r="D348" t="inlineStr">
        <is>
          <t>BL03G76</t>
        </is>
      </c>
      <c r="E348" t="inlineStr">
        <is>
          <t>K01A</t>
        </is>
      </c>
      <c r="F348" t="inlineStr">
        <is>
          <t>King</t>
        </is>
      </c>
      <c r="G348" s="11" t="n"/>
      <c r="H348" s="22" t="n"/>
      <c r="I348" s="11" t="n"/>
      <c r="J348" s="22" t="n"/>
      <c r="K348" s="11" t="n"/>
      <c r="L348" t="inlineStr">
        <is>
          <t>Typology drawing R01</t>
        </is>
      </c>
      <c r="M348">
        <f>Config!$B$3&amp;"?room="&amp;A348</f>
        <v/>
      </c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 ht="15" customHeight="1">
      <c r="A349" t="inlineStr">
        <is>
          <t>B-L03-K01A-03</t>
        </is>
      </c>
      <c r="B349" t="inlineStr">
        <is>
          <t>Tower B</t>
        </is>
      </c>
      <c r="C349" t="inlineStr">
        <is>
          <t>L03</t>
        </is>
      </c>
      <c r="D349" t="inlineStr">
        <is>
          <t>BL03G84</t>
        </is>
      </c>
      <c r="E349" t="inlineStr">
        <is>
          <t>K01A</t>
        </is>
      </c>
      <c r="F349" t="inlineStr">
        <is>
          <t>King</t>
        </is>
      </c>
      <c r="G349" s="11" t="n"/>
      <c r="H349" s="22" t="n"/>
      <c r="I349" s="11" t="n"/>
      <c r="J349" s="22" t="n"/>
      <c r="K349" s="11" t="n"/>
      <c r="L349" t="inlineStr">
        <is>
          <t>Typology drawing R01</t>
        </is>
      </c>
      <c r="M349">
        <f>Config!$B$3&amp;"?room="&amp;A349</f>
        <v/>
      </c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 ht="15" customHeight="1">
      <c r="A350" t="inlineStr">
        <is>
          <t>B-L03-K01C</t>
        </is>
      </c>
      <c r="B350" t="inlineStr">
        <is>
          <t>Tower B</t>
        </is>
      </c>
      <c r="C350" t="inlineStr">
        <is>
          <t>L03</t>
        </is>
      </c>
      <c r="D350" t="inlineStr">
        <is>
          <t>BL03G81</t>
        </is>
      </c>
      <c r="E350" t="inlineStr">
        <is>
          <t>K01C</t>
        </is>
      </c>
      <c r="F350" t="inlineStr">
        <is>
          <t>King</t>
        </is>
      </c>
      <c r="G350" s="11" t="n"/>
      <c r="H350" s="22" t="n"/>
      <c r="I350" s="11" t="n"/>
      <c r="J350" s="22" t="n"/>
      <c r="K350" s="11" t="n"/>
      <c r="L350" t="inlineStr">
        <is>
          <t>Typology drawing R01</t>
        </is>
      </c>
      <c r="M350">
        <f>Config!$B$3&amp;"?room="&amp;A350</f>
        <v/>
      </c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 ht="15" customHeight="1">
      <c r="A351" t="inlineStr">
        <is>
          <t>B-L03-K01C1-01</t>
        </is>
      </c>
      <c r="B351" t="inlineStr">
        <is>
          <t>Tower B</t>
        </is>
      </c>
      <c r="C351" t="inlineStr">
        <is>
          <t>L03</t>
        </is>
      </c>
      <c r="D351" t="inlineStr">
        <is>
          <t>BL03G72</t>
        </is>
      </c>
      <c r="E351" t="inlineStr">
        <is>
          <t>K01C1</t>
        </is>
      </c>
      <c r="F351" t="inlineStr">
        <is>
          <t>King</t>
        </is>
      </c>
      <c r="G351" s="11" t="n"/>
      <c r="H351" s="22" t="n"/>
      <c r="I351" s="11" t="n"/>
      <c r="J351" s="22" t="n"/>
      <c r="K351" s="11" t="n"/>
      <c r="L351" t="inlineStr">
        <is>
          <t>Typology drawing R01</t>
        </is>
      </c>
      <c r="M351">
        <f>Config!$B$3&amp;"?room="&amp;A351</f>
        <v/>
      </c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 ht="15" customHeight="1">
      <c r="A352" t="inlineStr">
        <is>
          <t>B-L03-K01C1-02</t>
        </is>
      </c>
      <c r="B352" t="inlineStr">
        <is>
          <t>Tower B</t>
        </is>
      </c>
      <c r="C352" t="inlineStr">
        <is>
          <t>L03</t>
        </is>
      </c>
      <c r="D352" t="inlineStr">
        <is>
          <t>BL03G80</t>
        </is>
      </c>
      <c r="E352" t="inlineStr">
        <is>
          <t>K01C1</t>
        </is>
      </c>
      <c r="F352" t="inlineStr">
        <is>
          <t>King</t>
        </is>
      </c>
      <c r="G352" s="11" t="n"/>
      <c r="H352" s="22" t="n"/>
      <c r="I352" s="11" t="n"/>
      <c r="J352" s="22" t="n"/>
      <c r="K352" s="11" t="n"/>
      <c r="L352" t="inlineStr">
        <is>
          <t>Typology drawing R01</t>
        </is>
      </c>
      <c r="M352">
        <f>Config!$B$3&amp;"?room="&amp;A352</f>
        <v/>
      </c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 ht="15" customHeight="1">
      <c r="A353" t="inlineStr">
        <is>
          <t>B-L03-K01D</t>
        </is>
      </c>
      <c r="B353" t="inlineStr">
        <is>
          <t>Tower B</t>
        </is>
      </c>
      <c r="C353" t="inlineStr">
        <is>
          <t>L03</t>
        </is>
      </c>
      <c r="D353" t="inlineStr">
        <is>
          <t>BL03G61</t>
        </is>
      </c>
      <c r="E353" t="inlineStr">
        <is>
          <t>K01D</t>
        </is>
      </c>
      <c r="F353" t="inlineStr">
        <is>
          <t>King</t>
        </is>
      </c>
      <c r="G353" s="11" t="n"/>
      <c r="H353" s="22" t="n"/>
      <c r="I353" s="11" t="n"/>
      <c r="J353" s="22" t="n"/>
      <c r="K353" s="11" t="n"/>
      <c r="L353" t="inlineStr">
        <is>
          <t>Typology drawing R01</t>
        </is>
      </c>
      <c r="M353">
        <f>Config!$B$3&amp;"?room="&amp;A353</f>
        <v/>
      </c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 ht="15" customHeight="1">
      <c r="A354" t="inlineStr">
        <is>
          <t>B-L03-K02-01</t>
        </is>
      </c>
      <c r="B354" t="inlineStr">
        <is>
          <t>Tower B</t>
        </is>
      </c>
      <c r="C354" t="inlineStr">
        <is>
          <t>L03</t>
        </is>
      </c>
      <c r="D354" t="inlineStr">
        <is>
          <t>BL03G55</t>
        </is>
      </c>
      <c r="E354" t="inlineStr">
        <is>
          <t>K02</t>
        </is>
      </c>
      <c r="F354" t="inlineStr">
        <is>
          <t>King</t>
        </is>
      </c>
      <c r="G354" s="11" t="n"/>
      <c r="H354" s="22" t="n"/>
      <c r="I354" s="11" t="n"/>
      <c r="J354" s="22" t="n"/>
      <c r="K354" s="11" t="n"/>
      <c r="L354" t="inlineStr">
        <is>
          <t>Typology drawing R01</t>
        </is>
      </c>
      <c r="M354">
        <f>Config!$B$3&amp;"?room="&amp;A354</f>
        <v/>
      </c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 ht="15" customHeight="1">
      <c r="A355" t="inlineStr">
        <is>
          <t>B-L03-K02-02</t>
        </is>
      </c>
      <c r="B355" t="inlineStr">
        <is>
          <t>Tower B</t>
        </is>
      </c>
      <c r="C355" t="inlineStr">
        <is>
          <t>L03</t>
        </is>
      </c>
      <c r="D355" t="inlineStr">
        <is>
          <t>BL03G71</t>
        </is>
      </c>
      <c r="E355" t="inlineStr">
        <is>
          <t>K02</t>
        </is>
      </c>
      <c r="F355" t="inlineStr">
        <is>
          <t>King</t>
        </is>
      </c>
      <c r="G355" s="11" t="n"/>
      <c r="H355" s="22" t="n"/>
      <c r="I355" s="11" t="n"/>
      <c r="J355" s="22" t="n"/>
      <c r="K355" s="11" t="n"/>
      <c r="L355" t="inlineStr">
        <is>
          <t>Typology drawing R01</t>
        </is>
      </c>
      <c r="M355">
        <f>Config!$B$3&amp;"?room="&amp;A355</f>
        <v/>
      </c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 ht="15" customHeight="1">
      <c r="A356" t="inlineStr">
        <is>
          <t>B-L03-K02-03</t>
        </is>
      </c>
      <c r="B356" t="inlineStr">
        <is>
          <t>Tower B</t>
        </is>
      </c>
      <c r="C356" t="inlineStr">
        <is>
          <t>L03</t>
        </is>
      </c>
      <c r="D356" t="inlineStr">
        <is>
          <t>BL03G79</t>
        </is>
      </c>
      <c r="E356" t="inlineStr">
        <is>
          <t>K02</t>
        </is>
      </c>
      <c r="F356" t="inlineStr">
        <is>
          <t>King</t>
        </is>
      </c>
      <c r="G356" s="11" t="n"/>
      <c r="H356" s="22" t="n"/>
      <c r="I356" s="11" t="n"/>
      <c r="J356" s="22" t="n"/>
      <c r="K356" s="11" t="n"/>
      <c r="L356" t="inlineStr">
        <is>
          <t>Typology drawing R01</t>
        </is>
      </c>
      <c r="M356">
        <f>Config!$B$3&amp;"?room="&amp;A356</f>
        <v/>
      </c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 ht="15" customHeight="1">
      <c r="A357" t="inlineStr">
        <is>
          <t>B-L03-K02A-01</t>
        </is>
      </c>
      <c r="B357" t="inlineStr">
        <is>
          <t>Tower B</t>
        </is>
      </c>
      <c r="C357" t="inlineStr">
        <is>
          <t>L03</t>
        </is>
      </c>
      <c r="D357" t="inlineStr">
        <is>
          <t>BL03G74</t>
        </is>
      </c>
      <c r="E357" t="inlineStr">
        <is>
          <t>K02A</t>
        </is>
      </c>
      <c r="F357" t="inlineStr">
        <is>
          <t>King</t>
        </is>
      </c>
      <c r="G357" s="11" t="n"/>
      <c r="H357" s="22" t="n"/>
      <c r="I357" s="11" t="n"/>
      <c r="J357" s="22" t="n"/>
      <c r="K357" s="11" t="n"/>
      <c r="L357" t="inlineStr">
        <is>
          <t>Typology drawing R01</t>
        </is>
      </c>
      <c r="M357">
        <f>Config!$B$3&amp;"?room="&amp;A357</f>
        <v/>
      </c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 ht="15" customHeight="1">
      <c r="A358" t="inlineStr">
        <is>
          <t>B-L03-K02A-02</t>
        </is>
      </c>
      <c r="B358" t="inlineStr">
        <is>
          <t>Tower B</t>
        </is>
      </c>
      <c r="C358" t="inlineStr">
        <is>
          <t>L03</t>
        </is>
      </c>
      <c r="D358" t="inlineStr">
        <is>
          <t>BL03G82</t>
        </is>
      </c>
      <c r="E358" t="inlineStr">
        <is>
          <t>K02A</t>
        </is>
      </c>
      <c r="F358" t="inlineStr">
        <is>
          <t>King</t>
        </is>
      </c>
      <c r="G358" s="11" t="n"/>
      <c r="H358" s="22" t="n"/>
      <c r="I358" s="11" t="n"/>
      <c r="J358" s="22" t="n"/>
      <c r="K358" s="11" t="n"/>
      <c r="L358" t="inlineStr">
        <is>
          <t>Typology drawing R01</t>
        </is>
      </c>
      <c r="M358">
        <f>Config!$B$3&amp;"?room="&amp;A358</f>
        <v/>
      </c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 ht="15" customHeight="1">
      <c r="A359" t="inlineStr">
        <is>
          <t>B-L03-K02C-01</t>
        </is>
      </c>
      <c r="B359" t="inlineStr">
        <is>
          <t>Tower B</t>
        </is>
      </c>
      <c r="C359" t="inlineStr">
        <is>
          <t>L03</t>
        </is>
      </c>
      <c r="D359" t="inlineStr">
        <is>
          <t>BL03G59</t>
        </is>
      </c>
      <c r="E359" t="inlineStr">
        <is>
          <t>K02C</t>
        </is>
      </c>
      <c r="F359" t="inlineStr">
        <is>
          <t>King</t>
        </is>
      </c>
      <c r="G359" s="11" t="n"/>
      <c r="H359" s="22" t="n"/>
      <c r="I359" s="11" t="n"/>
      <c r="J359" s="22" t="n"/>
      <c r="K359" s="11" t="n"/>
      <c r="L359" t="inlineStr">
        <is>
          <t>Typology drawing R01</t>
        </is>
      </c>
      <c r="M359">
        <f>Config!$B$3&amp;"?room="&amp;A359</f>
        <v/>
      </c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 ht="15" customHeight="1">
      <c r="A360" t="inlineStr">
        <is>
          <t>B-L03-K02C-02</t>
        </is>
      </c>
      <c r="B360" t="inlineStr">
        <is>
          <t>Tower B</t>
        </is>
      </c>
      <c r="C360" t="inlineStr">
        <is>
          <t>L03</t>
        </is>
      </c>
      <c r="D360" t="inlineStr">
        <is>
          <t>BL03G75</t>
        </is>
      </c>
      <c r="E360" t="inlineStr">
        <is>
          <t>K02C</t>
        </is>
      </c>
      <c r="F360" t="inlineStr">
        <is>
          <t>King</t>
        </is>
      </c>
      <c r="G360" s="11" t="n"/>
      <c r="H360" s="22" t="n"/>
      <c r="I360" s="11" t="n"/>
      <c r="J360" s="22" t="n"/>
      <c r="K360" s="11" t="n"/>
      <c r="L360" t="inlineStr">
        <is>
          <t>Typology drawing R01</t>
        </is>
      </c>
      <c r="M360">
        <f>Config!$B$3&amp;"?room="&amp;A360</f>
        <v/>
      </c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 ht="15" customHeight="1">
      <c r="A361" t="inlineStr">
        <is>
          <t>B-L03-K03</t>
        </is>
      </c>
      <c r="B361" t="inlineStr">
        <is>
          <t>Tower B</t>
        </is>
      </c>
      <c r="C361" t="inlineStr">
        <is>
          <t>L03</t>
        </is>
      </c>
      <c r="D361" t="inlineStr">
        <is>
          <t>BL03G89</t>
        </is>
      </c>
      <c r="E361" t="inlineStr">
        <is>
          <t>K03</t>
        </is>
      </c>
      <c r="F361" t="inlineStr">
        <is>
          <t>King</t>
        </is>
      </c>
      <c r="G361" s="11" t="n"/>
      <c r="H361" s="22" t="n"/>
      <c r="I361" s="11" t="n"/>
      <c r="J361" s="22" t="n"/>
      <c r="K361" s="11" t="n"/>
      <c r="L361" t="inlineStr">
        <is>
          <t>Typology drawing R01</t>
        </is>
      </c>
      <c r="M361">
        <f>Config!$B$3&amp;"?room="&amp;A361</f>
        <v/>
      </c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 ht="15" customHeight="1">
      <c r="A362" t="inlineStr">
        <is>
          <t>B-L03-KADA1</t>
        </is>
      </c>
      <c r="B362" t="inlineStr">
        <is>
          <t>Tower B</t>
        </is>
      </c>
      <c r="C362" t="inlineStr">
        <is>
          <t>L03</t>
        </is>
      </c>
      <c r="D362" t="inlineStr">
        <is>
          <t>BL03G60</t>
        </is>
      </c>
      <c r="E362" t="inlineStr">
        <is>
          <t>KADA1</t>
        </is>
      </c>
      <c r="F362" t="inlineStr">
        <is>
          <t>King ADA</t>
        </is>
      </c>
      <c r="G362" s="11" t="n"/>
      <c r="H362" s="22" t="n"/>
      <c r="I362" s="11" t="n"/>
      <c r="J362" s="22" t="n"/>
      <c r="K362" s="11" t="n"/>
      <c r="L362" t="inlineStr">
        <is>
          <t>Typology drawing R01</t>
        </is>
      </c>
      <c r="M362">
        <f>Config!$B$3&amp;"?room="&amp;A362</f>
        <v/>
      </c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 ht="15" customHeight="1">
      <c r="A363" t="inlineStr">
        <is>
          <t>B-L03-Q01C</t>
        </is>
      </c>
      <c r="B363" t="inlineStr">
        <is>
          <t>Tower B</t>
        </is>
      </c>
      <c r="C363" t="inlineStr">
        <is>
          <t>L03</t>
        </is>
      </c>
      <c r="D363" t="inlineStr">
        <is>
          <t>BL03G83</t>
        </is>
      </c>
      <c r="E363" t="inlineStr">
        <is>
          <t>Q01C</t>
        </is>
      </c>
      <c r="F363" t="inlineStr">
        <is>
          <t>Queen</t>
        </is>
      </c>
      <c r="G363" s="11" t="n"/>
      <c r="H363" s="22" t="n"/>
      <c r="I363" s="11" t="n"/>
      <c r="J363" s="22" t="n"/>
      <c r="K363" s="11" t="n"/>
      <c r="L363" t="inlineStr">
        <is>
          <t>Typology drawing R01</t>
        </is>
      </c>
      <c r="M363">
        <f>Config!$B$3&amp;"?room="&amp;A363</f>
        <v/>
      </c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 ht="15" customHeight="1">
      <c r="A364" t="inlineStr">
        <is>
          <t>B-L03-Q01C1-01</t>
        </is>
      </c>
      <c r="B364" t="inlineStr">
        <is>
          <t>Tower B</t>
        </is>
      </c>
      <c r="C364" t="inlineStr">
        <is>
          <t>L03</t>
        </is>
      </c>
      <c r="D364" t="inlineStr">
        <is>
          <t>BL03G64</t>
        </is>
      </c>
      <c r="E364" t="inlineStr">
        <is>
          <t>Q01C1</t>
        </is>
      </c>
      <c r="F364" t="inlineStr">
        <is>
          <t>Queen</t>
        </is>
      </c>
      <c r="G364" s="11" t="n"/>
      <c r="H364" s="22" t="n"/>
      <c r="I364" s="11" t="n"/>
      <c r="J364" s="22" t="n"/>
      <c r="K364" s="11" t="n"/>
      <c r="L364" t="inlineStr">
        <is>
          <t>Typology drawing R01</t>
        </is>
      </c>
      <c r="M364">
        <f>Config!$B$3&amp;"?room="&amp;A364</f>
        <v/>
      </c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 ht="15" customHeight="1">
      <c r="A365" t="inlineStr">
        <is>
          <t>B-L03-Q01C1-02</t>
        </is>
      </c>
      <c r="B365" t="inlineStr">
        <is>
          <t>Tower B</t>
        </is>
      </c>
      <c r="C365" t="inlineStr">
        <is>
          <t>L03</t>
        </is>
      </c>
      <c r="D365" t="inlineStr">
        <is>
          <t>BL03G70</t>
        </is>
      </c>
      <c r="E365" t="inlineStr">
        <is>
          <t>Q01C1</t>
        </is>
      </c>
      <c r="F365" t="inlineStr">
        <is>
          <t>Queen</t>
        </is>
      </c>
      <c r="G365" s="11" t="n"/>
      <c r="H365" s="22" t="n"/>
      <c r="I365" s="11" t="n"/>
      <c r="J365" s="22" t="n"/>
      <c r="K365" s="11" t="n"/>
      <c r="L365" t="inlineStr">
        <is>
          <t>Typology drawing R01</t>
        </is>
      </c>
      <c r="M365">
        <f>Config!$B$3&amp;"?room="&amp;A365</f>
        <v/>
      </c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 ht="15" customHeight="1">
      <c r="A366" t="inlineStr">
        <is>
          <t>B-L03-Q01C1-03</t>
        </is>
      </c>
      <c r="B366" t="inlineStr">
        <is>
          <t>Tower B</t>
        </is>
      </c>
      <c r="C366" t="inlineStr">
        <is>
          <t>L03</t>
        </is>
      </c>
      <c r="D366" t="inlineStr">
        <is>
          <t>BL03G78</t>
        </is>
      </c>
      <c r="E366" t="inlineStr">
        <is>
          <t>Q01C1</t>
        </is>
      </c>
      <c r="F366" t="inlineStr">
        <is>
          <t>Queen</t>
        </is>
      </c>
      <c r="G366" s="11" t="n"/>
      <c r="H366" s="22" t="n"/>
      <c r="I366" s="11" t="n"/>
      <c r="J366" s="22" t="n"/>
      <c r="K366" s="11" t="n"/>
      <c r="L366" t="inlineStr">
        <is>
          <t>Typology drawing R01</t>
        </is>
      </c>
      <c r="M366">
        <f>Config!$B$3&amp;"?room="&amp;A366</f>
        <v/>
      </c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 ht="15" customHeight="1">
      <c r="A367" t="inlineStr">
        <is>
          <t>B-L03-Q02C-01</t>
        </is>
      </c>
      <c r="B367" t="inlineStr">
        <is>
          <t>Tower B</t>
        </is>
      </c>
      <c r="C367" t="inlineStr">
        <is>
          <t>L03</t>
        </is>
      </c>
      <c r="D367" t="inlineStr">
        <is>
          <t>BL03G57</t>
        </is>
      </c>
      <c r="E367" t="inlineStr">
        <is>
          <t>Q02C</t>
        </is>
      </c>
      <c r="F367" t="inlineStr">
        <is>
          <t>Queen</t>
        </is>
      </c>
      <c r="G367" s="11" t="n"/>
      <c r="H367" s="22" t="n"/>
      <c r="I367" s="11" t="n"/>
      <c r="J367" s="22" t="n"/>
      <c r="K367" s="11" t="n"/>
      <c r="L367" t="inlineStr">
        <is>
          <t>Typology drawing R01</t>
        </is>
      </c>
      <c r="M367">
        <f>Config!$B$3&amp;"?room="&amp;A367</f>
        <v/>
      </c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 ht="15" customHeight="1">
      <c r="A368" t="inlineStr">
        <is>
          <t>B-L03-Q02C-02</t>
        </is>
      </c>
      <c r="B368" t="inlineStr">
        <is>
          <t>Tower B</t>
        </is>
      </c>
      <c r="C368" t="inlineStr">
        <is>
          <t>L03</t>
        </is>
      </c>
      <c r="D368" t="inlineStr">
        <is>
          <t>BL03G73</t>
        </is>
      </c>
      <c r="E368" t="inlineStr">
        <is>
          <t>Q02C</t>
        </is>
      </c>
      <c r="F368" t="inlineStr">
        <is>
          <t>Queen</t>
        </is>
      </c>
      <c r="G368" s="11" t="n"/>
      <c r="H368" s="22" t="n"/>
      <c r="I368" s="11" t="n"/>
      <c r="J368" s="22" t="n"/>
      <c r="K368" s="11" t="n"/>
      <c r="L368" t="inlineStr">
        <is>
          <t>Typology drawing R01</t>
        </is>
      </c>
      <c r="M368">
        <f>Config!$B$3&amp;"?room="&amp;A368</f>
        <v/>
      </c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 ht="15" customHeight="1">
      <c r="A369" t="inlineStr">
        <is>
          <t>B-L03-Q02C-03</t>
        </is>
      </c>
      <c r="B369" t="inlineStr">
        <is>
          <t>Tower B</t>
        </is>
      </c>
      <c r="C369" t="inlineStr">
        <is>
          <t>L03</t>
        </is>
      </c>
      <c r="D369" t="inlineStr">
        <is>
          <t>BL03G87</t>
        </is>
      </c>
      <c r="E369" t="inlineStr">
        <is>
          <t>Q02C</t>
        </is>
      </c>
      <c r="F369" t="inlineStr">
        <is>
          <t>Queen</t>
        </is>
      </c>
      <c r="G369" s="11" t="n"/>
      <c r="H369" s="22" t="n"/>
      <c r="I369" s="11" t="n"/>
      <c r="J369" s="22" t="n"/>
      <c r="K369" s="11" t="n"/>
      <c r="L369" t="inlineStr">
        <is>
          <t>Typology drawing R01</t>
        </is>
      </c>
      <c r="M369">
        <f>Config!$B$3&amp;"?room="&amp;A369</f>
        <v/>
      </c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 ht="15" customHeight="1">
      <c r="A370" t="inlineStr">
        <is>
          <t>B-L03-Q02C1</t>
        </is>
      </c>
      <c r="B370" t="inlineStr">
        <is>
          <t>Tower B</t>
        </is>
      </c>
      <c r="C370" t="inlineStr">
        <is>
          <t>L03</t>
        </is>
      </c>
      <c r="D370" t="inlineStr">
        <is>
          <t>BL03G62</t>
        </is>
      </c>
      <c r="E370" t="inlineStr">
        <is>
          <t>Q02C1</t>
        </is>
      </c>
      <c r="F370" t="inlineStr">
        <is>
          <t>Queen</t>
        </is>
      </c>
      <c r="G370" s="11" t="n"/>
      <c r="H370" s="22" t="n"/>
      <c r="I370" s="11" t="n"/>
      <c r="J370" s="22" t="n"/>
      <c r="K370" s="11" t="n"/>
      <c r="L370" t="inlineStr">
        <is>
          <t>Typology drawing R01</t>
        </is>
      </c>
      <c r="M370">
        <f>Config!$B$3&amp;"?room="&amp;A370</f>
        <v/>
      </c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 ht="15" customHeight="1">
      <c r="A371" t="inlineStr">
        <is>
          <t>B-L03-Q02D</t>
        </is>
      </c>
      <c r="B371" t="inlineStr">
        <is>
          <t>Tower B</t>
        </is>
      </c>
      <c r="C371" t="inlineStr">
        <is>
          <t>L03</t>
        </is>
      </c>
      <c r="D371" t="inlineStr">
        <is>
          <t>BL03G85</t>
        </is>
      </c>
      <c r="E371" t="inlineStr">
        <is>
          <t>Q02D</t>
        </is>
      </c>
      <c r="F371" t="inlineStr">
        <is>
          <t>Queen</t>
        </is>
      </c>
      <c r="G371" s="11" t="n"/>
      <c r="H371" s="22" t="n"/>
      <c r="I371" s="11" t="n"/>
      <c r="J371" s="22" t="n"/>
      <c r="K371" s="11" t="n"/>
      <c r="L371" t="inlineStr">
        <is>
          <t>Typology drawing R01</t>
        </is>
      </c>
      <c r="M371">
        <f>Config!$B$3&amp;"?room="&amp;A371</f>
        <v/>
      </c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 ht="15" customHeight="1">
      <c r="A372" t="inlineStr">
        <is>
          <t>B-L03-Q04</t>
        </is>
      </c>
      <c r="B372" t="inlineStr">
        <is>
          <t>Tower B</t>
        </is>
      </c>
      <c r="C372" t="inlineStr">
        <is>
          <t>L03</t>
        </is>
      </c>
      <c r="D372" t="inlineStr">
        <is>
          <t>BL03G69</t>
        </is>
      </c>
      <c r="E372" t="inlineStr">
        <is>
          <t>Q04</t>
        </is>
      </c>
      <c r="F372" t="inlineStr">
        <is>
          <t>Queen</t>
        </is>
      </c>
      <c r="G372" s="11" t="n"/>
      <c r="H372" s="22" t="n"/>
      <c r="I372" s="11" t="n"/>
      <c r="J372" s="22" t="n"/>
      <c r="K372" s="11" t="n"/>
      <c r="L372" t="inlineStr">
        <is>
          <t>Typology drawing R01</t>
        </is>
      </c>
      <c r="M372">
        <f>Config!$B$3&amp;"?room="&amp;A372</f>
        <v/>
      </c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 ht="15" customHeight="1">
      <c r="A373" t="inlineStr">
        <is>
          <t>B-L03-Q05</t>
        </is>
      </c>
      <c r="B373" t="inlineStr">
        <is>
          <t>Tower B</t>
        </is>
      </c>
      <c r="C373" t="inlineStr">
        <is>
          <t>L03</t>
        </is>
      </c>
      <c r="D373" t="inlineStr">
        <is>
          <t>BL03G51</t>
        </is>
      </c>
      <c r="E373" t="inlineStr">
        <is>
          <t>Q05</t>
        </is>
      </c>
      <c r="F373" t="inlineStr">
        <is>
          <t>Queen</t>
        </is>
      </c>
      <c r="G373" s="11" t="n"/>
      <c r="H373" s="22" t="n"/>
      <c r="I373" s="11" t="n"/>
      <c r="J373" s="22" t="n"/>
      <c r="K373" s="11" t="n"/>
      <c r="L373" t="inlineStr">
        <is>
          <t>Typology drawing R01</t>
        </is>
      </c>
      <c r="M373">
        <f>Config!$B$3&amp;"?room="&amp;A373</f>
        <v/>
      </c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 ht="15" customHeight="1">
      <c r="A374" t="inlineStr">
        <is>
          <t>B-L03-Q06</t>
        </is>
      </c>
      <c r="B374" t="inlineStr">
        <is>
          <t>Tower B</t>
        </is>
      </c>
      <c r="C374" t="inlineStr">
        <is>
          <t>L03</t>
        </is>
      </c>
      <c r="D374" t="inlineStr">
        <is>
          <t>BL03G86</t>
        </is>
      </c>
      <c r="E374" t="inlineStr">
        <is>
          <t>Q06</t>
        </is>
      </c>
      <c r="F374" t="inlineStr">
        <is>
          <t>Queen</t>
        </is>
      </c>
      <c r="G374" s="11" t="n"/>
      <c r="H374" s="22" t="n"/>
      <c r="I374" s="11" t="n"/>
      <c r="J374" s="22" t="n"/>
      <c r="K374" s="11" t="n"/>
      <c r="L374" t="inlineStr">
        <is>
          <t>Typology drawing R01</t>
        </is>
      </c>
      <c r="M374">
        <f>Config!$B$3&amp;"?room="&amp;A374</f>
        <v/>
      </c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 ht="15" customHeight="1">
      <c r="A375" t="inlineStr">
        <is>
          <t>B-L03-S03</t>
        </is>
      </c>
      <c r="B375" t="inlineStr">
        <is>
          <t>Tower B</t>
        </is>
      </c>
      <c r="C375" t="inlineStr">
        <is>
          <t>L03</t>
        </is>
      </c>
      <c r="D375" t="inlineStr">
        <is>
          <t>BL03G66</t>
        </is>
      </c>
      <c r="E375" t="inlineStr">
        <is>
          <t>S03</t>
        </is>
      </c>
      <c r="F375" t="inlineStr">
        <is>
          <t>Suite</t>
        </is>
      </c>
      <c r="G375" s="11" t="n"/>
      <c r="H375" s="22" t="n"/>
      <c r="I375" s="11" t="n"/>
      <c r="J375" s="22" t="n"/>
      <c r="K375" s="11" t="n"/>
      <c r="L375" t="inlineStr">
        <is>
          <t>Typology drawing R01</t>
        </is>
      </c>
      <c r="M375">
        <f>Config!$B$3&amp;"?room="&amp;A375</f>
        <v/>
      </c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 ht="15" customHeight="1">
      <c r="A376" t="inlineStr">
        <is>
          <t>B-L03-S07</t>
        </is>
      </c>
      <c r="B376" t="inlineStr">
        <is>
          <t>Tower B</t>
        </is>
      </c>
      <c r="C376" t="inlineStr">
        <is>
          <t>L03</t>
        </is>
      </c>
      <c r="D376" t="inlineStr">
        <is>
          <t>BL03G49</t>
        </is>
      </c>
      <c r="E376" t="inlineStr">
        <is>
          <t>S07</t>
        </is>
      </c>
      <c r="F376" t="inlineStr">
        <is>
          <t>Suite</t>
        </is>
      </c>
      <c r="G376" s="11" t="n"/>
      <c r="H376" s="22" t="n"/>
      <c r="I376" s="11" t="n"/>
      <c r="J376" s="22" t="n"/>
      <c r="K376" s="11" t="n"/>
      <c r="L376" t="inlineStr">
        <is>
          <t>Typology drawing R01</t>
        </is>
      </c>
      <c r="M376">
        <f>Config!$B$3&amp;"?room="&amp;A376</f>
        <v/>
      </c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 ht="15" customHeight="1">
      <c r="A377" t="inlineStr">
        <is>
          <t>B-L04-F02</t>
        </is>
      </c>
      <c r="B377" t="inlineStr">
        <is>
          <t>Tower B</t>
        </is>
      </c>
      <c r="C377" t="inlineStr">
        <is>
          <t>L04</t>
        </is>
      </c>
      <c r="D377" t="inlineStr">
        <is>
          <t>BL04G90</t>
        </is>
      </c>
      <c r="E377" t="inlineStr">
        <is>
          <t>F02</t>
        </is>
      </c>
      <c r="F377" t="inlineStr">
        <is>
          <t>Family</t>
        </is>
      </c>
      <c r="G377" s="11" t="n"/>
      <c r="H377" s="22" t="n"/>
      <c r="I377" s="11" t="n"/>
      <c r="J377" s="22" t="n"/>
      <c r="K377" s="11" t="n"/>
      <c r="L377" t="inlineStr">
        <is>
          <t>Typology drawing R01</t>
        </is>
      </c>
      <c r="M377">
        <f>Config!$B$3&amp;"?room="&amp;A377</f>
        <v/>
      </c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 ht="15" customHeight="1">
      <c r="A378" t="inlineStr">
        <is>
          <t>B-L04-F06</t>
        </is>
      </c>
      <c r="B378" t="inlineStr">
        <is>
          <t>Tower B</t>
        </is>
      </c>
      <c r="C378" t="inlineStr">
        <is>
          <t>L04</t>
        </is>
      </c>
      <c r="D378" t="inlineStr">
        <is>
          <t>BL04G63</t>
        </is>
      </c>
      <c r="E378" t="inlineStr">
        <is>
          <t>F06</t>
        </is>
      </c>
      <c r="F378" t="inlineStr">
        <is>
          <t>Family</t>
        </is>
      </c>
      <c r="G378" s="11" t="n"/>
      <c r="H378" s="22" t="n"/>
      <c r="I378" s="11" t="n"/>
      <c r="J378" s="22" t="n"/>
      <c r="K378" s="11" t="n"/>
      <c r="L378" t="inlineStr">
        <is>
          <t>Typology drawing R01</t>
        </is>
      </c>
      <c r="M378">
        <f>Config!$B$3&amp;"?room="&amp;A378</f>
        <v/>
      </c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 ht="15" customHeight="1">
      <c r="A379" t="inlineStr">
        <is>
          <t>B-L04-K01-01</t>
        </is>
      </c>
      <c r="B379" t="inlineStr">
        <is>
          <t>Tower B</t>
        </is>
      </c>
      <c r="C379" t="inlineStr">
        <is>
          <t>L04</t>
        </is>
      </c>
      <c r="D379" t="inlineStr">
        <is>
          <t>BL04G53</t>
        </is>
      </c>
      <c r="E379" t="inlineStr">
        <is>
          <t>K01</t>
        </is>
      </c>
      <c r="F379" t="inlineStr">
        <is>
          <t>King</t>
        </is>
      </c>
      <c r="G379" s="11" t="n"/>
      <c r="H379" s="22" t="n"/>
      <c r="I379" s="11" t="n"/>
      <c r="J379" s="22" t="n"/>
      <c r="K379" s="11" t="n"/>
      <c r="L379" t="inlineStr">
        <is>
          <t>Typology drawing R01</t>
        </is>
      </c>
      <c r="M379">
        <f>Config!$B$3&amp;"?room="&amp;A379</f>
        <v/>
      </c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 ht="15" customHeight="1">
      <c r="A380" t="inlineStr">
        <is>
          <t>B-L04-K01-02</t>
        </is>
      </c>
      <c r="B380" t="inlineStr">
        <is>
          <t>Tower B</t>
        </is>
      </c>
      <c r="C380" t="inlineStr">
        <is>
          <t>L04</t>
        </is>
      </c>
      <c r="D380" t="inlineStr">
        <is>
          <t>BL04G77</t>
        </is>
      </c>
      <c r="E380" t="inlineStr">
        <is>
          <t>K01</t>
        </is>
      </c>
      <c r="F380" t="inlineStr">
        <is>
          <t>King</t>
        </is>
      </c>
      <c r="G380" s="11" t="n"/>
      <c r="H380" s="22" t="n"/>
      <c r="I380" s="11" t="n"/>
      <c r="J380" s="22" t="n"/>
      <c r="K380" s="11" t="n"/>
      <c r="L380" t="inlineStr">
        <is>
          <t>Typology drawing R01</t>
        </is>
      </c>
      <c r="M380">
        <f>Config!$B$3&amp;"?room="&amp;A380</f>
        <v/>
      </c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 ht="15" customHeight="1">
      <c r="A381" t="inlineStr">
        <is>
          <t>B-L04-K01A-01</t>
        </is>
      </c>
      <c r="B381" t="inlineStr">
        <is>
          <t>Tower B</t>
        </is>
      </c>
      <c r="C381" t="inlineStr">
        <is>
          <t>L04</t>
        </is>
      </c>
      <c r="D381" t="inlineStr">
        <is>
          <t>BL04G58</t>
        </is>
      </c>
      <c r="E381" t="inlineStr">
        <is>
          <t>K01A</t>
        </is>
      </c>
      <c r="F381" t="inlineStr">
        <is>
          <t>King</t>
        </is>
      </c>
      <c r="G381" s="11" t="n"/>
      <c r="H381" s="22" t="n"/>
      <c r="I381" s="11" t="n"/>
      <c r="J381" s="22" t="n"/>
      <c r="K381" s="11" t="n"/>
      <c r="L381" t="inlineStr">
        <is>
          <t>Typology drawing R01</t>
        </is>
      </c>
      <c r="M381">
        <f>Config!$B$3&amp;"?room="&amp;A381</f>
        <v/>
      </c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 ht="15" customHeight="1">
      <c r="A382" t="inlineStr">
        <is>
          <t>B-L04-K01A-02</t>
        </is>
      </c>
      <c r="B382" t="inlineStr">
        <is>
          <t>Tower B</t>
        </is>
      </c>
      <c r="C382" t="inlineStr">
        <is>
          <t>L04</t>
        </is>
      </c>
      <c r="D382" t="inlineStr">
        <is>
          <t>BL04G76</t>
        </is>
      </c>
      <c r="E382" t="inlineStr">
        <is>
          <t>K01A</t>
        </is>
      </c>
      <c r="F382" t="inlineStr">
        <is>
          <t>King</t>
        </is>
      </c>
      <c r="G382" s="11" t="n"/>
      <c r="H382" s="22" t="n"/>
      <c r="I382" s="11" t="n"/>
      <c r="J382" s="22" t="n"/>
      <c r="K382" s="11" t="n"/>
      <c r="L382" t="inlineStr">
        <is>
          <t>Typology drawing R01</t>
        </is>
      </c>
      <c r="M382">
        <f>Config!$B$3&amp;"?room="&amp;A382</f>
        <v/>
      </c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 ht="15" customHeight="1">
      <c r="A383" t="inlineStr">
        <is>
          <t>B-L04-K01A-03</t>
        </is>
      </c>
      <c r="B383" t="inlineStr">
        <is>
          <t>Tower B</t>
        </is>
      </c>
      <c r="C383" t="inlineStr">
        <is>
          <t>L04</t>
        </is>
      </c>
      <c r="D383" t="inlineStr">
        <is>
          <t>BL04G84</t>
        </is>
      </c>
      <c r="E383" t="inlineStr">
        <is>
          <t>K01A</t>
        </is>
      </c>
      <c r="F383" t="inlineStr">
        <is>
          <t>King</t>
        </is>
      </c>
      <c r="G383" s="11" t="n"/>
      <c r="H383" s="22" t="n"/>
      <c r="I383" s="11" t="n"/>
      <c r="J383" s="22" t="n"/>
      <c r="K383" s="11" t="n"/>
      <c r="L383" t="inlineStr">
        <is>
          <t>Typology drawing R01</t>
        </is>
      </c>
      <c r="M383">
        <f>Config!$B$3&amp;"?room="&amp;A383</f>
        <v/>
      </c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 ht="15" customHeight="1">
      <c r="A384" t="inlineStr">
        <is>
          <t>B-L04-K01C</t>
        </is>
      </c>
      <c r="B384" t="inlineStr">
        <is>
          <t>Tower B</t>
        </is>
      </c>
      <c r="C384" t="inlineStr">
        <is>
          <t>L04</t>
        </is>
      </c>
      <c r="D384" t="inlineStr">
        <is>
          <t>BL04G81</t>
        </is>
      </c>
      <c r="E384" t="inlineStr">
        <is>
          <t>K01C</t>
        </is>
      </c>
      <c r="F384" t="inlineStr">
        <is>
          <t>King</t>
        </is>
      </c>
      <c r="G384" s="11" t="n"/>
      <c r="H384" s="22" t="n"/>
      <c r="I384" s="11" t="n"/>
      <c r="J384" s="22" t="n"/>
      <c r="K384" s="11" t="n"/>
      <c r="L384" t="inlineStr">
        <is>
          <t>Typology drawing R01</t>
        </is>
      </c>
      <c r="M384">
        <f>Config!$B$3&amp;"?room="&amp;A384</f>
        <v/>
      </c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 ht="15" customHeight="1">
      <c r="A385" t="inlineStr">
        <is>
          <t>B-L04-K01C1-01</t>
        </is>
      </c>
      <c r="B385" t="inlineStr">
        <is>
          <t>Tower B</t>
        </is>
      </c>
      <c r="C385" t="inlineStr">
        <is>
          <t>L04</t>
        </is>
      </c>
      <c r="D385" t="inlineStr">
        <is>
          <t>BL04G72</t>
        </is>
      </c>
      <c r="E385" t="inlineStr">
        <is>
          <t>K01C1</t>
        </is>
      </c>
      <c r="F385" t="inlineStr">
        <is>
          <t>King</t>
        </is>
      </c>
      <c r="G385" s="11" t="n"/>
      <c r="H385" s="22" t="n"/>
      <c r="I385" s="11" t="n"/>
      <c r="J385" s="22" t="n"/>
      <c r="K385" s="11" t="n"/>
      <c r="L385" t="inlineStr">
        <is>
          <t>Typology drawing R01</t>
        </is>
      </c>
      <c r="M385">
        <f>Config!$B$3&amp;"?room="&amp;A385</f>
        <v/>
      </c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 ht="15" customHeight="1">
      <c r="A386" t="inlineStr">
        <is>
          <t>B-L04-K01C1-02</t>
        </is>
      </c>
      <c r="B386" t="inlineStr">
        <is>
          <t>Tower B</t>
        </is>
      </c>
      <c r="C386" t="inlineStr">
        <is>
          <t>L04</t>
        </is>
      </c>
      <c r="D386" t="inlineStr">
        <is>
          <t>BL04G80</t>
        </is>
      </c>
      <c r="E386" t="inlineStr">
        <is>
          <t>K01C1</t>
        </is>
      </c>
      <c r="F386" t="inlineStr">
        <is>
          <t>King</t>
        </is>
      </c>
      <c r="G386" s="11" t="n"/>
      <c r="H386" s="22" t="n"/>
      <c r="I386" s="11" t="n"/>
      <c r="J386" s="22" t="n"/>
      <c r="K386" s="11" t="n"/>
      <c r="L386" t="inlineStr">
        <is>
          <t>Typology drawing R01</t>
        </is>
      </c>
      <c r="M386">
        <f>Config!$B$3&amp;"?room="&amp;A386</f>
        <v/>
      </c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 ht="15" customHeight="1">
      <c r="A387" t="inlineStr">
        <is>
          <t>B-L04-K01D</t>
        </is>
      </c>
      <c r="B387" t="inlineStr">
        <is>
          <t>Tower B</t>
        </is>
      </c>
      <c r="C387" t="inlineStr">
        <is>
          <t>L04</t>
        </is>
      </c>
      <c r="D387" t="inlineStr">
        <is>
          <t>BL04G61</t>
        </is>
      </c>
      <c r="E387" t="inlineStr">
        <is>
          <t>K01D</t>
        </is>
      </c>
      <c r="F387" t="inlineStr">
        <is>
          <t>King</t>
        </is>
      </c>
      <c r="G387" s="11" t="n"/>
      <c r="H387" s="22" t="n"/>
      <c r="I387" s="11" t="n"/>
      <c r="J387" s="22" t="n"/>
      <c r="K387" s="11" t="n"/>
      <c r="L387" t="inlineStr">
        <is>
          <t>Typology drawing R01</t>
        </is>
      </c>
      <c r="M387">
        <f>Config!$B$3&amp;"?room="&amp;A387</f>
        <v/>
      </c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 ht="15" customHeight="1">
      <c r="A388" t="inlineStr">
        <is>
          <t>B-L04-K02-01</t>
        </is>
      </c>
      <c r="B388" t="inlineStr">
        <is>
          <t>Tower B</t>
        </is>
      </c>
      <c r="C388" t="inlineStr">
        <is>
          <t>L04</t>
        </is>
      </c>
      <c r="D388" t="inlineStr">
        <is>
          <t>BL04G55</t>
        </is>
      </c>
      <c r="E388" t="inlineStr">
        <is>
          <t>K02</t>
        </is>
      </c>
      <c r="F388" t="inlineStr">
        <is>
          <t>King</t>
        </is>
      </c>
      <c r="G388" s="11" t="n"/>
      <c r="H388" s="22" t="n"/>
      <c r="I388" s="11" t="n"/>
      <c r="J388" s="22" t="n"/>
      <c r="K388" s="11" t="n"/>
      <c r="L388" t="inlineStr">
        <is>
          <t>Typology drawing R01</t>
        </is>
      </c>
      <c r="M388">
        <f>Config!$B$3&amp;"?room="&amp;A388</f>
        <v/>
      </c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 ht="15" customHeight="1">
      <c r="A389" t="inlineStr">
        <is>
          <t>B-L04-K02-02</t>
        </is>
      </c>
      <c r="B389" t="inlineStr">
        <is>
          <t>Tower B</t>
        </is>
      </c>
      <c r="C389" t="inlineStr">
        <is>
          <t>L04</t>
        </is>
      </c>
      <c r="D389" t="inlineStr">
        <is>
          <t>BL04G71</t>
        </is>
      </c>
      <c r="E389" t="inlineStr">
        <is>
          <t>K02</t>
        </is>
      </c>
      <c r="F389" t="inlineStr">
        <is>
          <t>King</t>
        </is>
      </c>
      <c r="G389" s="11" t="n"/>
      <c r="H389" s="22" t="n"/>
      <c r="I389" s="11" t="n"/>
      <c r="J389" s="22" t="n"/>
      <c r="K389" s="11" t="n"/>
      <c r="L389" t="inlineStr">
        <is>
          <t>Typology drawing R01</t>
        </is>
      </c>
      <c r="M389">
        <f>Config!$B$3&amp;"?room="&amp;A389</f>
        <v/>
      </c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 ht="15" customHeight="1">
      <c r="A390" t="inlineStr">
        <is>
          <t>B-L04-K02-03</t>
        </is>
      </c>
      <c r="B390" t="inlineStr">
        <is>
          <t>Tower B</t>
        </is>
      </c>
      <c r="C390" t="inlineStr">
        <is>
          <t>L04</t>
        </is>
      </c>
      <c r="D390" t="inlineStr">
        <is>
          <t>BL04G79</t>
        </is>
      </c>
      <c r="E390" t="inlineStr">
        <is>
          <t>K02</t>
        </is>
      </c>
      <c r="F390" t="inlineStr">
        <is>
          <t>King</t>
        </is>
      </c>
      <c r="G390" s="11" t="n"/>
      <c r="H390" s="22" t="n"/>
      <c r="I390" s="11" t="n"/>
      <c r="J390" s="22" t="n"/>
      <c r="K390" s="11" t="n"/>
      <c r="L390" t="inlineStr">
        <is>
          <t>Typology drawing R01</t>
        </is>
      </c>
      <c r="M390">
        <f>Config!$B$3&amp;"?room="&amp;A390</f>
        <v/>
      </c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 ht="15" customHeight="1">
      <c r="A391" t="inlineStr">
        <is>
          <t>B-L04-K02A-01</t>
        </is>
      </c>
      <c r="B391" t="inlineStr">
        <is>
          <t>Tower B</t>
        </is>
      </c>
      <c r="C391" t="inlineStr">
        <is>
          <t>L04</t>
        </is>
      </c>
      <c r="D391" t="inlineStr">
        <is>
          <t>BL04G74</t>
        </is>
      </c>
      <c r="E391" t="inlineStr">
        <is>
          <t>K02A</t>
        </is>
      </c>
      <c r="F391" t="inlineStr">
        <is>
          <t>King</t>
        </is>
      </c>
      <c r="G391" s="11" t="n"/>
      <c r="H391" s="22" t="n"/>
      <c r="I391" s="11" t="n"/>
      <c r="J391" s="22" t="n"/>
      <c r="K391" s="11" t="n"/>
      <c r="L391" t="inlineStr">
        <is>
          <t>Typology drawing R01</t>
        </is>
      </c>
      <c r="M391">
        <f>Config!$B$3&amp;"?room="&amp;A391</f>
        <v/>
      </c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 ht="15" customHeight="1">
      <c r="A392" t="inlineStr">
        <is>
          <t>B-L04-K02A-02</t>
        </is>
      </c>
      <c r="B392" t="inlineStr">
        <is>
          <t>Tower B</t>
        </is>
      </c>
      <c r="C392" t="inlineStr">
        <is>
          <t>L04</t>
        </is>
      </c>
      <c r="D392" t="inlineStr">
        <is>
          <t>BL04G82</t>
        </is>
      </c>
      <c r="E392" t="inlineStr">
        <is>
          <t>K02A</t>
        </is>
      </c>
      <c r="F392" t="inlineStr">
        <is>
          <t>King</t>
        </is>
      </c>
      <c r="G392" s="11" t="n"/>
      <c r="H392" s="22" t="n"/>
      <c r="I392" s="11" t="n"/>
      <c r="J392" s="22" t="n"/>
      <c r="K392" s="11" t="n"/>
      <c r="L392" t="inlineStr">
        <is>
          <t>Typology drawing R01</t>
        </is>
      </c>
      <c r="M392">
        <f>Config!$B$3&amp;"?room="&amp;A392</f>
        <v/>
      </c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 ht="15" customHeight="1">
      <c r="A393" t="inlineStr">
        <is>
          <t>B-L04-K02C-01</t>
        </is>
      </c>
      <c r="B393" t="inlineStr">
        <is>
          <t>Tower B</t>
        </is>
      </c>
      <c r="C393" t="inlineStr">
        <is>
          <t>L04</t>
        </is>
      </c>
      <c r="D393" t="inlineStr">
        <is>
          <t>BL04G59</t>
        </is>
      </c>
      <c r="E393" t="inlineStr">
        <is>
          <t>K02C</t>
        </is>
      </c>
      <c r="F393" t="inlineStr">
        <is>
          <t>King</t>
        </is>
      </c>
      <c r="G393" s="11" t="n"/>
      <c r="H393" s="22" t="n"/>
      <c r="I393" s="11" t="n"/>
      <c r="J393" s="22" t="n"/>
      <c r="K393" s="11" t="n"/>
      <c r="L393" t="inlineStr">
        <is>
          <t>Typology drawing R01</t>
        </is>
      </c>
      <c r="M393">
        <f>Config!$B$3&amp;"?room="&amp;A393</f>
        <v/>
      </c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 ht="15" customHeight="1">
      <c r="A394" t="inlineStr">
        <is>
          <t>B-L04-K02C-02</t>
        </is>
      </c>
      <c r="B394" t="inlineStr">
        <is>
          <t>Tower B</t>
        </is>
      </c>
      <c r="C394" t="inlineStr">
        <is>
          <t>L04</t>
        </is>
      </c>
      <c r="D394" t="inlineStr">
        <is>
          <t>BL04G75</t>
        </is>
      </c>
      <c r="E394" t="inlineStr">
        <is>
          <t>K02C</t>
        </is>
      </c>
      <c r="F394" t="inlineStr">
        <is>
          <t>King</t>
        </is>
      </c>
      <c r="G394" s="11" t="n"/>
      <c r="H394" s="22" t="n"/>
      <c r="I394" s="11" t="n"/>
      <c r="J394" s="22" t="n"/>
      <c r="K394" s="11" t="n"/>
      <c r="L394" t="inlineStr">
        <is>
          <t>Typology drawing R01</t>
        </is>
      </c>
      <c r="M394">
        <f>Config!$B$3&amp;"?room="&amp;A394</f>
        <v/>
      </c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 ht="15" customHeight="1">
      <c r="A395" t="inlineStr">
        <is>
          <t>B-L04-K03</t>
        </is>
      </c>
      <c r="B395" t="inlineStr">
        <is>
          <t>Tower B</t>
        </is>
      </c>
      <c r="C395" t="inlineStr">
        <is>
          <t>L04</t>
        </is>
      </c>
      <c r="D395" t="inlineStr">
        <is>
          <t>BL04G89</t>
        </is>
      </c>
      <c r="E395" t="inlineStr">
        <is>
          <t>K03</t>
        </is>
      </c>
      <c r="F395" t="inlineStr">
        <is>
          <t>King</t>
        </is>
      </c>
      <c r="G395" s="11" t="n"/>
      <c r="H395" s="22" t="n"/>
      <c r="I395" s="11" t="n"/>
      <c r="J395" s="22" t="n"/>
      <c r="K395" s="11" t="n"/>
      <c r="L395" t="inlineStr">
        <is>
          <t>Typology drawing R01</t>
        </is>
      </c>
      <c r="M395">
        <f>Config!$B$3&amp;"?room="&amp;A395</f>
        <v/>
      </c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 ht="15" customHeight="1">
      <c r="A396" t="inlineStr">
        <is>
          <t>B-L04-KADA2</t>
        </is>
      </c>
      <c r="B396" t="inlineStr">
        <is>
          <t>Tower B</t>
        </is>
      </c>
      <c r="C396" t="inlineStr">
        <is>
          <t>L04</t>
        </is>
      </c>
      <c r="D396" t="inlineStr">
        <is>
          <t>BL04G60</t>
        </is>
      </c>
      <c r="E396" t="inlineStr">
        <is>
          <t>KADA2</t>
        </is>
      </c>
      <c r="F396" t="inlineStr">
        <is>
          <t>King ADA</t>
        </is>
      </c>
      <c r="G396" s="11" t="n"/>
      <c r="H396" s="22" t="n"/>
      <c r="I396" s="11" t="n"/>
      <c r="J396" s="22" t="n"/>
      <c r="K396" s="11" t="n"/>
      <c r="L396" t="inlineStr">
        <is>
          <t>Typology drawing R01</t>
        </is>
      </c>
      <c r="M396">
        <f>Config!$B$3&amp;"?room="&amp;A396</f>
        <v/>
      </c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 ht="15" customHeight="1">
      <c r="A397" t="inlineStr">
        <is>
          <t>B-L04-Q01C</t>
        </is>
      </c>
      <c r="B397" t="inlineStr">
        <is>
          <t>Tower B</t>
        </is>
      </c>
      <c r="C397" t="inlineStr">
        <is>
          <t>L04</t>
        </is>
      </c>
      <c r="D397" t="inlineStr">
        <is>
          <t>BL04G83</t>
        </is>
      </c>
      <c r="E397" t="inlineStr">
        <is>
          <t>Q01C</t>
        </is>
      </c>
      <c r="F397" t="inlineStr">
        <is>
          <t>Queen</t>
        </is>
      </c>
      <c r="G397" s="11" t="n"/>
      <c r="H397" s="22" t="n"/>
      <c r="I397" s="11" t="n"/>
      <c r="J397" s="22" t="n"/>
      <c r="K397" s="11" t="n"/>
      <c r="L397" t="inlineStr">
        <is>
          <t>Typology drawing R01</t>
        </is>
      </c>
      <c r="M397">
        <f>Config!$B$3&amp;"?room="&amp;A397</f>
        <v/>
      </c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 ht="15" customHeight="1">
      <c r="A398" t="inlineStr">
        <is>
          <t>B-L04-Q01C1-01</t>
        </is>
      </c>
      <c r="B398" t="inlineStr">
        <is>
          <t>Tower B</t>
        </is>
      </c>
      <c r="C398" t="inlineStr">
        <is>
          <t>L04</t>
        </is>
      </c>
      <c r="D398" t="inlineStr">
        <is>
          <t>BL04G64</t>
        </is>
      </c>
      <c r="E398" t="inlineStr">
        <is>
          <t>Q01C1</t>
        </is>
      </c>
      <c r="F398" t="inlineStr">
        <is>
          <t>Queen</t>
        </is>
      </c>
      <c r="G398" s="11" t="n"/>
      <c r="H398" s="22" t="n"/>
      <c r="I398" s="11" t="n"/>
      <c r="J398" s="22" t="n"/>
      <c r="K398" s="11" t="n"/>
      <c r="L398" t="inlineStr">
        <is>
          <t>Typology drawing R01</t>
        </is>
      </c>
      <c r="M398">
        <f>Config!$B$3&amp;"?room="&amp;A398</f>
        <v/>
      </c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 ht="15" customHeight="1">
      <c r="A399" t="inlineStr">
        <is>
          <t>B-L04-Q01C1-02</t>
        </is>
      </c>
      <c r="B399" t="inlineStr">
        <is>
          <t>Tower B</t>
        </is>
      </c>
      <c r="C399" t="inlineStr">
        <is>
          <t>L04</t>
        </is>
      </c>
      <c r="D399" t="inlineStr">
        <is>
          <t>BL04G70</t>
        </is>
      </c>
      <c r="E399" t="inlineStr">
        <is>
          <t>Q01C1</t>
        </is>
      </c>
      <c r="F399" t="inlineStr">
        <is>
          <t>Queen</t>
        </is>
      </c>
      <c r="G399" s="11" t="n"/>
      <c r="H399" s="22" t="n"/>
      <c r="I399" s="11" t="n"/>
      <c r="J399" s="22" t="n"/>
      <c r="K399" s="11" t="n"/>
      <c r="L399" t="inlineStr">
        <is>
          <t>Typology drawing R01</t>
        </is>
      </c>
      <c r="M399">
        <f>Config!$B$3&amp;"?room="&amp;A399</f>
        <v/>
      </c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 ht="15" customHeight="1">
      <c r="A400" t="inlineStr">
        <is>
          <t>B-L04-Q01C1-03</t>
        </is>
      </c>
      <c r="B400" t="inlineStr">
        <is>
          <t>Tower B</t>
        </is>
      </c>
      <c r="C400" t="inlineStr">
        <is>
          <t>L04</t>
        </is>
      </c>
      <c r="D400" t="inlineStr">
        <is>
          <t>BL04G78</t>
        </is>
      </c>
      <c r="E400" t="inlineStr">
        <is>
          <t>Q01C1</t>
        </is>
      </c>
      <c r="F400" t="inlineStr">
        <is>
          <t>Queen</t>
        </is>
      </c>
      <c r="G400" s="11" t="n"/>
      <c r="H400" s="22" t="n"/>
      <c r="I400" s="11" t="n"/>
      <c r="J400" s="22" t="n"/>
      <c r="K400" s="11" t="n"/>
      <c r="L400" t="inlineStr">
        <is>
          <t>Typology drawing R01</t>
        </is>
      </c>
      <c r="M400">
        <f>Config!$B$3&amp;"?room="&amp;A400</f>
        <v/>
      </c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 ht="15" customHeight="1">
      <c r="A401" t="inlineStr">
        <is>
          <t>B-L04-Q02C-01</t>
        </is>
      </c>
      <c r="B401" t="inlineStr">
        <is>
          <t>Tower B</t>
        </is>
      </c>
      <c r="C401" t="inlineStr">
        <is>
          <t>L04</t>
        </is>
      </c>
      <c r="D401" t="inlineStr">
        <is>
          <t>BL04G57</t>
        </is>
      </c>
      <c r="E401" t="inlineStr">
        <is>
          <t>Q02C</t>
        </is>
      </c>
      <c r="F401" t="inlineStr">
        <is>
          <t>Queen</t>
        </is>
      </c>
      <c r="G401" s="11" t="n"/>
      <c r="H401" s="22" t="n"/>
      <c r="I401" s="11" t="n"/>
      <c r="J401" s="22" t="n"/>
      <c r="K401" s="11" t="n"/>
      <c r="L401" t="inlineStr">
        <is>
          <t>Typology drawing R01</t>
        </is>
      </c>
      <c r="M401">
        <f>Config!$B$3&amp;"?room="&amp;A401</f>
        <v/>
      </c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 ht="15" customHeight="1">
      <c r="A402" t="inlineStr">
        <is>
          <t>B-L04-Q02C-02</t>
        </is>
      </c>
      <c r="B402" t="inlineStr">
        <is>
          <t>Tower B</t>
        </is>
      </c>
      <c r="C402" t="inlineStr">
        <is>
          <t>L04</t>
        </is>
      </c>
      <c r="D402" t="inlineStr">
        <is>
          <t>BL04G73</t>
        </is>
      </c>
      <c r="E402" t="inlineStr">
        <is>
          <t>Q02C</t>
        </is>
      </c>
      <c r="F402" t="inlineStr">
        <is>
          <t>Queen</t>
        </is>
      </c>
      <c r="G402" s="11" t="n"/>
      <c r="H402" s="22" t="n"/>
      <c r="I402" s="11" t="n"/>
      <c r="J402" s="22" t="n"/>
      <c r="K402" s="11" t="n"/>
      <c r="L402" t="inlineStr">
        <is>
          <t>Typology drawing R01</t>
        </is>
      </c>
      <c r="M402">
        <f>Config!$B$3&amp;"?room="&amp;A402</f>
        <v/>
      </c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 ht="15" customHeight="1">
      <c r="A403" t="inlineStr">
        <is>
          <t>B-L04-Q02C-03</t>
        </is>
      </c>
      <c r="B403" t="inlineStr">
        <is>
          <t>Tower B</t>
        </is>
      </c>
      <c r="C403" t="inlineStr">
        <is>
          <t>L04</t>
        </is>
      </c>
      <c r="D403" t="inlineStr">
        <is>
          <t>BL04G87</t>
        </is>
      </c>
      <c r="E403" t="inlineStr">
        <is>
          <t>Q02C</t>
        </is>
      </c>
      <c r="F403" t="inlineStr">
        <is>
          <t>Queen</t>
        </is>
      </c>
      <c r="G403" s="11" t="n"/>
      <c r="H403" s="22" t="n"/>
      <c r="I403" s="11" t="n"/>
      <c r="J403" s="22" t="n"/>
      <c r="K403" s="11" t="n"/>
      <c r="L403" t="inlineStr">
        <is>
          <t>Typology drawing R01</t>
        </is>
      </c>
      <c r="M403">
        <f>Config!$B$3&amp;"?room="&amp;A403</f>
        <v/>
      </c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 ht="15" customHeight="1">
      <c r="A404" t="inlineStr">
        <is>
          <t>B-L04-Q02C1</t>
        </is>
      </c>
      <c r="B404" t="inlineStr">
        <is>
          <t>Tower B</t>
        </is>
      </c>
      <c r="C404" t="inlineStr">
        <is>
          <t>L04</t>
        </is>
      </c>
      <c r="D404" t="inlineStr">
        <is>
          <t>BL04G62</t>
        </is>
      </c>
      <c r="E404" t="inlineStr">
        <is>
          <t>Q02C1</t>
        </is>
      </c>
      <c r="F404" t="inlineStr">
        <is>
          <t>Queen</t>
        </is>
      </c>
      <c r="G404" s="11" t="n"/>
      <c r="H404" s="22" t="n"/>
      <c r="I404" s="11" t="n"/>
      <c r="J404" s="22" t="n"/>
      <c r="K404" s="11" t="n"/>
      <c r="L404" t="inlineStr">
        <is>
          <t>Typology drawing R01</t>
        </is>
      </c>
      <c r="M404">
        <f>Config!$B$3&amp;"?room="&amp;A404</f>
        <v/>
      </c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 ht="15" customHeight="1">
      <c r="A405" t="inlineStr">
        <is>
          <t>B-L04-Q02D</t>
        </is>
      </c>
      <c r="B405" t="inlineStr">
        <is>
          <t>Tower B</t>
        </is>
      </c>
      <c r="C405" t="inlineStr">
        <is>
          <t>L04</t>
        </is>
      </c>
      <c r="D405" t="inlineStr">
        <is>
          <t>BL04G85</t>
        </is>
      </c>
      <c r="E405" t="inlineStr">
        <is>
          <t>Q02D</t>
        </is>
      </c>
      <c r="F405" t="inlineStr">
        <is>
          <t>Queen</t>
        </is>
      </c>
      <c r="G405" s="11" t="n"/>
      <c r="H405" s="22" t="n"/>
      <c r="I405" s="11" t="n"/>
      <c r="J405" s="22" t="n"/>
      <c r="K405" s="11" t="n"/>
      <c r="L405" t="inlineStr">
        <is>
          <t>Typology drawing R01</t>
        </is>
      </c>
      <c r="M405">
        <f>Config!$B$3&amp;"?room="&amp;A405</f>
        <v/>
      </c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 ht="15" customHeight="1">
      <c r="A406" t="inlineStr">
        <is>
          <t>B-L04-Q04</t>
        </is>
      </c>
      <c r="B406" t="inlineStr">
        <is>
          <t>Tower B</t>
        </is>
      </c>
      <c r="C406" t="inlineStr">
        <is>
          <t>L04</t>
        </is>
      </c>
      <c r="D406" t="inlineStr">
        <is>
          <t>BL04G69</t>
        </is>
      </c>
      <c r="E406" t="inlineStr">
        <is>
          <t>Q04</t>
        </is>
      </c>
      <c r="F406" t="inlineStr">
        <is>
          <t>Queen</t>
        </is>
      </c>
      <c r="G406" s="11" t="n"/>
      <c r="H406" s="22" t="n"/>
      <c r="I406" s="11" t="n"/>
      <c r="J406" s="22" t="n"/>
      <c r="K406" s="11" t="n"/>
      <c r="L406" t="inlineStr">
        <is>
          <t>Typology drawing R01</t>
        </is>
      </c>
      <c r="M406">
        <f>Config!$B$3&amp;"?room="&amp;A406</f>
        <v/>
      </c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 ht="15" customHeight="1">
      <c r="A407" t="inlineStr">
        <is>
          <t>B-L04-Q05</t>
        </is>
      </c>
      <c r="B407" t="inlineStr">
        <is>
          <t>Tower B</t>
        </is>
      </c>
      <c r="C407" t="inlineStr">
        <is>
          <t>L04</t>
        </is>
      </c>
      <c r="D407" t="inlineStr">
        <is>
          <t>BL04G51</t>
        </is>
      </c>
      <c r="E407" t="inlineStr">
        <is>
          <t>Q05</t>
        </is>
      </c>
      <c r="F407" t="inlineStr">
        <is>
          <t>Queen</t>
        </is>
      </c>
      <c r="G407" s="11" t="n"/>
      <c r="H407" s="22" t="n"/>
      <c r="I407" s="11" t="n"/>
      <c r="J407" s="22" t="n"/>
      <c r="K407" s="11" t="n"/>
      <c r="L407" t="inlineStr">
        <is>
          <t>Typology drawing R01</t>
        </is>
      </c>
      <c r="M407">
        <f>Config!$B$3&amp;"?room="&amp;A407</f>
        <v/>
      </c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 ht="15" customHeight="1">
      <c r="A408" t="inlineStr">
        <is>
          <t>B-L04-Q06</t>
        </is>
      </c>
      <c r="B408" t="inlineStr">
        <is>
          <t>Tower B</t>
        </is>
      </c>
      <c r="C408" t="inlineStr">
        <is>
          <t>L04</t>
        </is>
      </c>
      <c r="D408" t="inlineStr">
        <is>
          <t>BL04G86</t>
        </is>
      </c>
      <c r="E408" t="inlineStr">
        <is>
          <t>Q06</t>
        </is>
      </c>
      <c r="F408" t="inlineStr">
        <is>
          <t>Queen</t>
        </is>
      </c>
      <c r="G408" s="11" t="n"/>
      <c r="H408" s="22" t="n"/>
      <c r="I408" s="11" t="n"/>
      <c r="J408" s="22" t="n"/>
      <c r="K408" s="11" t="n"/>
      <c r="L408" t="inlineStr">
        <is>
          <t>Typology drawing R01</t>
        </is>
      </c>
      <c r="M408">
        <f>Config!$B$3&amp;"?room="&amp;A408</f>
        <v/>
      </c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 ht="15" customHeight="1">
      <c r="A409" t="inlineStr">
        <is>
          <t>B-L04-S03</t>
        </is>
      </c>
      <c r="B409" t="inlineStr">
        <is>
          <t>Tower B</t>
        </is>
      </c>
      <c r="C409" t="inlineStr">
        <is>
          <t>L04</t>
        </is>
      </c>
      <c r="D409" t="inlineStr">
        <is>
          <t>BL04G66</t>
        </is>
      </c>
      <c r="E409" t="inlineStr">
        <is>
          <t>S03</t>
        </is>
      </c>
      <c r="F409" t="inlineStr">
        <is>
          <t>Suite</t>
        </is>
      </c>
      <c r="G409" s="11" t="n"/>
      <c r="H409" s="22" t="n"/>
      <c r="I409" s="11" t="n"/>
      <c r="J409" s="22" t="n"/>
      <c r="K409" s="11" t="n"/>
      <c r="L409" t="inlineStr">
        <is>
          <t>Typology drawing R01</t>
        </is>
      </c>
      <c r="M409">
        <f>Config!$B$3&amp;"?room="&amp;A409</f>
        <v/>
      </c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 ht="15" customHeight="1">
      <c r="A410" t="inlineStr">
        <is>
          <t>B-L04-S07</t>
        </is>
      </c>
      <c r="B410" t="inlineStr">
        <is>
          <t>Tower B</t>
        </is>
      </c>
      <c r="C410" t="inlineStr">
        <is>
          <t>L04</t>
        </is>
      </c>
      <c r="D410" t="inlineStr">
        <is>
          <t>BL04G49</t>
        </is>
      </c>
      <c r="E410" t="inlineStr">
        <is>
          <t>S07</t>
        </is>
      </c>
      <c r="F410" t="inlineStr">
        <is>
          <t>Suite</t>
        </is>
      </c>
      <c r="G410" s="11" t="n"/>
      <c r="H410" s="22" t="n"/>
      <c r="I410" s="11" t="n"/>
      <c r="J410" s="22" t="n"/>
      <c r="K410" s="11" t="n"/>
      <c r="L410" t="inlineStr">
        <is>
          <t>Typology drawing R01</t>
        </is>
      </c>
      <c r="M410">
        <f>Config!$B$3&amp;"?room="&amp;A410</f>
        <v/>
      </c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 ht="15" customHeight="1">
      <c r="A411" t="inlineStr">
        <is>
          <t>B-L05-F02</t>
        </is>
      </c>
      <c r="B411" t="inlineStr">
        <is>
          <t>Tower B</t>
        </is>
      </c>
      <c r="C411" t="inlineStr">
        <is>
          <t>L05</t>
        </is>
      </c>
      <c r="D411" t="inlineStr">
        <is>
          <t>BL05G90</t>
        </is>
      </c>
      <c r="E411" t="inlineStr">
        <is>
          <t>F02</t>
        </is>
      </c>
      <c r="F411" t="inlineStr">
        <is>
          <t>Family</t>
        </is>
      </c>
      <c r="G411" s="11" t="n"/>
      <c r="H411" s="22" t="n"/>
      <c r="I411" s="11" t="n"/>
      <c r="J411" s="22" t="n"/>
      <c r="K411" s="11" t="n"/>
      <c r="L411" t="inlineStr">
        <is>
          <t>Typology drawing R01</t>
        </is>
      </c>
      <c r="M411">
        <f>Config!$B$3&amp;"?room="&amp;A411</f>
        <v/>
      </c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 ht="15" customHeight="1">
      <c r="A412" t="inlineStr">
        <is>
          <t>B-L05-F06</t>
        </is>
      </c>
      <c r="B412" t="inlineStr">
        <is>
          <t>Tower B</t>
        </is>
      </c>
      <c r="C412" t="inlineStr">
        <is>
          <t>L05</t>
        </is>
      </c>
      <c r="D412" t="inlineStr">
        <is>
          <t>BL05G63</t>
        </is>
      </c>
      <c r="E412" t="inlineStr">
        <is>
          <t>F06</t>
        </is>
      </c>
      <c r="F412" t="inlineStr">
        <is>
          <t>Family</t>
        </is>
      </c>
      <c r="G412" s="11" t="n"/>
      <c r="H412" s="22" t="n"/>
      <c r="I412" s="11" t="n"/>
      <c r="J412" s="22" t="n"/>
      <c r="K412" s="11" t="n"/>
      <c r="L412" t="inlineStr">
        <is>
          <t>Typology drawing R01</t>
        </is>
      </c>
      <c r="M412">
        <f>Config!$B$3&amp;"?room="&amp;A412</f>
        <v/>
      </c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 ht="15" customHeight="1">
      <c r="A413" t="inlineStr">
        <is>
          <t>B-L05-K01-01</t>
        </is>
      </c>
      <c r="B413" t="inlineStr">
        <is>
          <t>Tower B</t>
        </is>
      </c>
      <c r="C413" t="inlineStr">
        <is>
          <t>L05</t>
        </is>
      </c>
      <c r="D413" t="inlineStr">
        <is>
          <t>BL05G53</t>
        </is>
      </c>
      <c r="E413" t="inlineStr">
        <is>
          <t>K01</t>
        </is>
      </c>
      <c r="F413" t="inlineStr">
        <is>
          <t>King</t>
        </is>
      </c>
      <c r="G413" s="11" t="n"/>
      <c r="H413" s="22" t="n"/>
      <c r="I413" s="11" t="n"/>
      <c r="J413" s="22" t="n"/>
      <c r="K413" s="11" t="n"/>
      <c r="L413" t="inlineStr">
        <is>
          <t>Typology drawing R01</t>
        </is>
      </c>
      <c r="M413">
        <f>Config!$B$3&amp;"?room="&amp;A413</f>
        <v/>
      </c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 ht="15" customHeight="1">
      <c r="A414" t="inlineStr">
        <is>
          <t>B-L05-K01-02</t>
        </is>
      </c>
      <c r="B414" t="inlineStr">
        <is>
          <t>Tower B</t>
        </is>
      </c>
      <c r="C414" t="inlineStr">
        <is>
          <t>L05</t>
        </is>
      </c>
      <c r="D414" t="inlineStr">
        <is>
          <t>BL05G77</t>
        </is>
      </c>
      <c r="E414" t="inlineStr">
        <is>
          <t>K01</t>
        </is>
      </c>
      <c r="F414" t="inlineStr">
        <is>
          <t>King</t>
        </is>
      </c>
      <c r="G414" s="11" t="n"/>
      <c r="H414" s="22" t="n"/>
      <c r="I414" s="11" t="n"/>
      <c r="J414" s="22" t="n"/>
      <c r="K414" s="11" t="n"/>
      <c r="L414" t="inlineStr">
        <is>
          <t>Typology drawing R01</t>
        </is>
      </c>
      <c r="M414">
        <f>Config!$B$3&amp;"?room="&amp;A414</f>
        <v/>
      </c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 ht="15" customHeight="1">
      <c r="A415" t="inlineStr">
        <is>
          <t>B-L05-K01A-01</t>
        </is>
      </c>
      <c r="B415" t="inlineStr">
        <is>
          <t>Tower B</t>
        </is>
      </c>
      <c r="C415" t="inlineStr">
        <is>
          <t>L05</t>
        </is>
      </c>
      <c r="D415" t="inlineStr">
        <is>
          <t>BL05G58</t>
        </is>
      </c>
      <c r="E415" t="inlineStr">
        <is>
          <t>K01A</t>
        </is>
      </c>
      <c r="F415" t="inlineStr">
        <is>
          <t>King</t>
        </is>
      </c>
      <c r="G415" s="11" t="n"/>
      <c r="H415" s="22" t="n"/>
      <c r="I415" s="11" t="n"/>
      <c r="J415" s="22" t="n"/>
      <c r="K415" s="11" t="n"/>
      <c r="L415" t="inlineStr">
        <is>
          <t>Typology drawing R01</t>
        </is>
      </c>
      <c r="M415">
        <f>Config!$B$3&amp;"?room="&amp;A415</f>
        <v/>
      </c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 ht="15" customHeight="1">
      <c r="A416" t="inlineStr">
        <is>
          <t>B-L05-K01A-02</t>
        </is>
      </c>
      <c r="B416" t="inlineStr">
        <is>
          <t>Tower B</t>
        </is>
      </c>
      <c r="C416" t="inlineStr">
        <is>
          <t>L05</t>
        </is>
      </c>
      <c r="D416" t="inlineStr">
        <is>
          <t>BL05G76</t>
        </is>
      </c>
      <c r="E416" t="inlineStr">
        <is>
          <t>K01A</t>
        </is>
      </c>
      <c r="F416" t="inlineStr">
        <is>
          <t>King</t>
        </is>
      </c>
      <c r="G416" s="11" t="n"/>
      <c r="H416" s="22" t="n"/>
      <c r="I416" s="11" t="n"/>
      <c r="J416" s="22" t="n"/>
      <c r="K416" s="11" t="n"/>
      <c r="L416" t="inlineStr">
        <is>
          <t>Typology drawing R01</t>
        </is>
      </c>
      <c r="M416">
        <f>Config!$B$3&amp;"?room="&amp;A416</f>
        <v/>
      </c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 ht="15" customHeight="1">
      <c r="A417" t="inlineStr">
        <is>
          <t>B-L05-K01A-03</t>
        </is>
      </c>
      <c r="B417" t="inlineStr">
        <is>
          <t>Tower B</t>
        </is>
      </c>
      <c r="C417" t="inlineStr">
        <is>
          <t>L05</t>
        </is>
      </c>
      <c r="D417" t="inlineStr">
        <is>
          <t>BL05G84</t>
        </is>
      </c>
      <c r="E417" t="inlineStr">
        <is>
          <t>K01A</t>
        </is>
      </c>
      <c r="F417" t="inlineStr">
        <is>
          <t>King</t>
        </is>
      </c>
      <c r="G417" s="11" t="n"/>
      <c r="H417" s="22" t="n"/>
      <c r="I417" s="11" t="n"/>
      <c r="J417" s="22" t="n"/>
      <c r="K417" s="11" t="n"/>
      <c r="L417" t="inlineStr">
        <is>
          <t>Typology drawing R01</t>
        </is>
      </c>
      <c r="M417">
        <f>Config!$B$3&amp;"?room="&amp;A417</f>
        <v/>
      </c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 ht="15" customHeight="1">
      <c r="A418" t="inlineStr">
        <is>
          <t>B-L05-K01C</t>
        </is>
      </c>
      <c r="B418" t="inlineStr">
        <is>
          <t>Tower B</t>
        </is>
      </c>
      <c r="C418" t="inlineStr">
        <is>
          <t>L05</t>
        </is>
      </c>
      <c r="D418" t="inlineStr">
        <is>
          <t>BL05G81</t>
        </is>
      </c>
      <c r="E418" t="inlineStr">
        <is>
          <t>K01C</t>
        </is>
      </c>
      <c r="F418" t="inlineStr">
        <is>
          <t>King</t>
        </is>
      </c>
      <c r="G418" s="11" t="n"/>
      <c r="H418" s="22" t="n"/>
      <c r="I418" s="11" t="n"/>
      <c r="J418" s="22" t="n"/>
      <c r="K418" s="11" t="n"/>
      <c r="L418" t="inlineStr">
        <is>
          <t>Typology drawing R01</t>
        </is>
      </c>
      <c r="M418">
        <f>Config!$B$3&amp;"?room="&amp;A418</f>
        <v/>
      </c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 ht="15" customHeight="1">
      <c r="A419" t="inlineStr">
        <is>
          <t>B-L05-K01C1-01</t>
        </is>
      </c>
      <c r="B419" t="inlineStr">
        <is>
          <t>Tower B</t>
        </is>
      </c>
      <c r="C419" t="inlineStr">
        <is>
          <t>L05</t>
        </is>
      </c>
      <c r="D419" t="inlineStr">
        <is>
          <t>BL05G72</t>
        </is>
      </c>
      <c r="E419" t="inlineStr">
        <is>
          <t>K01C1</t>
        </is>
      </c>
      <c r="F419" t="inlineStr">
        <is>
          <t>King</t>
        </is>
      </c>
      <c r="G419" s="11" t="n"/>
      <c r="H419" s="22" t="n"/>
      <c r="I419" s="11" t="n"/>
      <c r="J419" s="22" t="n"/>
      <c r="K419" s="11" t="n"/>
      <c r="L419" t="inlineStr">
        <is>
          <t>Typology drawing R01</t>
        </is>
      </c>
      <c r="M419">
        <f>Config!$B$3&amp;"?room="&amp;A419</f>
        <v/>
      </c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 ht="15" customHeight="1">
      <c r="A420" t="inlineStr">
        <is>
          <t>B-L05-K01C1-02</t>
        </is>
      </c>
      <c r="B420" t="inlineStr">
        <is>
          <t>Tower B</t>
        </is>
      </c>
      <c r="C420" t="inlineStr">
        <is>
          <t>L05</t>
        </is>
      </c>
      <c r="D420" t="inlineStr">
        <is>
          <t>BL05G80</t>
        </is>
      </c>
      <c r="E420" t="inlineStr">
        <is>
          <t>K01C1</t>
        </is>
      </c>
      <c r="F420" t="inlineStr">
        <is>
          <t>King</t>
        </is>
      </c>
      <c r="G420" s="11" t="n"/>
      <c r="H420" s="22" t="n"/>
      <c r="I420" s="11" t="n"/>
      <c r="J420" s="22" t="n"/>
      <c r="K420" s="11" t="n"/>
      <c r="L420" t="inlineStr">
        <is>
          <t>Typology drawing R01</t>
        </is>
      </c>
      <c r="M420">
        <f>Config!$B$3&amp;"?room="&amp;A420</f>
        <v/>
      </c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 ht="15" customHeight="1">
      <c r="A421" t="inlineStr">
        <is>
          <t>B-L05-K01D</t>
        </is>
      </c>
      <c r="B421" t="inlineStr">
        <is>
          <t>Tower B</t>
        </is>
      </c>
      <c r="C421" t="inlineStr">
        <is>
          <t>L05</t>
        </is>
      </c>
      <c r="D421" t="inlineStr">
        <is>
          <t>BL05G61</t>
        </is>
      </c>
      <c r="E421" t="inlineStr">
        <is>
          <t>K01D</t>
        </is>
      </c>
      <c r="F421" t="inlineStr">
        <is>
          <t>King</t>
        </is>
      </c>
      <c r="G421" s="11" t="n"/>
      <c r="H421" s="22" t="n"/>
      <c r="I421" s="11" t="n"/>
      <c r="J421" s="22" t="n"/>
      <c r="K421" s="11" t="n"/>
      <c r="L421" t="inlineStr">
        <is>
          <t>Typology drawing R01</t>
        </is>
      </c>
      <c r="M421">
        <f>Config!$B$3&amp;"?room="&amp;A421</f>
        <v/>
      </c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 ht="15" customHeight="1">
      <c r="A422" t="inlineStr">
        <is>
          <t>B-L05-K02-01</t>
        </is>
      </c>
      <c r="B422" t="inlineStr">
        <is>
          <t>Tower B</t>
        </is>
      </c>
      <c r="C422" t="inlineStr">
        <is>
          <t>L05</t>
        </is>
      </c>
      <c r="D422" t="inlineStr">
        <is>
          <t>BL05G55</t>
        </is>
      </c>
      <c r="E422" t="inlineStr">
        <is>
          <t>K02</t>
        </is>
      </c>
      <c r="F422" t="inlineStr">
        <is>
          <t>King</t>
        </is>
      </c>
      <c r="G422" s="11" t="n"/>
      <c r="H422" s="22" t="n"/>
      <c r="I422" s="11" t="n"/>
      <c r="J422" s="22" t="n"/>
      <c r="K422" s="11" t="n"/>
      <c r="L422" t="inlineStr">
        <is>
          <t>Typology drawing R01</t>
        </is>
      </c>
      <c r="M422">
        <f>Config!$B$3&amp;"?room="&amp;A422</f>
        <v/>
      </c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 ht="15" customHeight="1">
      <c r="A423" t="inlineStr">
        <is>
          <t>B-L05-K02-02</t>
        </is>
      </c>
      <c r="B423" t="inlineStr">
        <is>
          <t>Tower B</t>
        </is>
      </c>
      <c r="C423" t="inlineStr">
        <is>
          <t>L05</t>
        </is>
      </c>
      <c r="D423" t="inlineStr">
        <is>
          <t>BL05G71</t>
        </is>
      </c>
      <c r="E423" t="inlineStr">
        <is>
          <t>K02</t>
        </is>
      </c>
      <c r="F423" t="inlineStr">
        <is>
          <t>King</t>
        </is>
      </c>
      <c r="G423" s="11" t="n"/>
      <c r="H423" s="22" t="n"/>
      <c r="I423" s="11" t="n"/>
      <c r="J423" s="22" t="n"/>
      <c r="K423" s="11" t="n"/>
      <c r="L423" t="inlineStr">
        <is>
          <t>Typology drawing R01</t>
        </is>
      </c>
      <c r="M423">
        <f>Config!$B$3&amp;"?room="&amp;A423</f>
        <v/>
      </c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 ht="15" customHeight="1">
      <c r="A424" t="inlineStr">
        <is>
          <t>B-L05-K02-03</t>
        </is>
      </c>
      <c r="B424" t="inlineStr">
        <is>
          <t>Tower B</t>
        </is>
      </c>
      <c r="C424" t="inlineStr">
        <is>
          <t>L05</t>
        </is>
      </c>
      <c r="D424" t="inlineStr">
        <is>
          <t>BL05G79</t>
        </is>
      </c>
      <c r="E424" t="inlineStr">
        <is>
          <t>K02</t>
        </is>
      </c>
      <c r="F424" t="inlineStr">
        <is>
          <t>King</t>
        </is>
      </c>
      <c r="G424" s="11" t="n"/>
      <c r="H424" s="22" t="n"/>
      <c r="I424" s="11" t="n"/>
      <c r="J424" s="22" t="n"/>
      <c r="K424" s="11" t="n"/>
      <c r="L424" t="inlineStr">
        <is>
          <t>Typology drawing R01</t>
        </is>
      </c>
      <c r="M424">
        <f>Config!$B$3&amp;"?room="&amp;A424</f>
        <v/>
      </c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 ht="15" customHeight="1">
      <c r="A425" t="inlineStr">
        <is>
          <t>B-L05-K02A-01</t>
        </is>
      </c>
      <c r="B425" t="inlineStr">
        <is>
          <t>Tower B</t>
        </is>
      </c>
      <c r="C425" t="inlineStr">
        <is>
          <t>L05</t>
        </is>
      </c>
      <c r="D425" t="inlineStr">
        <is>
          <t>BL05G74</t>
        </is>
      </c>
      <c r="E425" t="inlineStr">
        <is>
          <t>K02A</t>
        </is>
      </c>
      <c r="F425" t="inlineStr">
        <is>
          <t>King</t>
        </is>
      </c>
      <c r="G425" s="11" t="n"/>
      <c r="H425" s="22" t="n"/>
      <c r="I425" s="11" t="n"/>
      <c r="J425" s="22" t="n"/>
      <c r="K425" s="11" t="n"/>
      <c r="L425" t="inlineStr">
        <is>
          <t>Typology drawing R01</t>
        </is>
      </c>
      <c r="M425">
        <f>Config!$B$3&amp;"?room="&amp;A425</f>
        <v/>
      </c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 ht="15" customHeight="1">
      <c r="A426" t="inlineStr">
        <is>
          <t>B-L05-K02A-02</t>
        </is>
      </c>
      <c r="B426" t="inlineStr">
        <is>
          <t>Tower B</t>
        </is>
      </c>
      <c r="C426" t="inlineStr">
        <is>
          <t>L05</t>
        </is>
      </c>
      <c r="D426" t="inlineStr">
        <is>
          <t>BL05G82</t>
        </is>
      </c>
      <c r="E426" t="inlineStr">
        <is>
          <t>K02A</t>
        </is>
      </c>
      <c r="F426" t="inlineStr">
        <is>
          <t>King</t>
        </is>
      </c>
      <c r="G426" s="11" t="n"/>
      <c r="H426" s="22" t="n"/>
      <c r="I426" s="11" t="n"/>
      <c r="J426" s="22" t="n"/>
      <c r="K426" s="11" t="n"/>
      <c r="L426" t="inlineStr">
        <is>
          <t>Typology drawing R01</t>
        </is>
      </c>
      <c r="M426">
        <f>Config!$B$3&amp;"?room="&amp;A426</f>
        <v/>
      </c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 ht="15" customHeight="1">
      <c r="A427" t="inlineStr">
        <is>
          <t>B-L05-K02C-01</t>
        </is>
      </c>
      <c r="B427" t="inlineStr">
        <is>
          <t>Tower B</t>
        </is>
      </c>
      <c r="C427" t="inlineStr">
        <is>
          <t>L05</t>
        </is>
      </c>
      <c r="D427" t="inlineStr">
        <is>
          <t>BL05G59</t>
        </is>
      </c>
      <c r="E427" t="inlineStr">
        <is>
          <t>K02C</t>
        </is>
      </c>
      <c r="F427" t="inlineStr">
        <is>
          <t>King</t>
        </is>
      </c>
      <c r="G427" s="11" t="n"/>
      <c r="H427" s="22" t="n"/>
      <c r="I427" s="11" t="n"/>
      <c r="J427" s="22" t="n"/>
      <c r="K427" s="11" t="n"/>
      <c r="L427" t="inlineStr">
        <is>
          <t>Typology drawing R01</t>
        </is>
      </c>
      <c r="M427">
        <f>Config!$B$3&amp;"?room="&amp;A427</f>
        <v/>
      </c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 ht="15" customHeight="1">
      <c r="A428" t="inlineStr">
        <is>
          <t>B-L05-K02C-02</t>
        </is>
      </c>
      <c r="B428" t="inlineStr">
        <is>
          <t>Tower B</t>
        </is>
      </c>
      <c r="C428" t="inlineStr">
        <is>
          <t>L05</t>
        </is>
      </c>
      <c r="D428" t="inlineStr">
        <is>
          <t>BL05G75</t>
        </is>
      </c>
      <c r="E428" t="inlineStr">
        <is>
          <t>K02C</t>
        </is>
      </c>
      <c r="F428" t="inlineStr">
        <is>
          <t>King</t>
        </is>
      </c>
      <c r="G428" s="11" t="n"/>
      <c r="H428" s="22" t="n"/>
      <c r="I428" s="11" t="n"/>
      <c r="J428" s="22" t="n"/>
      <c r="K428" s="11" t="n"/>
      <c r="L428" t="inlineStr">
        <is>
          <t>Typology drawing R01</t>
        </is>
      </c>
      <c r="M428">
        <f>Config!$B$3&amp;"?room="&amp;A428</f>
        <v/>
      </c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 ht="15" customHeight="1">
      <c r="A429" t="inlineStr">
        <is>
          <t>B-L05-K03</t>
        </is>
      </c>
      <c r="B429" t="inlineStr">
        <is>
          <t>Tower B</t>
        </is>
      </c>
      <c r="C429" t="inlineStr">
        <is>
          <t>L05</t>
        </is>
      </c>
      <c r="D429" t="inlineStr">
        <is>
          <t>BL05G89</t>
        </is>
      </c>
      <c r="E429" t="inlineStr">
        <is>
          <t>K03</t>
        </is>
      </c>
      <c r="F429" t="inlineStr">
        <is>
          <t>King</t>
        </is>
      </c>
      <c r="G429" s="11" t="n"/>
      <c r="H429" s="22" t="n"/>
      <c r="I429" s="11" t="n"/>
      <c r="J429" s="22" t="n"/>
      <c r="K429" s="11" t="n"/>
      <c r="L429" t="inlineStr">
        <is>
          <t>Typology drawing R01</t>
        </is>
      </c>
      <c r="M429">
        <f>Config!$B$3&amp;"?room="&amp;A429</f>
        <v/>
      </c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 ht="15" customHeight="1">
      <c r="A430" t="inlineStr">
        <is>
          <t>B-L05-KADA2</t>
        </is>
      </c>
      <c r="B430" t="inlineStr">
        <is>
          <t>Tower B</t>
        </is>
      </c>
      <c r="C430" t="inlineStr">
        <is>
          <t>L05</t>
        </is>
      </c>
      <c r="D430" t="inlineStr">
        <is>
          <t>BL05G60</t>
        </is>
      </c>
      <c r="E430" t="inlineStr">
        <is>
          <t>KADA2</t>
        </is>
      </c>
      <c r="F430" t="inlineStr">
        <is>
          <t>King ADA</t>
        </is>
      </c>
      <c r="G430" s="11" t="n"/>
      <c r="H430" s="22" t="n"/>
      <c r="I430" s="11" t="n"/>
      <c r="J430" s="22" t="n"/>
      <c r="K430" s="11" t="n"/>
      <c r="L430" t="inlineStr">
        <is>
          <t>Typology drawing R01</t>
        </is>
      </c>
      <c r="M430">
        <f>Config!$B$3&amp;"?room="&amp;A430</f>
        <v/>
      </c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 ht="15" customHeight="1">
      <c r="A431" t="inlineStr">
        <is>
          <t>B-L05-Q01C</t>
        </is>
      </c>
      <c r="B431" t="inlineStr">
        <is>
          <t>Tower B</t>
        </is>
      </c>
      <c r="C431" t="inlineStr">
        <is>
          <t>L05</t>
        </is>
      </c>
      <c r="D431" t="inlineStr">
        <is>
          <t>BL05G83</t>
        </is>
      </c>
      <c r="E431" t="inlineStr">
        <is>
          <t>Q01C</t>
        </is>
      </c>
      <c r="F431" t="inlineStr">
        <is>
          <t>Queen</t>
        </is>
      </c>
      <c r="G431" s="11" t="n"/>
      <c r="H431" s="22" t="n"/>
      <c r="I431" s="11" t="n"/>
      <c r="J431" s="22" t="n"/>
      <c r="K431" s="11" t="n"/>
      <c r="L431" t="inlineStr">
        <is>
          <t>Typology drawing R01</t>
        </is>
      </c>
      <c r="M431">
        <f>Config!$B$3&amp;"?room="&amp;A431</f>
        <v/>
      </c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 ht="15" customHeight="1">
      <c r="A432" t="inlineStr">
        <is>
          <t>B-L05-Q01C1-01</t>
        </is>
      </c>
      <c r="B432" t="inlineStr">
        <is>
          <t>Tower B</t>
        </is>
      </c>
      <c r="C432" t="inlineStr">
        <is>
          <t>L05</t>
        </is>
      </c>
      <c r="D432" t="inlineStr">
        <is>
          <t>BL05G64</t>
        </is>
      </c>
      <c r="E432" t="inlineStr">
        <is>
          <t>Q01C1</t>
        </is>
      </c>
      <c r="F432" t="inlineStr">
        <is>
          <t>Queen</t>
        </is>
      </c>
      <c r="G432" s="11" t="n"/>
      <c r="H432" s="22" t="n"/>
      <c r="I432" s="11" t="n"/>
      <c r="J432" s="22" t="n"/>
      <c r="K432" s="11" t="n"/>
      <c r="L432" t="inlineStr">
        <is>
          <t>Typology drawing R01</t>
        </is>
      </c>
      <c r="M432">
        <f>Config!$B$3&amp;"?room="&amp;A432</f>
        <v/>
      </c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 ht="15" customHeight="1">
      <c r="A433" t="inlineStr">
        <is>
          <t>B-L05-Q01C1-02</t>
        </is>
      </c>
      <c r="B433" t="inlineStr">
        <is>
          <t>Tower B</t>
        </is>
      </c>
      <c r="C433" t="inlineStr">
        <is>
          <t>L05</t>
        </is>
      </c>
      <c r="D433" t="inlineStr">
        <is>
          <t>BL05G70</t>
        </is>
      </c>
      <c r="E433" t="inlineStr">
        <is>
          <t>Q01C1</t>
        </is>
      </c>
      <c r="F433" t="inlineStr">
        <is>
          <t>Queen</t>
        </is>
      </c>
      <c r="G433" s="11" t="n"/>
      <c r="H433" s="22" t="n"/>
      <c r="I433" s="11" t="n"/>
      <c r="J433" s="22" t="n"/>
      <c r="K433" s="11" t="n"/>
      <c r="L433" t="inlineStr">
        <is>
          <t>Typology drawing R01</t>
        </is>
      </c>
      <c r="M433">
        <f>Config!$B$3&amp;"?room="&amp;A433</f>
        <v/>
      </c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 ht="15" customHeight="1">
      <c r="A434" t="inlineStr">
        <is>
          <t>B-L05-Q01C1-03</t>
        </is>
      </c>
      <c r="B434" t="inlineStr">
        <is>
          <t>Tower B</t>
        </is>
      </c>
      <c r="C434" t="inlineStr">
        <is>
          <t>L05</t>
        </is>
      </c>
      <c r="D434" t="inlineStr">
        <is>
          <t>BL05G78</t>
        </is>
      </c>
      <c r="E434" t="inlineStr">
        <is>
          <t>Q01C1</t>
        </is>
      </c>
      <c r="F434" t="inlineStr">
        <is>
          <t>Queen</t>
        </is>
      </c>
      <c r="G434" s="11" t="n"/>
      <c r="H434" s="22" t="n"/>
      <c r="I434" s="11" t="n"/>
      <c r="J434" s="22" t="n"/>
      <c r="K434" s="11" t="n"/>
      <c r="L434" t="inlineStr">
        <is>
          <t>Typology drawing R01</t>
        </is>
      </c>
      <c r="M434">
        <f>Config!$B$3&amp;"?room="&amp;A434</f>
        <v/>
      </c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 ht="15" customHeight="1">
      <c r="A435" t="inlineStr">
        <is>
          <t>B-L05-Q02C-01</t>
        </is>
      </c>
      <c r="B435" t="inlineStr">
        <is>
          <t>Tower B</t>
        </is>
      </c>
      <c r="C435" t="inlineStr">
        <is>
          <t>L05</t>
        </is>
      </c>
      <c r="D435" t="inlineStr">
        <is>
          <t>BL05G57</t>
        </is>
      </c>
      <c r="E435" t="inlineStr">
        <is>
          <t>Q02C</t>
        </is>
      </c>
      <c r="F435" t="inlineStr">
        <is>
          <t>Queen</t>
        </is>
      </c>
      <c r="G435" s="11" t="n"/>
      <c r="H435" s="22" t="n"/>
      <c r="I435" s="11" t="n"/>
      <c r="J435" s="22" t="n"/>
      <c r="K435" s="11" t="n"/>
      <c r="L435" t="inlineStr">
        <is>
          <t>Typology drawing R01</t>
        </is>
      </c>
      <c r="M435">
        <f>Config!$B$3&amp;"?room="&amp;A435</f>
        <v/>
      </c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 ht="15" customHeight="1">
      <c r="A436" t="inlineStr">
        <is>
          <t>B-L05-Q02C-02</t>
        </is>
      </c>
      <c r="B436" t="inlineStr">
        <is>
          <t>Tower B</t>
        </is>
      </c>
      <c r="C436" t="inlineStr">
        <is>
          <t>L05</t>
        </is>
      </c>
      <c r="D436" t="inlineStr">
        <is>
          <t>BL05G73</t>
        </is>
      </c>
      <c r="E436" t="inlineStr">
        <is>
          <t>Q02C</t>
        </is>
      </c>
      <c r="F436" t="inlineStr">
        <is>
          <t>Queen</t>
        </is>
      </c>
      <c r="G436" s="11" t="n"/>
      <c r="H436" s="22" t="n"/>
      <c r="I436" s="11" t="n"/>
      <c r="J436" s="22" t="n"/>
      <c r="K436" s="11" t="n"/>
      <c r="L436" t="inlineStr">
        <is>
          <t>Typology drawing R01</t>
        </is>
      </c>
      <c r="M436">
        <f>Config!$B$3&amp;"?room="&amp;A436</f>
        <v/>
      </c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 ht="15" customHeight="1">
      <c r="A437" t="inlineStr">
        <is>
          <t>B-L05-Q02C-03</t>
        </is>
      </c>
      <c r="B437" t="inlineStr">
        <is>
          <t>Tower B</t>
        </is>
      </c>
      <c r="C437" t="inlineStr">
        <is>
          <t>L05</t>
        </is>
      </c>
      <c r="D437" t="inlineStr">
        <is>
          <t>BL05G87</t>
        </is>
      </c>
      <c r="E437" t="inlineStr">
        <is>
          <t>Q02C</t>
        </is>
      </c>
      <c r="F437" t="inlineStr">
        <is>
          <t>Queen</t>
        </is>
      </c>
      <c r="G437" s="11" t="n"/>
      <c r="H437" s="22" t="n"/>
      <c r="I437" s="11" t="n"/>
      <c r="J437" s="22" t="n"/>
      <c r="K437" s="11" t="n"/>
      <c r="L437" t="inlineStr">
        <is>
          <t>Typology drawing R01</t>
        </is>
      </c>
      <c r="M437">
        <f>Config!$B$3&amp;"?room="&amp;A437</f>
        <v/>
      </c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 ht="15" customHeight="1">
      <c r="A438" t="inlineStr">
        <is>
          <t>B-L05-Q02C1</t>
        </is>
      </c>
      <c r="B438" t="inlineStr">
        <is>
          <t>Tower B</t>
        </is>
      </c>
      <c r="C438" t="inlineStr">
        <is>
          <t>L05</t>
        </is>
      </c>
      <c r="D438" t="inlineStr">
        <is>
          <t>BL05G62</t>
        </is>
      </c>
      <c r="E438" t="inlineStr">
        <is>
          <t>Q02C1</t>
        </is>
      </c>
      <c r="F438" t="inlineStr">
        <is>
          <t>Queen</t>
        </is>
      </c>
      <c r="G438" s="11" t="n"/>
      <c r="H438" s="22" t="n"/>
      <c r="I438" s="11" t="n"/>
      <c r="J438" s="22" t="n"/>
      <c r="K438" s="11" t="n"/>
      <c r="L438" t="inlineStr">
        <is>
          <t>Typology drawing R01</t>
        </is>
      </c>
      <c r="M438">
        <f>Config!$B$3&amp;"?room="&amp;A438</f>
        <v/>
      </c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 ht="15" customHeight="1">
      <c r="A439" t="inlineStr">
        <is>
          <t>B-L05-Q02D</t>
        </is>
      </c>
      <c r="B439" t="inlineStr">
        <is>
          <t>Tower B</t>
        </is>
      </c>
      <c r="C439" t="inlineStr">
        <is>
          <t>L05</t>
        </is>
      </c>
      <c r="D439" t="inlineStr">
        <is>
          <t>BL05G85</t>
        </is>
      </c>
      <c r="E439" t="inlineStr">
        <is>
          <t>Q02D</t>
        </is>
      </c>
      <c r="F439" t="inlineStr">
        <is>
          <t>Queen</t>
        </is>
      </c>
      <c r="G439" s="11" t="n"/>
      <c r="H439" s="22" t="n"/>
      <c r="I439" s="11" t="n"/>
      <c r="J439" s="22" t="n"/>
      <c r="K439" s="11" t="n"/>
      <c r="L439" t="inlineStr">
        <is>
          <t>Typology drawing R01</t>
        </is>
      </c>
      <c r="M439">
        <f>Config!$B$3&amp;"?room="&amp;A439</f>
        <v/>
      </c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 ht="15" customHeight="1">
      <c r="A440" t="inlineStr">
        <is>
          <t>B-L05-Q04</t>
        </is>
      </c>
      <c r="B440" t="inlineStr">
        <is>
          <t>Tower B</t>
        </is>
      </c>
      <c r="C440" t="inlineStr">
        <is>
          <t>L05</t>
        </is>
      </c>
      <c r="D440" t="inlineStr">
        <is>
          <t>BL05G69</t>
        </is>
      </c>
      <c r="E440" t="inlineStr">
        <is>
          <t>Q04</t>
        </is>
      </c>
      <c r="F440" t="inlineStr">
        <is>
          <t>Queen</t>
        </is>
      </c>
      <c r="G440" s="11" t="n"/>
      <c r="H440" s="22" t="n"/>
      <c r="I440" s="11" t="n"/>
      <c r="J440" s="22" t="n"/>
      <c r="K440" s="11" t="n"/>
      <c r="L440" t="inlineStr">
        <is>
          <t>Typology drawing R01</t>
        </is>
      </c>
      <c r="M440">
        <f>Config!$B$3&amp;"?room="&amp;A440</f>
        <v/>
      </c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 ht="15" customHeight="1">
      <c r="A441" t="inlineStr">
        <is>
          <t>B-L05-Q05</t>
        </is>
      </c>
      <c r="B441" t="inlineStr">
        <is>
          <t>Tower B</t>
        </is>
      </c>
      <c r="C441" t="inlineStr">
        <is>
          <t>L05</t>
        </is>
      </c>
      <c r="D441" t="inlineStr">
        <is>
          <t>BL05G51</t>
        </is>
      </c>
      <c r="E441" t="inlineStr">
        <is>
          <t>Q05</t>
        </is>
      </c>
      <c r="F441" t="inlineStr">
        <is>
          <t>Queen</t>
        </is>
      </c>
      <c r="G441" s="11" t="n"/>
      <c r="H441" s="22" t="n"/>
      <c r="I441" s="11" t="n"/>
      <c r="J441" s="22" t="n"/>
      <c r="K441" s="11" t="n"/>
      <c r="L441" t="inlineStr">
        <is>
          <t>Typology drawing R01</t>
        </is>
      </c>
      <c r="M441">
        <f>Config!$B$3&amp;"?room="&amp;A441</f>
        <v/>
      </c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 ht="15" customHeight="1">
      <c r="A442" t="inlineStr">
        <is>
          <t>B-L05-Q06</t>
        </is>
      </c>
      <c r="B442" t="inlineStr">
        <is>
          <t>Tower B</t>
        </is>
      </c>
      <c r="C442" t="inlineStr">
        <is>
          <t>L05</t>
        </is>
      </c>
      <c r="D442" t="inlineStr">
        <is>
          <t>BL05G86</t>
        </is>
      </c>
      <c r="E442" t="inlineStr">
        <is>
          <t>Q06</t>
        </is>
      </c>
      <c r="F442" t="inlineStr">
        <is>
          <t>Queen</t>
        </is>
      </c>
      <c r="G442" s="11" t="n"/>
      <c r="H442" s="22" t="n"/>
      <c r="I442" s="11" t="n"/>
      <c r="J442" s="22" t="n"/>
      <c r="K442" s="11" t="n"/>
      <c r="L442" t="inlineStr">
        <is>
          <t>Typology drawing R01</t>
        </is>
      </c>
      <c r="M442">
        <f>Config!$B$3&amp;"?room="&amp;A442</f>
        <v/>
      </c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 ht="15" customHeight="1">
      <c r="A443" t="inlineStr">
        <is>
          <t>B-L05-S03</t>
        </is>
      </c>
      <c r="B443" t="inlineStr">
        <is>
          <t>Tower B</t>
        </is>
      </c>
      <c r="C443" t="inlineStr">
        <is>
          <t>L05</t>
        </is>
      </c>
      <c r="D443" t="inlineStr">
        <is>
          <t>BL05G66</t>
        </is>
      </c>
      <c r="E443" t="inlineStr">
        <is>
          <t>S03</t>
        </is>
      </c>
      <c r="F443" t="inlineStr">
        <is>
          <t>Suite</t>
        </is>
      </c>
      <c r="G443" s="11" t="n"/>
      <c r="H443" s="22" t="n"/>
      <c r="I443" s="11" t="n"/>
      <c r="J443" s="22" t="n"/>
      <c r="K443" s="11" t="n"/>
      <c r="L443" t="inlineStr">
        <is>
          <t>Typology drawing R01</t>
        </is>
      </c>
      <c r="M443">
        <f>Config!$B$3&amp;"?room="&amp;A443</f>
        <v/>
      </c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 ht="15" customHeight="1">
      <c r="A444" t="inlineStr">
        <is>
          <t>B-L05-S07</t>
        </is>
      </c>
      <c r="B444" t="inlineStr">
        <is>
          <t>Tower B</t>
        </is>
      </c>
      <c r="C444" t="inlineStr">
        <is>
          <t>L05</t>
        </is>
      </c>
      <c r="D444" t="inlineStr">
        <is>
          <t>BL05G49</t>
        </is>
      </c>
      <c r="E444" t="inlineStr">
        <is>
          <t>S07</t>
        </is>
      </c>
      <c r="F444" t="inlineStr">
        <is>
          <t>Suite</t>
        </is>
      </c>
      <c r="G444" s="11" t="n"/>
      <c r="H444" s="22" t="n"/>
      <c r="I444" s="11" t="n"/>
      <c r="J444" s="22" t="n"/>
      <c r="K444" s="11" t="n"/>
      <c r="L444" t="inlineStr">
        <is>
          <t>Typology drawing R01</t>
        </is>
      </c>
      <c r="M444">
        <f>Config!$B$3&amp;"?room="&amp;A444</f>
        <v/>
      </c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 ht="15" customHeight="1">
      <c r="A445" t="inlineStr">
        <is>
          <t>B-L06-F02</t>
        </is>
      </c>
      <c r="B445" t="inlineStr">
        <is>
          <t>Tower B</t>
        </is>
      </c>
      <c r="C445" t="inlineStr">
        <is>
          <t>L06</t>
        </is>
      </c>
      <c r="D445" t="inlineStr">
        <is>
          <t>BL06G90</t>
        </is>
      </c>
      <c r="E445" t="inlineStr">
        <is>
          <t>F02</t>
        </is>
      </c>
      <c r="F445" t="inlineStr">
        <is>
          <t>Family</t>
        </is>
      </c>
      <c r="G445" s="11" t="n"/>
      <c r="H445" s="22" t="n"/>
      <c r="I445" s="11" t="n"/>
      <c r="J445" s="22" t="n"/>
      <c r="K445" s="11" t="n"/>
      <c r="L445" t="inlineStr">
        <is>
          <t>Typology drawing R01</t>
        </is>
      </c>
      <c r="M445">
        <f>Config!$B$3&amp;"?room="&amp;A445</f>
        <v/>
      </c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 ht="15" customHeight="1">
      <c r="A446" t="inlineStr">
        <is>
          <t>B-L06-F06</t>
        </is>
      </c>
      <c r="B446" t="inlineStr">
        <is>
          <t>Tower B</t>
        </is>
      </c>
      <c r="C446" t="inlineStr">
        <is>
          <t>L06</t>
        </is>
      </c>
      <c r="D446" t="inlineStr">
        <is>
          <t>BL06G63</t>
        </is>
      </c>
      <c r="E446" t="inlineStr">
        <is>
          <t>F06</t>
        </is>
      </c>
      <c r="F446" t="inlineStr">
        <is>
          <t>Family</t>
        </is>
      </c>
      <c r="G446" s="11" t="n"/>
      <c r="H446" s="22" t="n"/>
      <c r="I446" s="11" t="n"/>
      <c r="J446" s="22" t="n"/>
      <c r="K446" s="11" t="n"/>
      <c r="L446" t="inlineStr">
        <is>
          <t>Typology drawing R01</t>
        </is>
      </c>
      <c r="M446">
        <f>Config!$B$3&amp;"?room="&amp;A446</f>
        <v/>
      </c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 ht="15" customHeight="1">
      <c r="A447" t="inlineStr">
        <is>
          <t>B-L06-K01-01</t>
        </is>
      </c>
      <c r="B447" t="inlineStr">
        <is>
          <t>Tower B</t>
        </is>
      </c>
      <c r="C447" t="inlineStr">
        <is>
          <t>L06</t>
        </is>
      </c>
      <c r="D447" t="inlineStr">
        <is>
          <t>BL06G53</t>
        </is>
      </c>
      <c r="E447" t="inlineStr">
        <is>
          <t>K01</t>
        </is>
      </c>
      <c r="F447" t="inlineStr">
        <is>
          <t>King</t>
        </is>
      </c>
      <c r="G447" s="11" t="n"/>
      <c r="H447" s="22" t="n"/>
      <c r="I447" s="11" t="n"/>
      <c r="J447" s="22" t="n"/>
      <c r="K447" s="11" t="n"/>
      <c r="L447" t="inlineStr">
        <is>
          <t>Typology drawing R01</t>
        </is>
      </c>
      <c r="M447">
        <f>Config!$B$3&amp;"?room="&amp;A447</f>
        <v/>
      </c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 ht="15" customHeight="1">
      <c r="A448" t="inlineStr">
        <is>
          <t>B-L06-K01-02</t>
        </is>
      </c>
      <c r="B448" t="inlineStr">
        <is>
          <t>Tower B</t>
        </is>
      </c>
      <c r="C448" t="inlineStr">
        <is>
          <t>L06</t>
        </is>
      </c>
      <c r="D448" t="inlineStr">
        <is>
          <t>BL06G77</t>
        </is>
      </c>
      <c r="E448" t="inlineStr">
        <is>
          <t>K01</t>
        </is>
      </c>
      <c r="F448" t="inlineStr">
        <is>
          <t>King</t>
        </is>
      </c>
      <c r="G448" s="11" t="n"/>
      <c r="H448" s="22" t="n"/>
      <c r="I448" s="11" t="n"/>
      <c r="J448" s="22" t="n"/>
      <c r="K448" s="11" t="n"/>
      <c r="L448" t="inlineStr">
        <is>
          <t>Typology drawing R01</t>
        </is>
      </c>
      <c r="M448">
        <f>Config!$B$3&amp;"?room="&amp;A448</f>
        <v/>
      </c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 ht="15" customHeight="1">
      <c r="A449" t="inlineStr">
        <is>
          <t>B-L06-K01A-01</t>
        </is>
      </c>
      <c r="B449" t="inlineStr">
        <is>
          <t>Tower B</t>
        </is>
      </c>
      <c r="C449" t="inlineStr">
        <is>
          <t>L06</t>
        </is>
      </c>
      <c r="D449" t="inlineStr">
        <is>
          <t>BL06G58</t>
        </is>
      </c>
      <c r="E449" t="inlineStr">
        <is>
          <t>K01A</t>
        </is>
      </c>
      <c r="F449" t="inlineStr">
        <is>
          <t>King</t>
        </is>
      </c>
      <c r="G449" s="11" t="n"/>
      <c r="H449" s="22" t="n"/>
      <c r="I449" s="11" t="n"/>
      <c r="J449" s="22" t="n"/>
      <c r="K449" s="11" t="n"/>
      <c r="L449" t="inlineStr">
        <is>
          <t>Typology drawing R01</t>
        </is>
      </c>
      <c r="M449">
        <f>Config!$B$3&amp;"?room="&amp;A449</f>
        <v/>
      </c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 ht="15" customHeight="1">
      <c r="A450" t="inlineStr">
        <is>
          <t>B-L06-K01A-02</t>
        </is>
      </c>
      <c r="B450" t="inlineStr">
        <is>
          <t>Tower B</t>
        </is>
      </c>
      <c r="C450" t="inlineStr">
        <is>
          <t>L06</t>
        </is>
      </c>
      <c r="D450" t="inlineStr">
        <is>
          <t>BL06G76</t>
        </is>
      </c>
      <c r="E450" t="inlineStr">
        <is>
          <t>K01A</t>
        </is>
      </c>
      <c r="F450" t="inlineStr">
        <is>
          <t>King</t>
        </is>
      </c>
      <c r="G450" s="11" t="n"/>
      <c r="H450" s="22" t="n"/>
      <c r="I450" s="11" t="n"/>
      <c r="J450" s="22" t="n"/>
      <c r="K450" s="11" t="n"/>
      <c r="L450" t="inlineStr">
        <is>
          <t>Typology drawing R01</t>
        </is>
      </c>
      <c r="M450">
        <f>Config!$B$3&amp;"?room="&amp;A450</f>
        <v/>
      </c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 ht="15" customHeight="1">
      <c r="A451" t="inlineStr">
        <is>
          <t>B-L06-K01A-03</t>
        </is>
      </c>
      <c r="B451" t="inlineStr">
        <is>
          <t>Tower B</t>
        </is>
      </c>
      <c r="C451" t="inlineStr">
        <is>
          <t>L06</t>
        </is>
      </c>
      <c r="D451" t="inlineStr">
        <is>
          <t>BL06G84</t>
        </is>
      </c>
      <c r="E451" t="inlineStr">
        <is>
          <t>K01A</t>
        </is>
      </c>
      <c r="F451" t="inlineStr">
        <is>
          <t>King</t>
        </is>
      </c>
      <c r="G451" s="11" t="n"/>
      <c r="H451" s="22" t="n"/>
      <c r="I451" s="11" t="n"/>
      <c r="J451" s="22" t="n"/>
      <c r="K451" s="11" t="n"/>
      <c r="L451" t="inlineStr">
        <is>
          <t>Typology drawing R01</t>
        </is>
      </c>
      <c r="M451">
        <f>Config!$B$3&amp;"?room="&amp;A451</f>
        <v/>
      </c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 ht="15" customHeight="1">
      <c r="A452" t="inlineStr">
        <is>
          <t>B-L06-K01C</t>
        </is>
      </c>
      <c r="B452" t="inlineStr">
        <is>
          <t>Tower B</t>
        </is>
      </c>
      <c r="C452" t="inlineStr">
        <is>
          <t>L06</t>
        </is>
      </c>
      <c r="D452" t="inlineStr">
        <is>
          <t>BL06G81</t>
        </is>
      </c>
      <c r="E452" t="inlineStr">
        <is>
          <t>K01C</t>
        </is>
      </c>
      <c r="F452" t="inlineStr">
        <is>
          <t>King</t>
        </is>
      </c>
      <c r="G452" s="11" t="n"/>
      <c r="H452" s="22" t="n"/>
      <c r="I452" s="11" t="n"/>
      <c r="J452" s="22" t="n"/>
      <c r="K452" s="11" t="n"/>
      <c r="L452" t="inlineStr">
        <is>
          <t>Typology drawing R01</t>
        </is>
      </c>
      <c r="M452">
        <f>Config!$B$3&amp;"?room="&amp;A452</f>
        <v/>
      </c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 ht="15" customHeight="1">
      <c r="A453" t="inlineStr">
        <is>
          <t>B-L06-K01C1-01</t>
        </is>
      </c>
      <c r="B453" t="inlineStr">
        <is>
          <t>Tower B</t>
        </is>
      </c>
      <c r="C453" t="inlineStr">
        <is>
          <t>L06</t>
        </is>
      </c>
      <c r="D453" t="inlineStr">
        <is>
          <t>BL06G72</t>
        </is>
      </c>
      <c r="E453" t="inlineStr">
        <is>
          <t>K01C1</t>
        </is>
      </c>
      <c r="F453" t="inlineStr">
        <is>
          <t>King</t>
        </is>
      </c>
      <c r="G453" s="11" t="n"/>
      <c r="H453" s="22" t="n"/>
      <c r="I453" s="11" t="n"/>
      <c r="J453" s="22" t="n"/>
      <c r="K453" s="11" t="n"/>
      <c r="L453" t="inlineStr">
        <is>
          <t>Typology drawing R01</t>
        </is>
      </c>
      <c r="M453">
        <f>Config!$B$3&amp;"?room="&amp;A453</f>
        <v/>
      </c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 ht="15" customHeight="1">
      <c r="A454" t="inlineStr">
        <is>
          <t>B-L06-K01C1-02</t>
        </is>
      </c>
      <c r="B454" t="inlineStr">
        <is>
          <t>Tower B</t>
        </is>
      </c>
      <c r="C454" t="inlineStr">
        <is>
          <t>L06</t>
        </is>
      </c>
      <c r="D454" t="inlineStr">
        <is>
          <t>BL06G80</t>
        </is>
      </c>
      <c r="E454" t="inlineStr">
        <is>
          <t>K01C1</t>
        </is>
      </c>
      <c r="F454" t="inlineStr">
        <is>
          <t>King</t>
        </is>
      </c>
      <c r="G454" s="11" t="n"/>
      <c r="H454" s="22" t="n"/>
      <c r="I454" s="11" t="n"/>
      <c r="J454" s="22" t="n"/>
      <c r="K454" s="11" t="n"/>
      <c r="L454" t="inlineStr">
        <is>
          <t>Typology drawing R01</t>
        </is>
      </c>
      <c r="M454">
        <f>Config!$B$3&amp;"?room="&amp;A454</f>
        <v/>
      </c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 ht="15" customHeight="1">
      <c r="A455" t="inlineStr">
        <is>
          <t>B-L06-K01D</t>
        </is>
      </c>
      <c r="B455" t="inlineStr">
        <is>
          <t>Tower B</t>
        </is>
      </c>
      <c r="C455" t="inlineStr">
        <is>
          <t>L06</t>
        </is>
      </c>
      <c r="D455" t="inlineStr">
        <is>
          <t>BL06G61</t>
        </is>
      </c>
      <c r="E455" t="inlineStr">
        <is>
          <t>K01D</t>
        </is>
      </c>
      <c r="F455" t="inlineStr">
        <is>
          <t>King</t>
        </is>
      </c>
      <c r="G455" s="11" t="n"/>
      <c r="H455" s="22" t="n"/>
      <c r="I455" s="11" t="n"/>
      <c r="J455" s="22" t="n"/>
      <c r="K455" s="11" t="n"/>
      <c r="L455" t="inlineStr">
        <is>
          <t>Typology drawing R01</t>
        </is>
      </c>
      <c r="M455">
        <f>Config!$B$3&amp;"?room="&amp;A455</f>
        <v/>
      </c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 ht="15" customHeight="1">
      <c r="A456" t="inlineStr">
        <is>
          <t>B-L06-K02-01</t>
        </is>
      </c>
      <c r="B456" t="inlineStr">
        <is>
          <t>Tower B</t>
        </is>
      </c>
      <c r="C456" t="inlineStr">
        <is>
          <t>L06</t>
        </is>
      </c>
      <c r="D456" t="inlineStr">
        <is>
          <t>BL06G55</t>
        </is>
      </c>
      <c r="E456" t="inlineStr">
        <is>
          <t>K02</t>
        </is>
      </c>
      <c r="F456" t="inlineStr">
        <is>
          <t>King</t>
        </is>
      </c>
      <c r="G456" s="11" t="n"/>
      <c r="H456" s="22" t="n"/>
      <c r="I456" s="11" t="n"/>
      <c r="J456" s="22" t="n"/>
      <c r="K456" s="11" t="n"/>
      <c r="L456" t="inlineStr">
        <is>
          <t>Typology drawing R01</t>
        </is>
      </c>
      <c r="M456">
        <f>Config!$B$3&amp;"?room="&amp;A456</f>
        <v/>
      </c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 ht="15" customHeight="1">
      <c r="A457" t="inlineStr">
        <is>
          <t>B-L06-K02-02</t>
        </is>
      </c>
      <c r="B457" t="inlineStr">
        <is>
          <t>Tower B</t>
        </is>
      </c>
      <c r="C457" t="inlineStr">
        <is>
          <t>L06</t>
        </is>
      </c>
      <c r="D457" t="inlineStr">
        <is>
          <t>BL06G71</t>
        </is>
      </c>
      <c r="E457" t="inlineStr">
        <is>
          <t>K02</t>
        </is>
      </c>
      <c r="F457" t="inlineStr">
        <is>
          <t>King</t>
        </is>
      </c>
      <c r="G457" s="11" t="n"/>
      <c r="H457" s="22" t="n"/>
      <c r="I457" s="11" t="n"/>
      <c r="J457" s="22" t="n"/>
      <c r="K457" s="11" t="n"/>
      <c r="L457" t="inlineStr">
        <is>
          <t>Typology drawing R01</t>
        </is>
      </c>
      <c r="M457">
        <f>Config!$B$3&amp;"?room="&amp;A457</f>
        <v/>
      </c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 ht="15" customHeight="1">
      <c r="A458" t="inlineStr">
        <is>
          <t>B-L06-K02-03</t>
        </is>
      </c>
      <c r="B458" t="inlineStr">
        <is>
          <t>Tower B</t>
        </is>
      </c>
      <c r="C458" t="inlineStr">
        <is>
          <t>L06</t>
        </is>
      </c>
      <c r="D458" t="inlineStr">
        <is>
          <t>BL06G79</t>
        </is>
      </c>
      <c r="E458" t="inlineStr">
        <is>
          <t>K02</t>
        </is>
      </c>
      <c r="F458" t="inlineStr">
        <is>
          <t>King</t>
        </is>
      </c>
      <c r="G458" s="11" t="n"/>
      <c r="H458" s="22" t="n"/>
      <c r="I458" s="11" t="n"/>
      <c r="J458" s="22" t="n"/>
      <c r="K458" s="11" t="n"/>
      <c r="L458" t="inlineStr">
        <is>
          <t>Typology drawing R01</t>
        </is>
      </c>
      <c r="M458">
        <f>Config!$B$3&amp;"?room="&amp;A458</f>
        <v/>
      </c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 ht="15" customHeight="1">
      <c r="A459" t="inlineStr">
        <is>
          <t>B-L06-K02A-01</t>
        </is>
      </c>
      <c r="B459" t="inlineStr">
        <is>
          <t>Tower B</t>
        </is>
      </c>
      <c r="C459" t="inlineStr">
        <is>
          <t>L06</t>
        </is>
      </c>
      <c r="D459" t="inlineStr">
        <is>
          <t>BL06G74</t>
        </is>
      </c>
      <c r="E459" t="inlineStr">
        <is>
          <t>K02A</t>
        </is>
      </c>
      <c r="F459" t="inlineStr">
        <is>
          <t>King</t>
        </is>
      </c>
      <c r="G459" s="11" t="n"/>
      <c r="H459" s="22" t="n"/>
      <c r="I459" s="11" t="n"/>
      <c r="J459" s="22" t="n"/>
      <c r="K459" s="11" t="n"/>
      <c r="L459" t="inlineStr">
        <is>
          <t>Typology drawing R01</t>
        </is>
      </c>
      <c r="M459">
        <f>Config!$B$3&amp;"?room="&amp;A459</f>
        <v/>
      </c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 ht="15" customHeight="1">
      <c r="A460" t="inlineStr">
        <is>
          <t>B-L06-K02A-02</t>
        </is>
      </c>
      <c r="B460" t="inlineStr">
        <is>
          <t>Tower B</t>
        </is>
      </c>
      <c r="C460" t="inlineStr">
        <is>
          <t>L06</t>
        </is>
      </c>
      <c r="D460" t="inlineStr">
        <is>
          <t>BL06G82</t>
        </is>
      </c>
      <c r="E460" t="inlineStr">
        <is>
          <t>K02A</t>
        </is>
      </c>
      <c r="F460" t="inlineStr">
        <is>
          <t>King</t>
        </is>
      </c>
      <c r="G460" s="11" t="n"/>
      <c r="H460" s="22" t="n"/>
      <c r="I460" s="11" t="n"/>
      <c r="J460" s="22" t="n"/>
      <c r="K460" s="11" t="n"/>
      <c r="L460" t="inlineStr">
        <is>
          <t>Typology drawing R01</t>
        </is>
      </c>
      <c r="M460">
        <f>Config!$B$3&amp;"?room="&amp;A460</f>
        <v/>
      </c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 ht="15" customHeight="1">
      <c r="A461" t="inlineStr">
        <is>
          <t>B-L06-K02C-01</t>
        </is>
      </c>
      <c r="B461" t="inlineStr">
        <is>
          <t>Tower B</t>
        </is>
      </c>
      <c r="C461" t="inlineStr">
        <is>
          <t>L06</t>
        </is>
      </c>
      <c r="D461" t="inlineStr">
        <is>
          <t>BL06G59</t>
        </is>
      </c>
      <c r="E461" t="inlineStr">
        <is>
          <t>K02C</t>
        </is>
      </c>
      <c r="F461" t="inlineStr">
        <is>
          <t>King</t>
        </is>
      </c>
      <c r="G461" s="11" t="n"/>
      <c r="H461" s="22" t="n"/>
      <c r="I461" s="11" t="n"/>
      <c r="J461" s="22" t="n"/>
      <c r="K461" s="11" t="n"/>
      <c r="L461" t="inlineStr">
        <is>
          <t>Typology drawing R01</t>
        </is>
      </c>
      <c r="M461">
        <f>Config!$B$3&amp;"?room="&amp;A461</f>
        <v/>
      </c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 ht="15" customHeight="1">
      <c r="A462" t="inlineStr">
        <is>
          <t>B-L06-K02C-02</t>
        </is>
      </c>
      <c r="B462" t="inlineStr">
        <is>
          <t>Tower B</t>
        </is>
      </c>
      <c r="C462" t="inlineStr">
        <is>
          <t>L06</t>
        </is>
      </c>
      <c r="D462" t="inlineStr">
        <is>
          <t>BL06G75</t>
        </is>
      </c>
      <c r="E462" t="inlineStr">
        <is>
          <t>K02C</t>
        </is>
      </c>
      <c r="F462" t="inlineStr">
        <is>
          <t>King</t>
        </is>
      </c>
      <c r="G462" s="11" t="n"/>
      <c r="H462" s="22" t="n"/>
      <c r="I462" s="11" t="n"/>
      <c r="J462" s="22" t="n"/>
      <c r="K462" s="11" t="n"/>
      <c r="L462" t="inlineStr">
        <is>
          <t>Typology drawing R01</t>
        </is>
      </c>
      <c r="M462">
        <f>Config!$B$3&amp;"?room="&amp;A462</f>
        <v/>
      </c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 ht="15" customHeight="1">
      <c r="A463" t="inlineStr">
        <is>
          <t>B-L06-K03</t>
        </is>
      </c>
      <c r="B463" t="inlineStr">
        <is>
          <t>Tower B</t>
        </is>
      </c>
      <c r="C463" t="inlineStr">
        <is>
          <t>L06</t>
        </is>
      </c>
      <c r="D463" t="inlineStr">
        <is>
          <t>BL06G89</t>
        </is>
      </c>
      <c r="E463" t="inlineStr">
        <is>
          <t>K03</t>
        </is>
      </c>
      <c r="F463" t="inlineStr">
        <is>
          <t>King</t>
        </is>
      </c>
      <c r="G463" s="11" t="n"/>
      <c r="H463" s="22" t="n"/>
      <c r="I463" s="11" t="n"/>
      <c r="J463" s="22" t="n"/>
      <c r="K463" s="11" t="n"/>
      <c r="L463" t="inlineStr">
        <is>
          <t>Typology drawing R01</t>
        </is>
      </c>
      <c r="M463">
        <f>Config!$B$3&amp;"?room="&amp;A463</f>
        <v/>
      </c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 ht="15" customHeight="1">
      <c r="A464" t="inlineStr">
        <is>
          <t>B-L06-KADA2</t>
        </is>
      </c>
      <c r="B464" t="inlineStr">
        <is>
          <t>Tower B</t>
        </is>
      </c>
      <c r="C464" t="inlineStr">
        <is>
          <t>L06</t>
        </is>
      </c>
      <c r="D464" t="inlineStr">
        <is>
          <t>BL06G60</t>
        </is>
      </c>
      <c r="E464" t="inlineStr">
        <is>
          <t>KADA2</t>
        </is>
      </c>
      <c r="F464" t="inlineStr">
        <is>
          <t>King ADA</t>
        </is>
      </c>
      <c r="G464" s="11" t="n"/>
      <c r="H464" s="22" t="n"/>
      <c r="I464" s="11" t="n"/>
      <c r="J464" s="22" t="n"/>
      <c r="K464" s="11" t="n"/>
      <c r="L464" t="inlineStr">
        <is>
          <t>Typology drawing R01</t>
        </is>
      </c>
      <c r="M464">
        <f>Config!$B$3&amp;"?room="&amp;A464</f>
        <v/>
      </c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 ht="15" customHeight="1">
      <c r="A465" t="inlineStr">
        <is>
          <t>B-L06-Q01C</t>
        </is>
      </c>
      <c r="B465" t="inlineStr">
        <is>
          <t>Tower B</t>
        </is>
      </c>
      <c r="C465" t="inlineStr">
        <is>
          <t>L06</t>
        </is>
      </c>
      <c r="D465" t="inlineStr">
        <is>
          <t>BL06G83</t>
        </is>
      </c>
      <c r="E465" t="inlineStr">
        <is>
          <t>Q01C</t>
        </is>
      </c>
      <c r="F465" t="inlineStr">
        <is>
          <t>Queen</t>
        </is>
      </c>
      <c r="G465" s="11" t="n"/>
      <c r="H465" s="22" t="n"/>
      <c r="I465" s="11" t="n"/>
      <c r="J465" s="22" t="n"/>
      <c r="K465" s="11" t="n"/>
      <c r="L465" t="inlineStr">
        <is>
          <t>Typology drawing R01</t>
        </is>
      </c>
      <c r="M465">
        <f>Config!$B$3&amp;"?room="&amp;A465</f>
        <v/>
      </c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 ht="15" customHeight="1">
      <c r="A466" t="inlineStr">
        <is>
          <t>B-L06-Q01C1-01</t>
        </is>
      </c>
      <c r="B466" t="inlineStr">
        <is>
          <t>Tower B</t>
        </is>
      </c>
      <c r="C466" t="inlineStr">
        <is>
          <t>L06</t>
        </is>
      </c>
      <c r="D466" t="inlineStr">
        <is>
          <t>BL06G64</t>
        </is>
      </c>
      <c r="E466" t="inlineStr">
        <is>
          <t>Q01C1</t>
        </is>
      </c>
      <c r="F466" t="inlineStr">
        <is>
          <t>Queen</t>
        </is>
      </c>
      <c r="G466" s="11" t="n"/>
      <c r="H466" s="22" t="n"/>
      <c r="I466" s="11" t="n"/>
      <c r="J466" s="22" t="n"/>
      <c r="K466" s="11" t="n"/>
      <c r="L466" t="inlineStr">
        <is>
          <t>Typology drawing R01</t>
        </is>
      </c>
      <c r="M466">
        <f>Config!$B$3&amp;"?room="&amp;A466</f>
        <v/>
      </c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 ht="15" customHeight="1">
      <c r="A467" t="inlineStr">
        <is>
          <t>B-L06-Q01C1-02</t>
        </is>
      </c>
      <c r="B467" t="inlineStr">
        <is>
          <t>Tower B</t>
        </is>
      </c>
      <c r="C467" t="inlineStr">
        <is>
          <t>L06</t>
        </is>
      </c>
      <c r="D467" t="inlineStr">
        <is>
          <t>BL06G70</t>
        </is>
      </c>
      <c r="E467" t="inlineStr">
        <is>
          <t>Q01C1</t>
        </is>
      </c>
      <c r="F467" t="inlineStr">
        <is>
          <t>Queen</t>
        </is>
      </c>
      <c r="G467" s="11" t="n"/>
      <c r="H467" s="22" t="n"/>
      <c r="I467" s="11" t="n"/>
      <c r="J467" s="22" t="n"/>
      <c r="K467" s="11" t="n"/>
      <c r="L467" t="inlineStr">
        <is>
          <t>Typology drawing R01</t>
        </is>
      </c>
      <c r="M467">
        <f>Config!$B$3&amp;"?room="&amp;A467</f>
        <v/>
      </c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 ht="15" customHeight="1">
      <c r="A468" t="inlineStr">
        <is>
          <t>B-L06-Q01C1-03</t>
        </is>
      </c>
      <c r="B468" t="inlineStr">
        <is>
          <t>Tower B</t>
        </is>
      </c>
      <c r="C468" t="inlineStr">
        <is>
          <t>L06</t>
        </is>
      </c>
      <c r="D468" t="inlineStr">
        <is>
          <t>BL06G78</t>
        </is>
      </c>
      <c r="E468" t="inlineStr">
        <is>
          <t>Q01C1</t>
        </is>
      </c>
      <c r="F468" t="inlineStr">
        <is>
          <t>Queen</t>
        </is>
      </c>
      <c r="G468" s="11" t="n"/>
      <c r="H468" s="22" t="n"/>
      <c r="I468" s="11" t="n"/>
      <c r="J468" s="22" t="n"/>
      <c r="K468" s="11" t="n"/>
      <c r="L468" t="inlineStr">
        <is>
          <t>Typology drawing R01</t>
        </is>
      </c>
      <c r="M468">
        <f>Config!$B$3&amp;"?room="&amp;A468</f>
        <v/>
      </c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 ht="15" customHeight="1">
      <c r="A469" t="inlineStr">
        <is>
          <t>B-L06-Q02C-01</t>
        </is>
      </c>
      <c r="B469" t="inlineStr">
        <is>
          <t>Tower B</t>
        </is>
      </c>
      <c r="C469" t="inlineStr">
        <is>
          <t>L06</t>
        </is>
      </c>
      <c r="D469" t="inlineStr">
        <is>
          <t>BL06G57</t>
        </is>
      </c>
      <c r="E469" t="inlineStr">
        <is>
          <t>Q02C</t>
        </is>
      </c>
      <c r="F469" t="inlineStr">
        <is>
          <t>Queen</t>
        </is>
      </c>
      <c r="G469" s="11" t="n"/>
      <c r="H469" s="22" t="n"/>
      <c r="I469" s="11" t="n"/>
      <c r="J469" s="22" t="n"/>
      <c r="K469" s="11" t="n"/>
      <c r="L469" t="inlineStr">
        <is>
          <t>Typology drawing R01</t>
        </is>
      </c>
      <c r="M469">
        <f>Config!$B$3&amp;"?room="&amp;A469</f>
        <v/>
      </c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 ht="15" customHeight="1">
      <c r="A470" t="inlineStr">
        <is>
          <t>B-L06-Q02C-02</t>
        </is>
      </c>
      <c r="B470" t="inlineStr">
        <is>
          <t>Tower B</t>
        </is>
      </c>
      <c r="C470" t="inlineStr">
        <is>
          <t>L06</t>
        </is>
      </c>
      <c r="D470" t="inlineStr">
        <is>
          <t>BL06G73</t>
        </is>
      </c>
      <c r="E470" t="inlineStr">
        <is>
          <t>Q02C</t>
        </is>
      </c>
      <c r="F470" t="inlineStr">
        <is>
          <t>Queen</t>
        </is>
      </c>
      <c r="G470" s="11" t="n"/>
      <c r="H470" s="22" t="n"/>
      <c r="I470" s="11" t="n"/>
      <c r="J470" s="22" t="n"/>
      <c r="K470" s="11" t="n"/>
      <c r="L470" t="inlineStr">
        <is>
          <t>Typology drawing R01</t>
        </is>
      </c>
      <c r="M470">
        <f>Config!$B$3&amp;"?room="&amp;A470</f>
        <v/>
      </c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 ht="15" customHeight="1">
      <c r="A471" t="inlineStr">
        <is>
          <t>B-L06-Q02C-03</t>
        </is>
      </c>
      <c r="B471" t="inlineStr">
        <is>
          <t>Tower B</t>
        </is>
      </c>
      <c r="C471" t="inlineStr">
        <is>
          <t>L06</t>
        </is>
      </c>
      <c r="D471" t="inlineStr">
        <is>
          <t>BL06G87</t>
        </is>
      </c>
      <c r="E471" t="inlineStr">
        <is>
          <t>Q02C</t>
        </is>
      </c>
      <c r="F471" t="inlineStr">
        <is>
          <t>Queen</t>
        </is>
      </c>
      <c r="G471" s="11" t="n"/>
      <c r="H471" s="22" t="n"/>
      <c r="I471" s="11" t="n"/>
      <c r="J471" s="22" t="n"/>
      <c r="K471" s="11" t="n"/>
      <c r="L471" t="inlineStr">
        <is>
          <t>Typology drawing R01</t>
        </is>
      </c>
      <c r="M471">
        <f>Config!$B$3&amp;"?room="&amp;A471</f>
        <v/>
      </c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 ht="15" customHeight="1">
      <c r="A472" t="inlineStr">
        <is>
          <t>B-L06-Q02C1</t>
        </is>
      </c>
      <c r="B472" t="inlineStr">
        <is>
          <t>Tower B</t>
        </is>
      </c>
      <c r="C472" t="inlineStr">
        <is>
          <t>L06</t>
        </is>
      </c>
      <c r="D472" t="inlineStr">
        <is>
          <t>BL06G62</t>
        </is>
      </c>
      <c r="E472" t="inlineStr">
        <is>
          <t>Q02C1</t>
        </is>
      </c>
      <c r="F472" t="inlineStr">
        <is>
          <t>Queen</t>
        </is>
      </c>
      <c r="G472" s="11" t="n"/>
      <c r="H472" s="22" t="n"/>
      <c r="I472" s="11" t="n"/>
      <c r="J472" s="22" t="n"/>
      <c r="K472" s="11" t="n"/>
      <c r="L472" t="inlineStr">
        <is>
          <t>Typology drawing R01</t>
        </is>
      </c>
      <c r="M472">
        <f>Config!$B$3&amp;"?room="&amp;A472</f>
        <v/>
      </c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 ht="15" customHeight="1">
      <c r="A473" t="inlineStr">
        <is>
          <t>B-L06-Q02D</t>
        </is>
      </c>
      <c r="B473" t="inlineStr">
        <is>
          <t>Tower B</t>
        </is>
      </c>
      <c r="C473" t="inlineStr">
        <is>
          <t>L06</t>
        </is>
      </c>
      <c r="D473" t="inlineStr">
        <is>
          <t>BL06G85</t>
        </is>
      </c>
      <c r="E473" t="inlineStr">
        <is>
          <t>Q02D</t>
        </is>
      </c>
      <c r="F473" t="inlineStr">
        <is>
          <t>Queen</t>
        </is>
      </c>
      <c r="G473" s="11" t="n"/>
      <c r="H473" s="22" t="n"/>
      <c r="I473" s="11" t="n"/>
      <c r="J473" s="22" t="n"/>
      <c r="K473" s="11" t="n"/>
      <c r="L473" t="inlineStr">
        <is>
          <t>Typology drawing R01</t>
        </is>
      </c>
      <c r="M473">
        <f>Config!$B$3&amp;"?room="&amp;A473</f>
        <v/>
      </c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 ht="15" customHeight="1">
      <c r="A474" t="inlineStr">
        <is>
          <t>B-L06-Q04</t>
        </is>
      </c>
      <c r="B474" t="inlineStr">
        <is>
          <t>Tower B</t>
        </is>
      </c>
      <c r="C474" t="inlineStr">
        <is>
          <t>L06</t>
        </is>
      </c>
      <c r="D474" t="inlineStr">
        <is>
          <t>BL06G69</t>
        </is>
      </c>
      <c r="E474" t="inlineStr">
        <is>
          <t>Q04</t>
        </is>
      </c>
      <c r="F474" t="inlineStr">
        <is>
          <t>Queen</t>
        </is>
      </c>
      <c r="G474" s="11" t="n"/>
      <c r="H474" s="22" t="n"/>
      <c r="I474" s="11" t="n"/>
      <c r="J474" s="22" t="n"/>
      <c r="K474" s="11" t="n"/>
      <c r="L474" t="inlineStr">
        <is>
          <t>Typology drawing R01</t>
        </is>
      </c>
      <c r="M474">
        <f>Config!$B$3&amp;"?room="&amp;A474</f>
        <v/>
      </c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 ht="15" customHeight="1">
      <c r="A475" t="inlineStr">
        <is>
          <t>B-L06-Q05</t>
        </is>
      </c>
      <c r="B475" t="inlineStr">
        <is>
          <t>Tower B</t>
        </is>
      </c>
      <c r="C475" t="inlineStr">
        <is>
          <t>L06</t>
        </is>
      </c>
      <c r="D475" t="inlineStr">
        <is>
          <t>BL06G51</t>
        </is>
      </c>
      <c r="E475" t="inlineStr">
        <is>
          <t>Q05</t>
        </is>
      </c>
      <c r="F475" t="inlineStr">
        <is>
          <t>Queen</t>
        </is>
      </c>
      <c r="G475" s="11" t="n"/>
      <c r="H475" s="22" t="n"/>
      <c r="I475" s="11" t="n"/>
      <c r="J475" s="22" t="n"/>
      <c r="K475" s="11" t="n"/>
      <c r="L475" t="inlineStr">
        <is>
          <t>Typology drawing R01</t>
        </is>
      </c>
      <c r="M475">
        <f>Config!$B$3&amp;"?room="&amp;A475</f>
        <v/>
      </c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 ht="15" customHeight="1">
      <c r="A476" t="inlineStr">
        <is>
          <t>B-L06-Q06</t>
        </is>
      </c>
      <c r="B476" t="inlineStr">
        <is>
          <t>Tower B</t>
        </is>
      </c>
      <c r="C476" t="inlineStr">
        <is>
          <t>L06</t>
        </is>
      </c>
      <c r="D476" t="inlineStr">
        <is>
          <t>BL06G86</t>
        </is>
      </c>
      <c r="E476" t="inlineStr">
        <is>
          <t>Q06</t>
        </is>
      </c>
      <c r="F476" t="inlineStr">
        <is>
          <t>Queen</t>
        </is>
      </c>
      <c r="G476" s="11" t="n"/>
      <c r="H476" s="22" t="n"/>
      <c r="I476" s="11" t="n"/>
      <c r="J476" s="22" t="n"/>
      <c r="K476" s="11" t="n"/>
      <c r="L476" t="inlineStr">
        <is>
          <t>Typology drawing R01</t>
        </is>
      </c>
      <c r="M476">
        <f>Config!$B$3&amp;"?room="&amp;A476</f>
        <v/>
      </c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 ht="15" customHeight="1">
      <c r="A477" t="inlineStr">
        <is>
          <t>B-L06-S03</t>
        </is>
      </c>
      <c r="B477" t="inlineStr">
        <is>
          <t>Tower B</t>
        </is>
      </c>
      <c r="C477" t="inlineStr">
        <is>
          <t>L06</t>
        </is>
      </c>
      <c r="D477" t="inlineStr">
        <is>
          <t>BL06G66</t>
        </is>
      </c>
      <c r="E477" t="inlineStr">
        <is>
          <t>S03</t>
        </is>
      </c>
      <c r="F477" t="inlineStr">
        <is>
          <t>Suite</t>
        </is>
      </c>
      <c r="G477" s="11" t="n"/>
      <c r="H477" s="22" t="n"/>
      <c r="I477" s="11" t="n"/>
      <c r="J477" s="22" t="n"/>
      <c r="K477" s="11" t="n"/>
      <c r="L477" t="inlineStr">
        <is>
          <t>Typology drawing R01</t>
        </is>
      </c>
      <c r="M477">
        <f>Config!$B$3&amp;"?room="&amp;A477</f>
        <v/>
      </c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 ht="15" customHeight="1">
      <c r="A478" t="inlineStr">
        <is>
          <t>B-L06-S07</t>
        </is>
      </c>
      <c r="B478" t="inlineStr">
        <is>
          <t>Tower B</t>
        </is>
      </c>
      <c r="C478" t="inlineStr">
        <is>
          <t>L06</t>
        </is>
      </c>
      <c r="D478" t="inlineStr">
        <is>
          <t>BL06G49</t>
        </is>
      </c>
      <c r="E478" t="inlineStr">
        <is>
          <t>S07</t>
        </is>
      </c>
      <c r="F478" t="inlineStr">
        <is>
          <t>Suite</t>
        </is>
      </c>
      <c r="G478" s="11" t="n"/>
      <c r="H478" s="22" t="n"/>
      <c r="I478" s="11" t="n"/>
      <c r="J478" s="22" t="n"/>
      <c r="K478" s="11" t="n"/>
      <c r="L478" t="inlineStr">
        <is>
          <t>Typology drawing R01</t>
        </is>
      </c>
      <c r="M478">
        <f>Config!$B$3&amp;"?room="&amp;A478</f>
        <v/>
      </c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 ht="15" customHeight="1">
      <c r="A479" t="inlineStr">
        <is>
          <t>B-L07-F02</t>
        </is>
      </c>
      <c r="B479" t="inlineStr">
        <is>
          <t>Tower B</t>
        </is>
      </c>
      <c r="C479" t="inlineStr">
        <is>
          <t>L07</t>
        </is>
      </c>
      <c r="D479" t="inlineStr">
        <is>
          <t>BL07G88</t>
        </is>
      </c>
      <c r="E479" t="inlineStr">
        <is>
          <t>F02</t>
        </is>
      </c>
      <c r="F479" t="inlineStr">
        <is>
          <t>Family</t>
        </is>
      </c>
      <c r="G479" s="11" t="n"/>
      <c r="H479" s="22" t="n"/>
      <c r="I479" s="11" t="n"/>
      <c r="J479" s="22" t="n"/>
      <c r="K479" s="11" t="n"/>
      <c r="L479" t="inlineStr">
        <is>
          <t>Typology drawing R01</t>
        </is>
      </c>
      <c r="M479">
        <f>Config!$B$3&amp;"?room="&amp;A479</f>
        <v/>
      </c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 ht="15" customHeight="1">
      <c r="A480" t="inlineStr">
        <is>
          <t>B-L07-F06</t>
        </is>
      </c>
      <c r="B480" t="inlineStr">
        <is>
          <t>Tower B</t>
        </is>
      </c>
      <c r="C480" t="inlineStr">
        <is>
          <t>L07</t>
        </is>
      </c>
      <c r="D480" t="inlineStr">
        <is>
          <t>BL07G63</t>
        </is>
      </c>
      <c r="E480" t="inlineStr">
        <is>
          <t>F06</t>
        </is>
      </c>
      <c r="F480" t="inlineStr">
        <is>
          <t>Family</t>
        </is>
      </c>
      <c r="G480" s="11" t="n"/>
      <c r="H480" s="22" t="n"/>
      <c r="I480" s="11" t="n"/>
      <c r="J480" s="22" t="n"/>
      <c r="K480" s="11" t="n"/>
      <c r="L480" t="inlineStr">
        <is>
          <t>Typology drawing R01</t>
        </is>
      </c>
      <c r="M480">
        <f>Config!$B$3&amp;"?room="&amp;A480</f>
        <v/>
      </c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 ht="15" customHeight="1">
      <c r="A481" t="inlineStr">
        <is>
          <t>B-L07-K01A-01</t>
        </is>
      </c>
      <c r="B481" t="inlineStr">
        <is>
          <t>Tower B</t>
        </is>
      </c>
      <c r="C481" t="inlineStr">
        <is>
          <t>L07</t>
        </is>
      </c>
      <c r="D481" t="inlineStr">
        <is>
          <t>BL07G58</t>
        </is>
      </c>
      <c r="E481" t="inlineStr">
        <is>
          <t>K01A</t>
        </is>
      </c>
      <c r="F481" t="inlineStr">
        <is>
          <t>King</t>
        </is>
      </c>
      <c r="G481" s="11" t="n"/>
      <c r="H481" s="22" t="n"/>
      <c r="I481" s="11" t="n"/>
      <c r="J481" s="22" t="n"/>
      <c r="K481" s="11" t="n"/>
      <c r="L481" t="inlineStr">
        <is>
          <t>Typology drawing R01</t>
        </is>
      </c>
      <c r="M481">
        <f>Config!$B$3&amp;"?room="&amp;A481</f>
        <v/>
      </c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 ht="15" customHeight="1">
      <c r="A482" t="inlineStr">
        <is>
          <t>B-L07-K01A-02</t>
        </is>
      </c>
      <c r="B482" t="inlineStr">
        <is>
          <t>Tower B</t>
        </is>
      </c>
      <c r="C482" t="inlineStr">
        <is>
          <t>L07</t>
        </is>
      </c>
      <c r="D482" t="inlineStr">
        <is>
          <t>BL07G76</t>
        </is>
      </c>
      <c r="E482" t="inlineStr">
        <is>
          <t>K01A</t>
        </is>
      </c>
      <c r="F482" t="inlineStr">
        <is>
          <t>King</t>
        </is>
      </c>
      <c r="G482" s="11" t="n"/>
      <c r="H482" s="22" t="n"/>
      <c r="I482" s="11" t="n"/>
      <c r="J482" s="22" t="n"/>
      <c r="K482" s="11" t="n"/>
      <c r="L482" t="inlineStr">
        <is>
          <t>Typology drawing R01</t>
        </is>
      </c>
      <c r="M482">
        <f>Config!$B$3&amp;"?room="&amp;A482</f>
        <v/>
      </c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 ht="15" customHeight="1">
      <c r="A483" t="inlineStr">
        <is>
          <t>B-L07-K01A-03</t>
        </is>
      </c>
      <c r="B483" t="inlineStr">
        <is>
          <t>Tower B</t>
        </is>
      </c>
      <c r="C483" t="inlineStr">
        <is>
          <t>L07</t>
        </is>
      </c>
      <c r="D483" t="inlineStr">
        <is>
          <t>BL07G84</t>
        </is>
      </c>
      <c r="E483" t="inlineStr">
        <is>
          <t>K01A</t>
        </is>
      </c>
      <c r="F483" t="inlineStr">
        <is>
          <t>King</t>
        </is>
      </c>
      <c r="G483" s="11" t="n"/>
      <c r="H483" s="22" t="n"/>
      <c r="I483" s="11" t="n"/>
      <c r="J483" s="22" t="n"/>
      <c r="K483" s="11" t="n"/>
      <c r="L483" t="inlineStr">
        <is>
          <t>Typology drawing R01</t>
        </is>
      </c>
      <c r="M483">
        <f>Config!$B$3&amp;"?room="&amp;A483</f>
        <v/>
      </c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 ht="15" customHeight="1">
      <c r="A484" t="inlineStr">
        <is>
          <t>B-L07-K01C1-01</t>
        </is>
      </c>
      <c r="B484" t="inlineStr">
        <is>
          <t>Tower B</t>
        </is>
      </c>
      <c r="C484" t="inlineStr">
        <is>
          <t>L07</t>
        </is>
      </c>
      <c r="D484" t="inlineStr">
        <is>
          <t>BL07G72</t>
        </is>
      </c>
      <c r="E484" t="inlineStr">
        <is>
          <t>K01C1</t>
        </is>
      </c>
      <c r="F484" t="inlineStr">
        <is>
          <t>King</t>
        </is>
      </c>
      <c r="G484" s="11" t="n"/>
      <c r="H484" s="22" t="n"/>
      <c r="I484" s="11" t="n"/>
      <c r="J484" s="22" t="n"/>
      <c r="K484" s="11" t="n"/>
      <c r="L484" t="inlineStr">
        <is>
          <t>Type per Room Matrix (drawing shows K01C)</t>
        </is>
      </c>
      <c r="M484">
        <f>Config!$B$3&amp;"?room="&amp;A484</f>
        <v/>
      </c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 ht="15" customHeight="1">
      <c r="A485" t="inlineStr">
        <is>
          <t>B-L07-K01C1-02</t>
        </is>
      </c>
      <c r="B485" t="inlineStr">
        <is>
          <t>Tower B</t>
        </is>
      </c>
      <c r="C485" t="inlineStr">
        <is>
          <t>L07</t>
        </is>
      </c>
      <c r="D485" t="inlineStr">
        <is>
          <t>BL07G80</t>
        </is>
      </c>
      <c r="E485" t="inlineStr">
        <is>
          <t>K01C1</t>
        </is>
      </c>
      <c r="F485" t="inlineStr">
        <is>
          <t>King</t>
        </is>
      </c>
      <c r="G485" s="11" t="n"/>
      <c r="H485" s="22" t="n"/>
      <c r="I485" s="11" t="n"/>
      <c r="J485" s="22" t="n"/>
      <c r="K485" s="11" t="n"/>
      <c r="L485" t="inlineStr">
        <is>
          <t>Type per Room Matrix (drawing shows K01C)</t>
        </is>
      </c>
      <c r="M485">
        <f>Config!$B$3&amp;"?room="&amp;A485</f>
        <v/>
      </c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 ht="15" customHeight="1">
      <c r="A486" t="inlineStr">
        <is>
          <t>B-L07-K02A-01</t>
        </is>
      </c>
      <c r="B486" t="inlineStr">
        <is>
          <t>Tower B</t>
        </is>
      </c>
      <c r="C486" t="inlineStr">
        <is>
          <t>L07</t>
        </is>
      </c>
      <c r="D486" t="inlineStr">
        <is>
          <t>BL07G74</t>
        </is>
      </c>
      <c r="E486" t="inlineStr">
        <is>
          <t>K02A</t>
        </is>
      </c>
      <c r="F486" t="inlineStr">
        <is>
          <t>King</t>
        </is>
      </c>
      <c r="G486" s="11" t="n"/>
      <c r="H486" s="22" t="n"/>
      <c r="I486" s="11" t="n"/>
      <c r="J486" s="22" t="n"/>
      <c r="K486" s="11" t="n"/>
      <c r="L486" t="inlineStr">
        <is>
          <t>Typology drawing R01</t>
        </is>
      </c>
      <c r="M486">
        <f>Config!$B$3&amp;"?room="&amp;A486</f>
        <v/>
      </c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 ht="15" customHeight="1">
      <c r="A487" t="inlineStr">
        <is>
          <t>B-L07-K02A-02</t>
        </is>
      </c>
      <c r="B487" t="inlineStr">
        <is>
          <t>Tower B</t>
        </is>
      </c>
      <c r="C487" t="inlineStr">
        <is>
          <t>L07</t>
        </is>
      </c>
      <c r="D487" t="inlineStr">
        <is>
          <t>BL07G82</t>
        </is>
      </c>
      <c r="E487" t="inlineStr">
        <is>
          <t>K02A</t>
        </is>
      </c>
      <c r="F487" t="inlineStr">
        <is>
          <t>King</t>
        </is>
      </c>
      <c r="G487" s="11" t="n"/>
      <c r="H487" s="22" t="n"/>
      <c r="I487" s="11" t="n"/>
      <c r="J487" s="22" t="n"/>
      <c r="K487" s="11" t="n"/>
      <c r="L487" t="inlineStr">
        <is>
          <t>Typology drawing R01</t>
        </is>
      </c>
      <c r="M487">
        <f>Config!$B$3&amp;"?room="&amp;A487</f>
        <v/>
      </c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 ht="15" customHeight="1">
      <c r="A488" t="inlineStr">
        <is>
          <t>B-L07-KADA2</t>
        </is>
      </c>
      <c r="B488" t="inlineStr">
        <is>
          <t>Tower B</t>
        </is>
      </c>
      <c r="C488" t="inlineStr">
        <is>
          <t>L07</t>
        </is>
      </c>
      <c r="D488" t="inlineStr">
        <is>
          <t>BL07G60</t>
        </is>
      </c>
      <c r="E488" t="inlineStr">
        <is>
          <t>KADA2</t>
        </is>
      </c>
      <c r="F488" t="inlineStr">
        <is>
          <t>King ADA</t>
        </is>
      </c>
      <c r="G488" s="11" t="n"/>
      <c r="H488" s="22" t="n"/>
      <c r="I488" s="11" t="n"/>
      <c r="J488" s="22" t="n"/>
      <c r="K488" s="11" t="n"/>
      <c r="L488" t="inlineStr">
        <is>
          <t>Typology drawing R01</t>
        </is>
      </c>
      <c r="M488">
        <f>Config!$B$3&amp;"?room="&amp;A488</f>
        <v/>
      </c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 ht="15" customHeight="1">
      <c r="A489" t="inlineStr">
        <is>
          <t>B-L07-PS02</t>
        </is>
      </c>
      <c r="B489" t="inlineStr">
        <is>
          <t>Tower B</t>
        </is>
      </c>
      <c r="C489" t="inlineStr">
        <is>
          <t>L07</t>
        </is>
      </c>
      <c r="D489" t="inlineStr">
        <is>
          <t>BL07G51</t>
        </is>
      </c>
      <c r="E489" t="inlineStr">
        <is>
          <t>PS02</t>
        </is>
      </c>
      <c r="F489" t="inlineStr">
        <is>
          <t>Premium Suite</t>
        </is>
      </c>
      <c r="G489" s="11" t="n"/>
      <c r="H489" s="22" t="n"/>
      <c r="I489" s="11" t="n"/>
      <c r="J489" s="22" t="n"/>
      <c r="K489" s="11" t="n"/>
      <c r="L489" t="inlineStr">
        <is>
          <t>Typology drawing R01</t>
        </is>
      </c>
      <c r="M489">
        <f>Config!$B$3&amp;"?room="&amp;A489</f>
        <v/>
      </c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 ht="15" customHeight="1">
      <c r="A490" t="inlineStr">
        <is>
          <t>B-L07-PS03-01</t>
        </is>
      </c>
      <c r="B490" t="inlineStr">
        <is>
          <t>Tower B</t>
        </is>
      </c>
      <c r="C490" t="inlineStr">
        <is>
          <t>L07</t>
        </is>
      </c>
      <c r="D490" t="inlineStr">
        <is>
          <t>BL07G59</t>
        </is>
      </c>
      <c r="E490" t="inlineStr">
        <is>
          <t>PS03</t>
        </is>
      </c>
      <c r="F490" t="inlineStr">
        <is>
          <t>Premium Suite</t>
        </is>
      </c>
      <c r="G490" s="11" t="n"/>
      <c r="H490" s="22" t="n"/>
      <c r="I490" s="11" t="n"/>
      <c r="J490" s="22" t="n"/>
      <c r="K490" s="11" t="n"/>
      <c r="L490" t="inlineStr">
        <is>
          <t>Typology drawing R01</t>
        </is>
      </c>
      <c r="M490">
        <f>Config!$B$3&amp;"?room="&amp;A490</f>
        <v/>
      </c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 ht="15" customHeight="1">
      <c r="A491" t="inlineStr">
        <is>
          <t>B-L07-PS03-02</t>
        </is>
      </c>
      <c r="B491" t="inlineStr">
        <is>
          <t>Tower B</t>
        </is>
      </c>
      <c r="C491" t="inlineStr">
        <is>
          <t>L07</t>
        </is>
      </c>
      <c r="D491" t="inlineStr">
        <is>
          <t>BL07G75</t>
        </is>
      </c>
      <c r="E491" t="inlineStr">
        <is>
          <t>PS03</t>
        </is>
      </c>
      <c r="F491" t="inlineStr">
        <is>
          <t>Premium Suite</t>
        </is>
      </c>
      <c r="G491" s="11" t="n"/>
      <c r="H491" s="22" t="n"/>
      <c r="I491" s="11" t="n"/>
      <c r="J491" s="22" t="n"/>
      <c r="K491" s="11" t="n"/>
      <c r="L491" t="inlineStr">
        <is>
          <t>Typology drawing R01</t>
        </is>
      </c>
      <c r="M491">
        <f>Config!$B$3&amp;"?room="&amp;A491</f>
        <v/>
      </c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 ht="15" customHeight="1">
      <c r="A492" t="inlineStr">
        <is>
          <t>B-L07-Q01C</t>
        </is>
      </c>
      <c r="B492" t="inlineStr">
        <is>
          <t>Tower B</t>
        </is>
      </c>
      <c r="C492" t="inlineStr">
        <is>
          <t>L07</t>
        </is>
      </c>
      <c r="D492" t="inlineStr">
        <is>
          <t>BL07G83</t>
        </is>
      </c>
      <c r="E492" t="inlineStr">
        <is>
          <t>Q01C</t>
        </is>
      </c>
      <c r="F492" t="inlineStr">
        <is>
          <t>Queen</t>
        </is>
      </c>
      <c r="G492" s="11" t="n"/>
      <c r="H492" s="22" t="n"/>
      <c r="I492" s="11" t="n"/>
      <c r="J492" s="22" t="n"/>
      <c r="K492" s="11" t="n"/>
      <c r="L492" t="inlineStr">
        <is>
          <t>Typology drawing R01</t>
        </is>
      </c>
      <c r="M492">
        <f>Config!$B$3&amp;"?room="&amp;A492</f>
        <v/>
      </c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 ht="15" customHeight="1">
      <c r="A493" t="inlineStr">
        <is>
          <t>B-L07-Q01C1-01</t>
        </is>
      </c>
      <c r="B493" t="inlineStr">
        <is>
          <t>Tower B</t>
        </is>
      </c>
      <c r="C493" t="inlineStr">
        <is>
          <t>L07</t>
        </is>
      </c>
      <c r="D493" t="inlineStr">
        <is>
          <t>BL07G64</t>
        </is>
      </c>
      <c r="E493" t="inlineStr">
        <is>
          <t>Q01C1</t>
        </is>
      </c>
      <c r="F493" t="inlineStr">
        <is>
          <t>Queen</t>
        </is>
      </c>
      <c r="G493" s="11" t="n"/>
      <c r="H493" s="22" t="n"/>
      <c r="I493" s="11" t="n"/>
      <c r="J493" s="22" t="n"/>
      <c r="K493" s="11" t="n"/>
      <c r="L493" t="inlineStr">
        <is>
          <t>Typology drawing R01</t>
        </is>
      </c>
      <c r="M493">
        <f>Config!$B$3&amp;"?room="&amp;A493</f>
        <v/>
      </c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 ht="15" customHeight="1">
      <c r="A494" t="inlineStr">
        <is>
          <t>B-L07-Q01C1-02</t>
        </is>
      </c>
      <c r="B494" t="inlineStr">
        <is>
          <t>Tower B</t>
        </is>
      </c>
      <c r="C494" t="inlineStr">
        <is>
          <t>L07</t>
        </is>
      </c>
      <c r="D494" t="inlineStr">
        <is>
          <t>BL07G70</t>
        </is>
      </c>
      <c r="E494" t="inlineStr">
        <is>
          <t>Q01C1</t>
        </is>
      </c>
      <c r="F494" t="inlineStr">
        <is>
          <t>Queen</t>
        </is>
      </c>
      <c r="G494" s="11" t="n"/>
      <c r="H494" s="22" t="n"/>
      <c r="I494" s="11" t="n"/>
      <c r="J494" s="22" t="n"/>
      <c r="K494" s="11" t="n"/>
      <c r="L494" t="inlineStr">
        <is>
          <t>Typology drawing R01</t>
        </is>
      </c>
      <c r="M494">
        <f>Config!$B$3&amp;"?room="&amp;A494</f>
        <v/>
      </c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 ht="15" customHeight="1">
      <c r="A495" t="inlineStr">
        <is>
          <t>B-L07-Q01C1-03</t>
        </is>
      </c>
      <c r="B495" t="inlineStr">
        <is>
          <t>Tower B</t>
        </is>
      </c>
      <c r="C495" t="inlineStr">
        <is>
          <t>L07</t>
        </is>
      </c>
      <c r="D495" t="inlineStr">
        <is>
          <t>BL07G78</t>
        </is>
      </c>
      <c r="E495" t="inlineStr">
        <is>
          <t>Q01C1</t>
        </is>
      </c>
      <c r="F495" t="inlineStr">
        <is>
          <t>Queen</t>
        </is>
      </c>
      <c r="G495" s="11" t="n"/>
      <c r="H495" s="22" t="n"/>
      <c r="I495" s="11" t="n"/>
      <c r="J495" s="22" t="n"/>
      <c r="K495" s="11" t="n"/>
      <c r="L495" t="inlineStr">
        <is>
          <t>Typology drawing R01</t>
        </is>
      </c>
      <c r="M495">
        <f>Config!$B$3&amp;"?room="&amp;A495</f>
        <v/>
      </c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 ht="15" customHeight="1">
      <c r="A496" t="inlineStr">
        <is>
          <t>B-L07-Q02C1</t>
        </is>
      </c>
      <c r="B496" t="inlineStr">
        <is>
          <t>Tower B</t>
        </is>
      </c>
      <c r="C496" t="inlineStr">
        <is>
          <t>L07</t>
        </is>
      </c>
      <c r="D496" t="inlineStr">
        <is>
          <t>BL07G62</t>
        </is>
      </c>
      <c r="E496" t="inlineStr">
        <is>
          <t>Q02C1</t>
        </is>
      </c>
      <c r="F496" t="inlineStr">
        <is>
          <t>Queen</t>
        </is>
      </c>
      <c r="G496" s="11" t="n"/>
      <c r="H496" s="22" t="n"/>
      <c r="I496" s="11" t="n"/>
      <c r="J496" s="22" t="n"/>
      <c r="K496" s="11" t="n"/>
      <c r="L496" t="inlineStr">
        <is>
          <t>Typology drawing R01</t>
        </is>
      </c>
      <c r="M496">
        <f>Config!$B$3&amp;"?room="&amp;A496</f>
        <v/>
      </c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 ht="15" customHeight="1">
      <c r="A497" t="inlineStr">
        <is>
          <t>B-L07-Q02E</t>
        </is>
      </c>
      <c r="B497" t="inlineStr">
        <is>
          <t>Tower B</t>
        </is>
      </c>
      <c r="C497" t="inlineStr">
        <is>
          <t>L07</t>
        </is>
      </c>
      <c r="D497" t="inlineStr">
        <is>
          <t>BL07G85</t>
        </is>
      </c>
      <c r="E497" t="inlineStr">
        <is>
          <t>Q02E</t>
        </is>
      </c>
      <c r="F497" t="inlineStr">
        <is>
          <t>Queen</t>
        </is>
      </c>
      <c r="G497" s="11" t="n"/>
      <c r="H497" s="22" t="n"/>
      <c r="I497" s="11" t="n"/>
      <c r="J497" s="22" t="n"/>
      <c r="K497" s="11" t="n"/>
      <c r="L497" t="inlineStr">
        <is>
          <t>Typology drawing R01</t>
        </is>
      </c>
      <c r="M497">
        <f>Config!$B$3&amp;"?room="&amp;A497</f>
        <v/>
      </c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 ht="15" customHeight="1">
      <c r="A498" t="inlineStr">
        <is>
          <t>B-L07-Q04</t>
        </is>
      </c>
      <c r="B498" t="inlineStr">
        <is>
          <t>Tower B</t>
        </is>
      </c>
      <c r="C498" t="inlineStr">
        <is>
          <t>L07</t>
        </is>
      </c>
      <c r="D498" t="inlineStr">
        <is>
          <t>BL07G69</t>
        </is>
      </c>
      <c r="E498" t="inlineStr">
        <is>
          <t>Q04</t>
        </is>
      </c>
      <c r="F498" t="inlineStr">
        <is>
          <t>Queen</t>
        </is>
      </c>
      <c r="G498" s="11" t="n"/>
      <c r="H498" s="22" t="n"/>
      <c r="I498" s="11" t="n"/>
      <c r="J498" s="22" t="n"/>
      <c r="K498" s="11" t="n"/>
      <c r="L498" t="inlineStr">
        <is>
          <t>Typology drawing R01</t>
        </is>
      </c>
      <c r="M498">
        <f>Config!$B$3&amp;"?room="&amp;A498</f>
        <v/>
      </c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 ht="15" customHeight="1">
      <c r="A499" t="inlineStr">
        <is>
          <t>B-L07-Q06</t>
        </is>
      </c>
      <c r="B499" t="inlineStr">
        <is>
          <t>Tower B</t>
        </is>
      </c>
      <c r="C499" t="inlineStr">
        <is>
          <t>L07</t>
        </is>
      </c>
      <c r="D499" t="inlineStr">
        <is>
          <t>BL07G86</t>
        </is>
      </c>
      <c r="E499" t="inlineStr">
        <is>
          <t>Q06</t>
        </is>
      </c>
      <c r="F499" t="inlineStr">
        <is>
          <t>Queen</t>
        </is>
      </c>
      <c r="G499" s="11" t="n"/>
      <c r="H499" s="22" t="n"/>
      <c r="I499" s="11" t="n"/>
      <c r="J499" s="22" t="n"/>
      <c r="K499" s="11" t="n"/>
      <c r="L499" t="inlineStr">
        <is>
          <t>Typology drawing R01</t>
        </is>
      </c>
      <c r="M499">
        <f>Config!$B$3&amp;"?room="&amp;A499</f>
        <v/>
      </c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 ht="15" customHeight="1">
      <c r="A500" t="inlineStr">
        <is>
          <t>B-L07-Q07-01</t>
        </is>
      </c>
      <c r="B500" t="inlineStr">
        <is>
          <t>Tower B</t>
        </is>
      </c>
      <c r="C500" t="inlineStr">
        <is>
          <t>L07</t>
        </is>
      </c>
      <c r="D500" t="inlineStr">
        <is>
          <t>BL07G61</t>
        </is>
      </c>
      <c r="E500" t="inlineStr">
        <is>
          <t>Q07</t>
        </is>
      </c>
      <c r="F500" t="inlineStr">
        <is>
          <t>Queen</t>
        </is>
      </c>
      <c r="G500" s="11" t="n"/>
      <c r="H500" s="22" t="n"/>
      <c r="I500" s="11" t="n"/>
      <c r="J500" s="22" t="n"/>
      <c r="K500" s="11" t="n"/>
      <c r="L500" t="inlineStr">
        <is>
          <t>Typology drawing R01</t>
        </is>
      </c>
      <c r="M500">
        <f>Config!$B$3&amp;"?room="&amp;A500</f>
        <v/>
      </c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 ht="15" customHeight="1">
      <c r="A501" t="inlineStr">
        <is>
          <t>B-L07-Q07-02</t>
        </is>
      </c>
      <c r="B501" t="inlineStr">
        <is>
          <t>Tower B</t>
        </is>
      </c>
      <c r="C501" t="inlineStr">
        <is>
          <t>L07</t>
        </is>
      </c>
      <c r="D501" t="inlineStr">
        <is>
          <t>BL07G77</t>
        </is>
      </c>
      <c r="E501" t="inlineStr">
        <is>
          <t>Q07</t>
        </is>
      </c>
      <c r="F501" t="inlineStr">
        <is>
          <t>Queen</t>
        </is>
      </c>
      <c r="G501" s="11" t="n"/>
      <c r="H501" s="22" t="n"/>
      <c r="I501" s="11" t="n"/>
      <c r="J501" s="22" t="n"/>
      <c r="K501" s="11" t="n"/>
      <c r="L501" t="inlineStr">
        <is>
          <t>Typology drawing R01</t>
        </is>
      </c>
      <c r="M501">
        <f>Config!$B$3&amp;"?room="&amp;A501</f>
        <v/>
      </c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 ht="15" customHeight="1">
      <c r="A502" t="inlineStr">
        <is>
          <t>B-L07-S03</t>
        </is>
      </c>
      <c r="B502" t="inlineStr">
        <is>
          <t>Tower B</t>
        </is>
      </c>
      <c r="C502" t="inlineStr">
        <is>
          <t>L07</t>
        </is>
      </c>
      <c r="D502" t="inlineStr">
        <is>
          <t>BL07G66</t>
        </is>
      </c>
      <c r="E502" t="inlineStr">
        <is>
          <t>S03</t>
        </is>
      </c>
      <c r="F502" t="inlineStr">
        <is>
          <t>Suite</t>
        </is>
      </c>
      <c r="G502" s="11" t="n"/>
      <c r="H502" s="22" t="n"/>
      <c r="I502" s="11" t="n"/>
      <c r="J502" s="22" t="n"/>
      <c r="K502" s="11" t="n"/>
      <c r="L502" t="inlineStr">
        <is>
          <t>Typology drawing R01</t>
        </is>
      </c>
      <c r="M502">
        <f>Config!$B$3&amp;"?room="&amp;A502</f>
        <v/>
      </c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 ht="15" customHeight="1">
      <c r="A503" t="inlineStr">
        <is>
          <t>B-L07-S09</t>
        </is>
      </c>
      <c r="B503" t="inlineStr">
        <is>
          <t>Tower B</t>
        </is>
      </c>
      <c r="C503" t="inlineStr">
        <is>
          <t>L07</t>
        </is>
      </c>
      <c r="D503" t="inlineStr">
        <is>
          <t>BL07G81</t>
        </is>
      </c>
      <c r="E503" t="inlineStr">
        <is>
          <t>S09</t>
        </is>
      </c>
      <c r="F503" t="inlineStr">
        <is>
          <t>Suite</t>
        </is>
      </c>
      <c r="G503" s="11" t="n"/>
      <c r="H503" s="22" t="n"/>
      <c r="I503" s="11" t="n"/>
      <c r="J503" s="22" t="n"/>
      <c r="K503" s="11" t="n"/>
      <c r="L503" t="inlineStr">
        <is>
          <t>Typology drawing R01</t>
        </is>
      </c>
      <c r="M503">
        <f>Config!$B$3&amp;"?room="&amp;A503</f>
        <v/>
      </c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 ht="15" customHeight="1">
      <c r="A504" t="inlineStr">
        <is>
          <t>B-L07-S10</t>
        </is>
      </c>
      <c r="B504" t="inlineStr">
        <is>
          <t>Tower B</t>
        </is>
      </c>
      <c r="C504" t="inlineStr">
        <is>
          <t>L07</t>
        </is>
      </c>
      <c r="D504" t="inlineStr">
        <is>
          <t>BL07G87</t>
        </is>
      </c>
      <c r="E504" t="inlineStr">
        <is>
          <t>S10</t>
        </is>
      </c>
      <c r="F504" t="inlineStr">
        <is>
          <t>Suite</t>
        </is>
      </c>
      <c r="G504" s="11" t="n"/>
      <c r="H504" s="22" t="n"/>
      <c r="I504" s="11" t="n"/>
      <c r="J504" s="22" t="n"/>
      <c r="K504" s="11" t="n"/>
      <c r="L504" t="inlineStr">
        <is>
          <t>Typology drawing R01</t>
        </is>
      </c>
      <c r="M504">
        <f>Config!$B$3&amp;"?room="&amp;A504</f>
        <v/>
      </c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 ht="15" customHeight="1">
      <c r="A505" t="inlineStr">
        <is>
          <t>B-L08-F02</t>
        </is>
      </c>
      <c r="B505" t="inlineStr">
        <is>
          <t>Tower B</t>
        </is>
      </c>
      <c r="C505" t="inlineStr">
        <is>
          <t>L08</t>
        </is>
      </c>
      <c r="D505" t="inlineStr">
        <is>
          <t>BL08G88</t>
        </is>
      </c>
      <c r="E505" t="inlineStr">
        <is>
          <t>F02</t>
        </is>
      </c>
      <c r="F505" t="inlineStr">
        <is>
          <t>Family</t>
        </is>
      </c>
      <c r="G505" s="11" t="n"/>
      <c r="H505" s="22" t="n"/>
      <c r="I505" s="11" t="n"/>
      <c r="J505" s="22" t="n"/>
      <c r="K505" s="11" t="n"/>
      <c r="L505" t="inlineStr">
        <is>
          <t>Inferred – verify</t>
        </is>
      </c>
      <c r="M505">
        <f>Config!$B$3&amp;"?room="&amp;A505</f>
        <v/>
      </c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 ht="15" customHeight="1">
      <c r="A506" t="inlineStr">
        <is>
          <t>B-L08-F06</t>
        </is>
      </c>
      <c r="B506" t="inlineStr">
        <is>
          <t>Tower B</t>
        </is>
      </c>
      <c r="C506" t="inlineStr">
        <is>
          <t>L08</t>
        </is>
      </c>
      <c r="D506" t="inlineStr">
        <is>
          <t>BL08G63</t>
        </is>
      </c>
      <c r="E506" t="inlineStr">
        <is>
          <t>F06</t>
        </is>
      </c>
      <c r="F506" t="inlineStr">
        <is>
          <t>Family</t>
        </is>
      </c>
      <c r="G506" s="11" t="n"/>
      <c r="H506" s="22" t="n"/>
      <c r="I506" s="11" t="n"/>
      <c r="J506" s="22" t="n"/>
      <c r="K506" s="11" t="n"/>
      <c r="L506" t="inlineStr">
        <is>
          <t>Typology drawing R01</t>
        </is>
      </c>
      <c r="M506">
        <f>Config!$B$3&amp;"?room="&amp;A506</f>
        <v/>
      </c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 ht="15" customHeight="1">
      <c r="A507" t="inlineStr">
        <is>
          <t>B-L08-F07</t>
        </is>
      </c>
      <c r="B507" t="inlineStr">
        <is>
          <t>Tower B</t>
        </is>
      </c>
      <c r="C507" t="inlineStr">
        <is>
          <t>L08</t>
        </is>
      </c>
      <c r="D507" t="inlineStr">
        <is>
          <t>BL08G74</t>
        </is>
      </c>
      <c r="E507" t="inlineStr">
        <is>
          <t>F07</t>
        </is>
      </c>
      <c r="F507" t="inlineStr">
        <is>
          <t>Family</t>
        </is>
      </c>
      <c r="G507" s="11" t="n"/>
      <c r="H507" s="22" t="n"/>
      <c r="I507" s="11" t="n"/>
      <c r="J507" s="22" t="n"/>
      <c r="K507" s="11" t="n"/>
      <c r="L507" t="inlineStr">
        <is>
          <t>Typology drawing R01</t>
        </is>
      </c>
      <c r="M507">
        <f>Config!$B$3&amp;"?room="&amp;A507</f>
        <v/>
      </c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 ht="15" customHeight="1">
      <c r="A508" t="inlineStr">
        <is>
          <t>B-L08-F08</t>
        </is>
      </c>
      <c r="B508" t="inlineStr">
        <is>
          <t>Tower B</t>
        </is>
      </c>
      <c r="C508" t="inlineStr">
        <is>
          <t>L08</t>
        </is>
      </c>
      <c r="D508" t="inlineStr">
        <is>
          <t>BL08G76</t>
        </is>
      </c>
      <c r="E508" t="inlineStr">
        <is>
          <t>F08</t>
        </is>
      </c>
      <c r="F508" t="inlineStr">
        <is>
          <t>Family</t>
        </is>
      </c>
      <c r="G508" s="11" t="n"/>
      <c r="H508" s="22" t="n"/>
      <c r="I508" s="11" t="n"/>
      <c r="J508" s="22" t="n"/>
      <c r="K508" s="11" t="n"/>
      <c r="L508" t="inlineStr">
        <is>
          <t>Typology drawing R01</t>
        </is>
      </c>
      <c r="M508">
        <f>Config!$B$3&amp;"?room="&amp;A508</f>
        <v/>
      </c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 ht="15" customHeight="1">
      <c r="A509" t="inlineStr">
        <is>
          <t>B-L08-K01A-01</t>
        </is>
      </c>
      <c r="B509" t="inlineStr">
        <is>
          <t>Tower B</t>
        </is>
      </c>
      <c r="C509" t="inlineStr">
        <is>
          <t>L08</t>
        </is>
      </c>
      <c r="D509" t="inlineStr">
        <is>
          <t>BL08G58</t>
        </is>
      </c>
      <c r="E509" t="inlineStr">
        <is>
          <t>K01A</t>
        </is>
      </c>
      <c r="F509" t="inlineStr">
        <is>
          <t>King</t>
        </is>
      </c>
      <c r="G509" s="11" t="n"/>
      <c r="H509" s="22" t="n"/>
      <c r="I509" s="11" t="n"/>
      <c r="J509" s="22" t="n"/>
      <c r="K509" s="11" t="n"/>
      <c r="L509" t="inlineStr">
        <is>
          <t>Typology drawing R01</t>
        </is>
      </c>
      <c r="M509">
        <f>Config!$B$3&amp;"?room="&amp;A509</f>
        <v/>
      </c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 ht="15" customHeight="1">
      <c r="A510" t="inlineStr">
        <is>
          <t>B-L08-K01A-02</t>
        </is>
      </c>
      <c r="B510" t="inlineStr">
        <is>
          <t>Tower B</t>
        </is>
      </c>
      <c r="C510" t="inlineStr">
        <is>
          <t>L08</t>
        </is>
      </c>
      <c r="D510" t="inlineStr">
        <is>
          <t>BL08G80</t>
        </is>
      </c>
      <c r="E510" t="inlineStr">
        <is>
          <t>K01A</t>
        </is>
      </c>
      <c r="F510" t="inlineStr">
        <is>
          <t>King</t>
        </is>
      </c>
      <c r="G510" s="11" t="n"/>
      <c r="H510" s="22" t="n"/>
      <c r="I510" s="11" t="n"/>
      <c r="J510" s="22" t="n"/>
      <c r="K510" s="11" t="n"/>
      <c r="L510" t="inlineStr">
        <is>
          <t>Typology drawing R01</t>
        </is>
      </c>
      <c r="M510">
        <f>Config!$B$3&amp;"?room="&amp;A510</f>
        <v/>
      </c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 ht="15" customHeight="1">
      <c r="A511" t="inlineStr">
        <is>
          <t>B-L08-K01A-03</t>
        </is>
      </c>
      <c r="B511" t="inlineStr">
        <is>
          <t>Tower B</t>
        </is>
      </c>
      <c r="C511" t="inlineStr">
        <is>
          <t>L08</t>
        </is>
      </c>
      <c r="D511" t="inlineStr">
        <is>
          <t>BL08G84</t>
        </is>
      </c>
      <c r="E511" t="inlineStr">
        <is>
          <t>K01A</t>
        </is>
      </c>
      <c r="F511" t="inlineStr">
        <is>
          <t>King</t>
        </is>
      </c>
      <c r="G511" s="11" t="n"/>
      <c r="H511" s="22" t="n"/>
      <c r="I511" s="11" t="n"/>
      <c r="J511" s="22" t="n"/>
      <c r="K511" s="11" t="n"/>
      <c r="L511" t="inlineStr">
        <is>
          <t>Typology drawing R01</t>
        </is>
      </c>
      <c r="M511">
        <f>Config!$B$3&amp;"?room="&amp;A511</f>
        <v/>
      </c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 ht="15" customHeight="1">
      <c r="A512" t="inlineStr">
        <is>
          <t>B-L08-K02A</t>
        </is>
      </c>
      <c r="B512" t="inlineStr">
        <is>
          <t>Tower B</t>
        </is>
      </c>
      <c r="C512" t="inlineStr">
        <is>
          <t>L08</t>
        </is>
      </c>
      <c r="D512" t="inlineStr">
        <is>
          <t>BL08G82</t>
        </is>
      </c>
      <c r="E512" t="inlineStr">
        <is>
          <t>K02A</t>
        </is>
      </c>
      <c r="F512" t="inlineStr">
        <is>
          <t>King</t>
        </is>
      </c>
      <c r="G512" s="11" t="n"/>
      <c r="H512" s="22" t="n"/>
      <c r="I512" s="11" t="n"/>
      <c r="J512" s="22" t="n"/>
      <c r="K512" s="11" t="n"/>
      <c r="L512" t="inlineStr">
        <is>
          <t>Typology drawing R01</t>
        </is>
      </c>
      <c r="M512">
        <f>Config!$B$3&amp;"?room="&amp;A512</f>
        <v/>
      </c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 ht="15" customHeight="1">
      <c r="A513" t="inlineStr">
        <is>
          <t>B-L08-KADA2</t>
        </is>
      </c>
      <c r="B513" t="inlineStr">
        <is>
          <t>Tower B</t>
        </is>
      </c>
      <c r="C513" t="inlineStr">
        <is>
          <t>L08</t>
        </is>
      </c>
      <c r="D513" t="inlineStr">
        <is>
          <t>BL08G60</t>
        </is>
      </c>
      <c r="E513" t="inlineStr">
        <is>
          <t>KADA2</t>
        </is>
      </c>
      <c r="F513" t="inlineStr">
        <is>
          <t>King ADA</t>
        </is>
      </c>
      <c r="G513" s="11" t="n"/>
      <c r="H513" s="22" t="n"/>
      <c r="I513" s="11" t="n"/>
      <c r="J513" s="22" t="n"/>
      <c r="K513" s="11" t="n"/>
      <c r="L513" t="inlineStr">
        <is>
          <t>Typology drawing R01</t>
        </is>
      </c>
      <c r="M513">
        <f>Config!$B$3&amp;"?room="&amp;A513</f>
        <v/>
      </c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 ht="15" customHeight="1">
      <c r="A514" t="inlineStr">
        <is>
          <t>B-L08-PS02</t>
        </is>
      </c>
      <c r="B514" t="inlineStr">
        <is>
          <t>Tower B</t>
        </is>
      </c>
      <c r="C514" t="inlineStr">
        <is>
          <t>L08</t>
        </is>
      </c>
      <c r="D514" t="inlineStr">
        <is>
          <t>BL08G51</t>
        </is>
      </c>
      <c r="E514" t="inlineStr">
        <is>
          <t>PS02</t>
        </is>
      </c>
      <c r="F514" t="inlineStr">
        <is>
          <t>Premium Suite</t>
        </is>
      </c>
      <c r="G514" s="11" t="n"/>
      <c r="H514" s="22" t="n"/>
      <c r="I514" s="11" t="n"/>
      <c r="J514" s="22" t="n"/>
      <c r="K514" s="11" t="n"/>
      <c r="L514" t="inlineStr">
        <is>
          <t>Typology drawing R01</t>
        </is>
      </c>
      <c r="M514">
        <f>Config!$B$3&amp;"?room="&amp;A514</f>
        <v/>
      </c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 ht="15" customHeight="1">
      <c r="A515" t="inlineStr">
        <is>
          <t>B-L08-PS03-01</t>
        </is>
      </c>
      <c r="B515" t="inlineStr">
        <is>
          <t>Tower B</t>
        </is>
      </c>
      <c r="C515" t="inlineStr">
        <is>
          <t>L08</t>
        </is>
      </c>
      <c r="D515" t="inlineStr">
        <is>
          <t>BL08G59</t>
        </is>
      </c>
      <c r="E515" t="inlineStr">
        <is>
          <t>PS03</t>
        </is>
      </c>
      <c r="F515" t="inlineStr">
        <is>
          <t>Premium Suite</t>
        </is>
      </c>
      <c r="G515" s="11" t="n"/>
      <c r="H515" s="22" t="n"/>
      <c r="I515" s="11" t="n"/>
      <c r="J515" s="22" t="n"/>
      <c r="K515" s="11" t="n"/>
      <c r="L515" t="inlineStr">
        <is>
          <t>Typology drawing R01</t>
        </is>
      </c>
      <c r="M515">
        <f>Config!$B$3&amp;"?room="&amp;A515</f>
        <v/>
      </c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 ht="15" customHeight="1">
      <c r="A516" t="inlineStr">
        <is>
          <t>B-L08-PS03-02</t>
        </is>
      </c>
      <c r="B516" t="inlineStr">
        <is>
          <t>Tower B</t>
        </is>
      </c>
      <c r="C516" t="inlineStr">
        <is>
          <t>L08</t>
        </is>
      </c>
      <c r="D516" t="inlineStr">
        <is>
          <t>BL08G75</t>
        </is>
      </c>
      <c r="E516" t="inlineStr">
        <is>
          <t>PS03</t>
        </is>
      </c>
      <c r="F516" t="inlineStr">
        <is>
          <t>Premium Suite</t>
        </is>
      </c>
      <c r="G516" s="11" t="n"/>
      <c r="H516" s="22" t="n"/>
      <c r="I516" s="11" t="n"/>
      <c r="J516" s="22" t="n"/>
      <c r="K516" s="11" t="n"/>
      <c r="L516" t="inlineStr">
        <is>
          <t>Inferred – verify</t>
        </is>
      </c>
      <c r="M516">
        <f>Config!$B$3&amp;"?room="&amp;A516</f>
        <v/>
      </c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 ht="15" customHeight="1">
      <c r="A517" t="inlineStr">
        <is>
          <t>B-L08-Q01C</t>
        </is>
      </c>
      <c r="B517" t="inlineStr">
        <is>
          <t>Tower B</t>
        </is>
      </c>
      <c r="C517" t="inlineStr">
        <is>
          <t>L08</t>
        </is>
      </c>
      <c r="D517" t="inlineStr">
        <is>
          <t>BL08G83</t>
        </is>
      </c>
      <c r="E517" t="inlineStr">
        <is>
          <t>Q01C</t>
        </is>
      </c>
      <c r="F517" t="inlineStr">
        <is>
          <t>Queen</t>
        </is>
      </c>
      <c r="G517" s="11" t="n"/>
      <c r="H517" s="22" t="n"/>
      <c r="I517" s="11" t="n"/>
      <c r="J517" s="22" t="n"/>
      <c r="K517" s="11" t="n"/>
      <c r="L517" t="inlineStr">
        <is>
          <t>Typology drawing R01</t>
        </is>
      </c>
      <c r="M517">
        <f>Config!$B$3&amp;"?room="&amp;A517</f>
        <v/>
      </c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 ht="15" customHeight="1">
      <c r="A518" t="inlineStr">
        <is>
          <t>B-L08-Q01C1-01</t>
        </is>
      </c>
      <c r="B518" t="inlineStr">
        <is>
          <t>Tower B</t>
        </is>
      </c>
      <c r="C518" t="inlineStr">
        <is>
          <t>L08</t>
        </is>
      </c>
      <c r="D518" t="inlineStr">
        <is>
          <t>BL08G64</t>
        </is>
      </c>
      <c r="E518" t="inlineStr">
        <is>
          <t>Q01C1</t>
        </is>
      </c>
      <c r="F518" t="inlineStr">
        <is>
          <t>Queen</t>
        </is>
      </c>
      <c r="G518" s="11" t="n"/>
      <c r="H518" s="22" t="n"/>
      <c r="I518" s="11" t="n"/>
      <c r="J518" s="22" t="n"/>
      <c r="K518" s="11" t="n"/>
      <c r="L518" t="inlineStr">
        <is>
          <t>Typology drawing R01</t>
        </is>
      </c>
      <c r="M518">
        <f>Config!$B$3&amp;"?room="&amp;A518</f>
        <v/>
      </c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 ht="15" customHeight="1">
      <c r="A519" t="inlineStr">
        <is>
          <t>B-L08-Q01C1-02</t>
        </is>
      </c>
      <c r="B519" t="inlineStr">
        <is>
          <t>Tower B</t>
        </is>
      </c>
      <c r="C519" t="inlineStr">
        <is>
          <t>L08</t>
        </is>
      </c>
      <c r="D519" t="inlineStr">
        <is>
          <t>BL08G70</t>
        </is>
      </c>
      <c r="E519" t="inlineStr">
        <is>
          <t>Q01C1</t>
        </is>
      </c>
      <c r="F519" t="inlineStr">
        <is>
          <t>Queen</t>
        </is>
      </c>
      <c r="G519" s="11" t="n"/>
      <c r="H519" s="22" t="n"/>
      <c r="I519" s="11" t="n"/>
      <c r="J519" s="22" t="n"/>
      <c r="K519" s="11" t="n"/>
      <c r="L519" t="inlineStr">
        <is>
          <t>Typology drawing R01</t>
        </is>
      </c>
      <c r="M519">
        <f>Config!$B$3&amp;"?room="&amp;A519</f>
        <v/>
      </c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 ht="15" customHeight="1">
      <c r="A520" t="inlineStr">
        <is>
          <t>B-L08-Q02C1-01</t>
        </is>
      </c>
      <c r="B520" t="inlineStr">
        <is>
          <t>Tower B</t>
        </is>
      </c>
      <c r="C520" t="inlineStr">
        <is>
          <t>L08</t>
        </is>
      </c>
      <c r="D520" t="inlineStr">
        <is>
          <t>BL08G62</t>
        </is>
      </c>
      <c r="E520" t="inlineStr">
        <is>
          <t>Q02C1</t>
        </is>
      </c>
      <c r="F520" t="inlineStr">
        <is>
          <t>Queen</t>
        </is>
      </c>
      <c r="G520" s="11" t="n"/>
      <c r="H520" s="22" t="n"/>
      <c r="I520" s="11" t="n"/>
      <c r="J520" s="22" t="n"/>
      <c r="K520" s="11" t="n"/>
      <c r="L520" t="inlineStr">
        <is>
          <t>Typology drawing R01</t>
        </is>
      </c>
      <c r="M520">
        <f>Config!$B$3&amp;"?room="&amp;A520</f>
        <v/>
      </c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 ht="15" customHeight="1">
      <c r="A521" t="inlineStr">
        <is>
          <t>B-L08-Q02C1-02</t>
        </is>
      </c>
      <c r="B521" t="inlineStr">
        <is>
          <t>Tower B</t>
        </is>
      </c>
      <c r="C521" t="inlineStr">
        <is>
          <t>L08</t>
        </is>
      </c>
      <c r="D521" t="inlineStr">
        <is>
          <t>BL08G78</t>
        </is>
      </c>
      <c r="E521" t="inlineStr">
        <is>
          <t>Q02C1</t>
        </is>
      </c>
      <c r="F521" t="inlineStr">
        <is>
          <t>Queen</t>
        </is>
      </c>
      <c r="G521" s="11" t="n"/>
      <c r="H521" s="22" t="n"/>
      <c r="I521" s="11" t="n"/>
      <c r="J521" s="22" t="n"/>
      <c r="K521" s="11" t="n"/>
      <c r="L521" t="inlineStr">
        <is>
          <t>Typology drawing R01</t>
        </is>
      </c>
      <c r="M521">
        <f>Config!$B$3&amp;"?room="&amp;A521</f>
        <v/>
      </c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 ht="15" customHeight="1">
      <c r="A522" t="inlineStr">
        <is>
          <t>B-L08-Q02E</t>
        </is>
      </c>
      <c r="B522" t="inlineStr">
        <is>
          <t>Tower B</t>
        </is>
      </c>
      <c r="C522" t="inlineStr">
        <is>
          <t>L08</t>
        </is>
      </c>
      <c r="D522" t="inlineStr">
        <is>
          <t>BL08G85</t>
        </is>
      </c>
      <c r="E522" t="inlineStr">
        <is>
          <t>Q02E</t>
        </is>
      </c>
      <c r="F522" t="inlineStr">
        <is>
          <t>Queen</t>
        </is>
      </c>
      <c r="G522" s="11" t="n"/>
      <c r="H522" s="22" t="n"/>
      <c r="I522" s="11" t="n"/>
      <c r="J522" s="22" t="n"/>
      <c r="K522" s="11" t="n"/>
      <c r="L522" t="inlineStr">
        <is>
          <t>Type per Room Matrix (drawing shows Q02C)</t>
        </is>
      </c>
      <c r="M522">
        <f>Config!$B$3&amp;"?room="&amp;A522</f>
        <v/>
      </c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 ht="15" customHeight="1">
      <c r="A523" t="inlineStr">
        <is>
          <t>B-L08-Q04</t>
        </is>
      </c>
      <c r="B523" t="inlineStr">
        <is>
          <t>Tower B</t>
        </is>
      </c>
      <c r="C523" t="inlineStr">
        <is>
          <t>L08</t>
        </is>
      </c>
      <c r="D523" t="inlineStr">
        <is>
          <t>BL08G69</t>
        </is>
      </c>
      <c r="E523" t="inlineStr">
        <is>
          <t>Q04</t>
        </is>
      </c>
      <c r="F523" t="inlineStr">
        <is>
          <t>Queen</t>
        </is>
      </c>
      <c r="G523" s="11" t="n"/>
      <c r="H523" s="22" t="n"/>
      <c r="I523" s="11" t="n"/>
      <c r="J523" s="22" t="n"/>
      <c r="K523" s="11" t="n"/>
      <c r="L523" t="inlineStr">
        <is>
          <t>Typology drawing R01</t>
        </is>
      </c>
      <c r="M523">
        <f>Config!$B$3&amp;"?room="&amp;A523</f>
        <v/>
      </c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 ht="15" customHeight="1">
      <c r="A524" t="inlineStr">
        <is>
          <t>B-L08-Q06</t>
        </is>
      </c>
      <c r="B524" t="inlineStr">
        <is>
          <t>Tower B</t>
        </is>
      </c>
      <c r="C524" t="inlineStr">
        <is>
          <t>L08</t>
        </is>
      </c>
      <c r="D524" t="inlineStr">
        <is>
          <t>BL08G86</t>
        </is>
      </c>
      <c r="E524" t="inlineStr">
        <is>
          <t>Q06</t>
        </is>
      </c>
      <c r="F524" t="inlineStr">
        <is>
          <t>Queen</t>
        </is>
      </c>
      <c r="G524" s="11" t="n"/>
      <c r="H524" s="22" t="n"/>
      <c r="I524" s="11" t="n"/>
      <c r="J524" s="22" t="n"/>
      <c r="K524" s="11" t="n"/>
      <c r="L524" t="inlineStr">
        <is>
          <t>Typology drawing R01</t>
        </is>
      </c>
      <c r="M524">
        <f>Config!$B$3&amp;"?room="&amp;A524</f>
        <v/>
      </c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 ht="15" customHeight="1">
      <c r="A525" t="inlineStr">
        <is>
          <t>B-L08-Q07-01</t>
        </is>
      </c>
      <c r="B525" t="inlineStr">
        <is>
          <t>Tower B</t>
        </is>
      </c>
      <c r="C525" t="inlineStr">
        <is>
          <t>L08</t>
        </is>
      </c>
      <c r="D525" t="inlineStr">
        <is>
          <t>BL08G61</t>
        </is>
      </c>
      <c r="E525" t="inlineStr">
        <is>
          <t>Q07</t>
        </is>
      </c>
      <c r="F525" t="inlineStr">
        <is>
          <t>Queen</t>
        </is>
      </c>
      <c r="G525" s="11" t="n"/>
      <c r="H525" s="22" t="n"/>
      <c r="I525" s="11" t="n"/>
      <c r="J525" s="22" t="n"/>
      <c r="K525" s="11" t="n"/>
      <c r="L525" t="inlineStr">
        <is>
          <t>Typology drawing R01</t>
        </is>
      </c>
      <c r="M525">
        <f>Config!$B$3&amp;"?room="&amp;A525</f>
        <v/>
      </c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 ht="15" customHeight="1">
      <c r="A526" t="inlineStr">
        <is>
          <t>B-L08-Q07-02</t>
        </is>
      </c>
      <c r="B526" t="inlineStr">
        <is>
          <t>Tower B</t>
        </is>
      </c>
      <c r="C526" t="inlineStr">
        <is>
          <t>L08</t>
        </is>
      </c>
      <c r="D526" t="inlineStr">
        <is>
          <t>BL08G77</t>
        </is>
      </c>
      <c r="E526" t="inlineStr">
        <is>
          <t>Q07</t>
        </is>
      </c>
      <c r="F526" t="inlineStr">
        <is>
          <t>Queen</t>
        </is>
      </c>
      <c r="G526" s="11" t="n"/>
      <c r="H526" s="22" t="n"/>
      <c r="I526" s="11" t="n"/>
      <c r="J526" s="22" t="n"/>
      <c r="K526" s="11" t="n"/>
      <c r="L526" t="inlineStr">
        <is>
          <t>Typology drawing R01</t>
        </is>
      </c>
      <c r="M526">
        <f>Config!$B$3&amp;"?room="&amp;A526</f>
        <v/>
      </c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 ht="15" customHeight="1">
      <c r="A527" t="inlineStr">
        <is>
          <t>B-L08-S03</t>
        </is>
      </c>
      <c r="B527" t="inlineStr">
        <is>
          <t>Tower B</t>
        </is>
      </c>
      <c r="C527" t="inlineStr">
        <is>
          <t>L08</t>
        </is>
      </c>
      <c r="D527" t="inlineStr">
        <is>
          <t>BL08G66</t>
        </is>
      </c>
      <c r="E527" t="inlineStr">
        <is>
          <t>S03</t>
        </is>
      </c>
      <c r="F527" t="inlineStr">
        <is>
          <t>Suite</t>
        </is>
      </c>
      <c r="G527" s="11" t="n"/>
      <c r="H527" s="22" t="n"/>
      <c r="I527" s="11" t="n"/>
      <c r="J527" s="22" t="n"/>
      <c r="K527" s="11" t="n"/>
      <c r="L527" t="inlineStr">
        <is>
          <t>Typology drawing R01</t>
        </is>
      </c>
      <c r="M527">
        <f>Config!$B$3&amp;"?room="&amp;A527</f>
        <v/>
      </c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 ht="15" customHeight="1">
      <c r="A528" t="inlineStr">
        <is>
          <t>B-L08-S09</t>
        </is>
      </c>
      <c r="B528" t="inlineStr">
        <is>
          <t>Tower B</t>
        </is>
      </c>
      <c r="C528" t="inlineStr">
        <is>
          <t>L08</t>
        </is>
      </c>
      <c r="D528" t="inlineStr">
        <is>
          <t>BL08G81</t>
        </is>
      </c>
      <c r="E528" t="inlineStr">
        <is>
          <t>S09</t>
        </is>
      </c>
      <c r="F528" t="inlineStr">
        <is>
          <t>Suite</t>
        </is>
      </c>
      <c r="G528" s="11" t="n"/>
      <c r="H528" s="22" t="n"/>
      <c r="I528" s="11" t="n"/>
      <c r="J528" s="22" t="n"/>
      <c r="K528" s="11" t="n"/>
      <c r="L528" t="inlineStr">
        <is>
          <t>Typology drawing R01</t>
        </is>
      </c>
      <c r="M528">
        <f>Config!$B$3&amp;"?room="&amp;A528</f>
        <v/>
      </c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 ht="15" customHeight="1">
      <c r="A529" t="inlineStr">
        <is>
          <t>B-L08-S10</t>
        </is>
      </c>
      <c r="B529" t="inlineStr">
        <is>
          <t>Tower B</t>
        </is>
      </c>
      <c r="C529" t="inlineStr">
        <is>
          <t>L08</t>
        </is>
      </c>
      <c r="D529" t="inlineStr">
        <is>
          <t>BL08G87</t>
        </is>
      </c>
      <c r="E529" t="inlineStr">
        <is>
          <t>S10</t>
        </is>
      </c>
      <c r="F529" t="inlineStr">
        <is>
          <t>Suite</t>
        </is>
      </c>
      <c r="G529" s="11" t="n"/>
      <c r="H529" s="22" t="n"/>
      <c r="I529" s="11" t="n"/>
      <c r="J529" s="22" t="n"/>
      <c r="K529" s="11" t="n"/>
      <c r="L529" t="inlineStr">
        <is>
          <t>Typology drawing R01</t>
        </is>
      </c>
      <c r="M529">
        <f>Config!$B$3&amp;"?room="&amp;A529</f>
        <v/>
      </c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 ht="15" customHeight="1">
      <c r="A530" t="inlineStr">
        <is>
          <t>B-L09-F02</t>
        </is>
      </c>
      <c r="B530" t="inlineStr">
        <is>
          <t>Tower B</t>
        </is>
      </c>
      <c r="C530" t="inlineStr">
        <is>
          <t>L09</t>
        </is>
      </c>
      <c r="D530" t="inlineStr">
        <is>
          <t>BL09G88</t>
        </is>
      </c>
      <c r="E530" t="inlineStr">
        <is>
          <t>F02</t>
        </is>
      </c>
      <c r="F530" t="inlineStr">
        <is>
          <t>Family</t>
        </is>
      </c>
      <c r="G530" s="11" t="n"/>
      <c r="H530" s="22" t="n"/>
      <c r="I530" s="11" t="n"/>
      <c r="J530" s="22" t="n"/>
      <c r="K530" s="11" t="n"/>
      <c r="L530" t="inlineStr">
        <is>
          <t>Inferred – verify</t>
        </is>
      </c>
      <c r="M530">
        <f>Config!$B$3&amp;"?room="&amp;A530</f>
        <v/>
      </c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 ht="15" customHeight="1">
      <c r="A531" t="inlineStr">
        <is>
          <t>B-L09-F06</t>
        </is>
      </c>
      <c r="B531" t="inlineStr">
        <is>
          <t>Tower B</t>
        </is>
      </c>
      <c r="C531" t="inlineStr">
        <is>
          <t>L09</t>
        </is>
      </c>
      <c r="D531" t="inlineStr">
        <is>
          <t>BL09G63</t>
        </is>
      </c>
      <c r="E531" t="inlineStr">
        <is>
          <t>F06</t>
        </is>
      </c>
      <c r="F531" t="inlineStr">
        <is>
          <t>Family</t>
        </is>
      </c>
      <c r="G531" s="11" t="n"/>
      <c r="H531" s="22" t="n"/>
      <c r="I531" s="11" t="n"/>
      <c r="J531" s="22" t="n"/>
      <c r="K531" s="11" t="n"/>
      <c r="L531" t="inlineStr">
        <is>
          <t>Typology drawing R01</t>
        </is>
      </c>
      <c r="M531">
        <f>Config!$B$3&amp;"?room="&amp;A531</f>
        <v/>
      </c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 ht="15" customHeight="1">
      <c r="A532" t="inlineStr">
        <is>
          <t>B-L09-F07</t>
        </is>
      </c>
      <c r="B532" t="inlineStr">
        <is>
          <t>Tower B</t>
        </is>
      </c>
      <c r="C532" t="inlineStr">
        <is>
          <t>L09</t>
        </is>
      </c>
      <c r="D532" t="inlineStr">
        <is>
          <t>BL09G74</t>
        </is>
      </c>
      <c r="E532" t="inlineStr">
        <is>
          <t>F07</t>
        </is>
      </c>
      <c r="F532" t="inlineStr">
        <is>
          <t>Family</t>
        </is>
      </c>
      <c r="G532" s="11" t="n"/>
      <c r="H532" s="22" t="n"/>
      <c r="I532" s="11" t="n"/>
      <c r="J532" s="22" t="n"/>
      <c r="K532" s="11" t="n"/>
      <c r="L532" t="inlineStr">
        <is>
          <t>Typology drawing R01</t>
        </is>
      </c>
      <c r="M532">
        <f>Config!$B$3&amp;"?room="&amp;A532</f>
        <v/>
      </c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 ht="15" customHeight="1">
      <c r="A533" t="inlineStr">
        <is>
          <t>B-L09-F08</t>
        </is>
      </c>
      <c r="B533" t="inlineStr">
        <is>
          <t>Tower B</t>
        </is>
      </c>
      <c r="C533" t="inlineStr">
        <is>
          <t>L09</t>
        </is>
      </c>
      <c r="D533" t="inlineStr">
        <is>
          <t>BL09G76</t>
        </is>
      </c>
      <c r="E533" t="inlineStr">
        <is>
          <t>F08</t>
        </is>
      </c>
      <c r="F533" t="inlineStr">
        <is>
          <t>Family</t>
        </is>
      </c>
      <c r="G533" s="11" t="n"/>
      <c r="H533" s="22" t="n"/>
      <c r="I533" s="11" t="n"/>
      <c r="J533" s="22" t="n"/>
      <c r="K533" s="11" t="n"/>
      <c r="L533" t="inlineStr">
        <is>
          <t>Typology drawing R01</t>
        </is>
      </c>
      <c r="M533">
        <f>Config!$B$3&amp;"?room="&amp;A533</f>
        <v/>
      </c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 ht="15" customHeight="1">
      <c r="A534" t="inlineStr">
        <is>
          <t>B-L09-K01A-01</t>
        </is>
      </c>
      <c r="B534" t="inlineStr">
        <is>
          <t>Tower B</t>
        </is>
      </c>
      <c r="C534" t="inlineStr">
        <is>
          <t>L09</t>
        </is>
      </c>
      <c r="D534" t="inlineStr">
        <is>
          <t>BL09G58</t>
        </is>
      </c>
      <c r="E534" t="inlineStr">
        <is>
          <t>K01A</t>
        </is>
      </c>
      <c r="F534" t="inlineStr">
        <is>
          <t>King</t>
        </is>
      </c>
      <c r="G534" s="11" t="n"/>
      <c r="H534" s="22" t="n"/>
      <c r="I534" s="11" t="n"/>
      <c r="J534" s="22" t="n"/>
      <c r="K534" s="11" t="n"/>
      <c r="L534" t="inlineStr">
        <is>
          <t>Typology drawing R01</t>
        </is>
      </c>
      <c r="M534">
        <f>Config!$B$3&amp;"?room="&amp;A534</f>
        <v/>
      </c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 ht="15" customHeight="1">
      <c r="A535" t="inlineStr">
        <is>
          <t>B-L09-K01A-02</t>
        </is>
      </c>
      <c r="B535" t="inlineStr">
        <is>
          <t>Tower B</t>
        </is>
      </c>
      <c r="C535" t="inlineStr">
        <is>
          <t>L09</t>
        </is>
      </c>
      <c r="D535" t="inlineStr">
        <is>
          <t>BL09G80</t>
        </is>
      </c>
      <c r="E535" t="inlineStr">
        <is>
          <t>K01A</t>
        </is>
      </c>
      <c r="F535" t="inlineStr">
        <is>
          <t>King</t>
        </is>
      </c>
      <c r="G535" s="11" t="n"/>
      <c r="H535" s="22" t="n"/>
      <c r="I535" s="11" t="n"/>
      <c r="J535" s="22" t="n"/>
      <c r="K535" s="11" t="n"/>
      <c r="L535" t="inlineStr">
        <is>
          <t>Typology drawing R01</t>
        </is>
      </c>
      <c r="M535">
        <f>Config!$B$3&amp;"?room="&amp;A535</f>
        <v/>
      </c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 ht="15" customHeight="1">
      <c r="A536" t="inlineStr">
        <is>
          <t>B-L09-K01A-03</t>
        </is>
      </c>
      <c r="B536" t="inlineStr">
        <is>
          <t>Tower B</t>
        </is>
      </c>
      <c r="C536" t="inlineStr">
        <is>
          <t>L09</t>
        </is>
      </c>
      <c r="D536" t="inlineStr">
        <is>
          <t>BL09G84</t>
        </is>
      </c>
      <c r="E536" t="inlineStr">
        <is>
          <t>K01A</t>
        </is>
      </c>
      <c r="F536" t="inlineStr">
        <is>
          <t>King</t>
        </is>
      </c>
      <c r="G536" s="11" t="n"/>
      <c r="H536" s="22" t="n"/>
      <c r="I536" s="11" t="n"/>
      <c r="J536" s="22" t="n"/>
      <c r="K536" s="11" t="n"/>
      <c r="L536" t="inlineStr">
        <is>
          <t>Typology drawing R01</t>
        </is>
      </c>
      <c r="M536">
        <f>Config!$B$3&amp;"?room="&amp;A536</f>
        <v/>
      </c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 ht="15" customHeight="1">
      <c r="A537" t="inlineStr">
        <is>
          <t>B-L09-K02A</t>
        </is>
      </c>
      <c r="B537" t="inlineStr">
        <is>
          <t>Tower B</t>
        </is>
      </c>
      <c r="C537" t="inlineStr">
        <is>
          <t>L09</t>
        </is>
      </c>
      <c r="D537" t="inlineStr">
        <is>
          <t>BL09G82</t>
        </is>
      </c>
      <c r="E537" t="inlineStr">
        <is>
          <t>K02A</t>
        </is>
      </c>
      <c r="F537" t="inlineStr">
        <is>
          <t>King</t>
        </is>
      </c>
      <c r="G537" s="11" t="n"/>
      <c r="H537" s="22" t="n"/>
      <c r="I537" s="11" t="n"/>
      <c r="J537" s="22" t="n"/>
      <c r="K537" s="11" t="n"/>
      <c r="L537" t="inlineStr">
        <is>
          <t>Typology drawing R01</t>
        </is>
      </c>
      <c r="M537">
        <f>Config!$B$3&amp;"?room="&amp;A537</f>
        <v/>
      </c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 ht="15" customHeight="1">
      <c r="A538" t="inlineStr">
        <is>
          <t>B-L09-KADA2</t>
        </is>
      </c>
      <c r="B538" t="inlineStr">
        <is>
          <t>Tower B</t>
        </is>
      </c>
      <c r="C538" t="inlineStr">
        <is>
          <t>L09</t>
        </is>
      </c>
      <c r="D538" t="inlineStr">
        <is>
          <t>BL09G60</t>
        </is>
      </c>
      <c r="E538" t="inlineStr">
        <is>
          <t>KADA2</t>
        </is>
      </c>
      <c r="F538" t="inlineStr">
        <is>
          <t>King ADA</t>
        </is>
      </c>
      <c r="G538" s="11" t="n"/>
      <c r="H538" s="22" t="n"/>
      <c r="I538" s="11" t="n"/>
      <c r="J538" s="22" t="n"/>
      <c r="K538" s="11" t="n"/>
      <c r="L538" t="inlineStr">
        <is>
          <t>Typology drawing R01</t>
        </is>
      </c>
      <c r="M538">
        <f>Config!$B$3&amp;"?room="&amp;A538</f>
        <v/>
      </c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 ht="15" customHeight="1">
      <c r="A539" t="inlineStr">
        <is>
          <t>B-L09-PS02</t>
        </is>
      </c>
      <c r="B539" t="inlineStr">
        <is>
          <t>Tower B</t>
        </is>
      </c>
      <c r="C539" t="inlineStr">
        <is>
          <t>L09</t>
        </is>
      </c>
      <c r="D539" t="inlineStr">
        <is>
          <t>BL09G51</t>
        </is>
      </c>
      <c r="E539" t="inlineStr">
        <is>
          <t>PS02</t>
        </is>
      </c>
      <c r="F539" t="inlineStr">
        <is>
          <t>Premium Suite</t>
        </is>
      </c>
      <c r="G539" s="11" t="n"/>
      <c r="H539" s="22" t="n"/>
      <c r="I539" s="11" t="n"/>
      <c r="J539" s="22" t="n"/>
      <c r="K539" s="11" t="n"/>
      <c r="L539" t="inlineStr">
        <is>
          <t>Typology drawing R01</t>
        </is>
      </c>
      <c r="M539">
        <f>Config!$B$3&amp;"?room="&amp;A539</f>
        <v/>
      </c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 ht="15" customHeight="1">
      <c r="A540" t="inlineStr">
        <is>
          <t>B-L09-PS03-01</t>
        </is>
      </c>
      <c r="B540" t="inlineStr">
        <is>
          <t>Tower B</t>
        </is>
      </c>
      <c r="C540" t="inlineStr">
        <is>
          <t>L09</t>
        </is>
      </c>
      <c r="D540" t="inlineStr">
        <is>
          <t>BL09G59</t>
        </is>
      </c>
      <c r="E540" t="inlineStr">
        <is>
          <t>PS03</t>
        </is>
      </c>
      <c r="F540" t="inlineStr">
        <is>
          <t>Premium Suite</t>
        </is>
      </c>
      <c r="G540" s="11" t="n"/>
      <c r="H540" s="22" t="n"/>
      <c r="I540" s="11" t="n"/>
      <c r="J540" s="22" t="n"/>
      <c r="K540" s="11" t="n"/>
      <c r="L540" t="inlineStr">
        <is>
          <t>Typology drawing R01</t>
        </is>
      </c>
      <c r="M540">
        <f>Config!$B$3&amp;"?room="&amp;A540</f>
        <v/>
      </c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 ht="15" customHeight="1">
      <c r="A541" t="inlineStr">
        <is>
          <t>B-L09-PS03-02</t>
        </is>
      </c>
      <c r="B541" t="inlineStr">
        <is>
          <t>Tower B</t>
        </is>
      </c>
      <c r="C541" t="inlineStr">
        <is>
          <t>L09</t>
        </is>
      </c>
      <c r="D541" t="inlineStr">
        <is>
          <t>BL09G75</t>
        </is>
      </c>
      <c r="E541" t="inlineStr">
        <is>
          <t>PS03</t>
        </is>
      </c>
      <c r="F541" t="inlineStr">
        <is>
          <t>Premium Suite</t>
        </is>
      </c>
      <c r="G541" s="11" t="n"/>
      <c r="H541" s="22" t="n"/>
      <c r="I541" s="11" t="n"/>
      <c r="J541" s="22" t="n"/>
      <c r="K541" s="11" t="n"/>
      <c r="L541" t="inlineStr">
        <is>
          <t>Inferred – verify</t>
        </is>
      </c>
      <c r="M541">
        <f>Config!$B$3&amp;"?room="&amp;A541</f>
        <v/>
      </c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 ht="15" customHeight="1">
      <c r="A542" t="inlineStr">
        <is>
          <t>B-L09-Q01C</t>
        </is>
      </c>
      <c r="B542" t="inlineStr">
        <is>
          <t>Tower B</t>
        </is>
      </c>
      <c r="C542" t="inlineStr">
        <is>
          <t>L09</t>
        </is>
      </c>
      <c r="D542" t="inlineStr">
        <is>
          <t>BL09G83</t>
        </is>
      </c>
      <c r="E542" t="inlineStr">
        <is>
          <t>Q01C</t>
        </is>
      </c>
      <c r="F542" t="inlineStr">
        <is>
          <t>Queen</t>
        </is>
      </c>
      <c r="G542" s="11" t="n"/>
      <c r="H542" s="22" t="n"/>
      <c r="I542" s="11" t="n"/>
      <c r="J542" s="22" t="n"/>
      <c r="K542" s="11" t="n"/>
      <c r="L542" t="inlineStr">
        <is>
          <t>Typology drawing R01</t>
        </is>
      </c>
      <c r="M542">
        <f>Config!$B$3&amp;"?room="&amp;A542</f>
        <v/>
      </c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 ht="15" customHeight="1">
      <c r="A543" t="inlineStr">
        <is>
          <t>B-L09-Q01C1-01</t>
        </is>
      </c>
      <c r="B543" t="inlineStr">
        <is>
          <t>Tower B</t>
        </is>
      </c>
      <c r="C543" t="inlineStr">
        <is>
          <t>L09</t>
        </is>
      </c>
      <c r="D543" t="inlineStr">
        <is>
          <t>BL09G64</t>
        </is>
      </c>
      <c r="E543" t="inlineStr">
        <is>
          <t>Q01C1</t>
        </is>
      </c>
      <c r="F543" t="inlineStr">
        <is>
          <t>Queen</t>
        </is>
      </c>
      <c r="G543" s="11" t="n"/>
      <c r="H543" s="22" t="n"/>
      <c r="I543" s="11" t="n"/>
      <c r="J543" s="22" t="n"/>
      <c r="K543" s="11" t="n"/>
      <c r="L543" t="inlineStr">
        <is>
          <t>Typology drawing R01</t>
        </is>
      </c>
      <c r="M543">
        <f>Config!$B$3&amp;"?room="&amp;A543</f>
        <v/>
      </c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 ht="15" customHeight="1">
      <c r="A544" t="inlineStr">
        <is>
          <t>B-L09-Q01C1-02</t>
        </is>
      </c>
      <c r="B544" t="inlineStr">
        <is>
          <t>Tower B</t>
        </is>
      </c>
      <c r="C544" t="inlineStr">
        <is>
          <t>L09</t>
        </is>
      </c>
      <c r="D544" t="inlineStr">
        <is>
          <t>BL09G70</t>
        </is>
      </c>
      <c r="E544" t="inlineStr">
        <is>
          <t>Q01C1</t>
        </is>
      </c>
      <c r="F544" t="inlineStr">
        <is>
          <t>Queen</t>
        </is>
      </c>
      <c r="G544" s="11" t="n"/>
      <c r="H544" s="22" t="n"/>
      <c r="I544" s="11" t="n"/>
      <c r="J544" s="22" t="n"/>
      <c r="K544" s="11" t="n"/>
      <c r="L544" t="inlineStr">
        <is>
          <t>Typology drawing R01</t>
        </is>
      </c>
      <c r="M544">
        <f>Config!$B$3&amp;"?room="&amp;A544</f>
        <v/>
      </c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 ht="15" customHeight="1">
      <c r="A545" t="inlineStr">
        <is>
          <t>B-L09-Q02C1-01</t>
        </is>
      </c>
      <c r="B545" t="inlineStr">
        <is>
          <t>Tower B</t>
        </is>
      </c>
      <c r="C545" t="inlineStr">
        <is>
          <t>L09</t>
        </is>
      </c>
      <c r="D545" t="inlineStr">
        <is>
          <t>BL09G62</t>
        </is>
      </c>
      <c r="E545" t="inlineStr">
        <is>
          <t>Q02C1</t>
        </is>
      </c>
      <c r="F545" t="inlineStr">
        <is>
          <t>Queen</t>
        </is>
      </c>
      <c r="G545" s="11" t="n"/>
      <c r="H545" s="22" t="n"/>
      <c r="I545" s="11" t="n"/>
      <c r="J545" s="22" t="n"/>
      <c r="K545" s="11" t="n"/>
      <c r="L545" t="inlineStr">
        <is>
          <t>Typology drawing R01</t>
        </is>
      </c>
      <c r="M545">
        <f>Config!$B$3&amp;"?room="&amp;A545</f>
        <v/>
      </c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 ht="15" customHeight="1">
      <c r="A546" t="inlineStr">
        <is>
          <t>B-L09-Q02C1-02</t>
        </is>
      </c>
      <c r="B546" t="inlineStr">
        <is>
          <t>Tower B</t>
        </is>
      </c>
      <c r="C546" t="inlineStr">
        <is>
          <t>L09</t>
        </is>
      </c>
      <c r="D546" t="inlineStr">
        <is>
          <t>BL09G78</t>
        </is>
      </c>
      <c r="E546" t="inlineStr">
        <is>
          <t>Q02C1</t>
        </is>
      </c>
      <c r="F546" t="inlineStr">
        <is>
          <t>Queen</t>
        </is>
      </c>
      <c r="G546" s="11" t="n"/>
      <c r="H546" s="22" t="n"/>
      <c r="I546" s="11" t="n"/>
      <c r="J546" s="22" t="n"/>
      <c r="K546" s="11" t="n"/>
      <c r="L546" t="inlineStr">
        <is>
          <t>Typology drawing R01</t>
        </is>
      </c>
      <c r="M546">
        <f>Config!$B$3&amp;"?room="&amp;A546</f>
        <v/>
      </c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 ht="15" customHeight="1">
      <c r="A547" t="inlineStr">
        <is>
          <t>B-L09-Q02E</t>
        </is>
      </c>
      <c r="B547" t="inlineStr">
        <is>
          <t>Tower B</t>
        </is>
      </c>
      <c r="C547" t="inlineStr">
        <is>
          <t>L09</t>
        </is>
      </c>
      <c r="D547" t="inlineStr">
        <is>
          <t>BL09G85</t>
        </is>
      </c>
      <c r="E547" t="inlineStr">
        <is>
          <t>Q02E</t>
        </is>
      </c>
      <c r="F547" t="inlineStr">
        <is>
          <t>Queen</t>
        </is>
      </c>
      <c r="G547" s="11" t="n"/>
      <c r="H547" s="22" t="n"/>
      <c r="I547" s="11" t="n"/>
      <c r="J547" s="22" t="n"/>
      <c r="K547" s="11" t="n"/>
      <c r="L547" t="inlineStr">
        <is>
          <t>Type per Room Matrix (drawing shows Q02C)</t>
        </is>
      </c>
      <c r="M547">
        <f>Config!$B$3&amp;"?room="&amp;A547</f>
        <v/>
      </c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 ht="15" customHeight="1">
      <c r="A548" t="inlineStr">
        <is>
          <t>B-L09-Q04</t>
        </is>
      </c>
      <c r="B548" t="inlineStr">
        <is>
          <t>Tower B</t>
        </is>
      </c>
      <c r="C548" t="inlineStr">
        <is>
          <t>L09</t>
        </is>
      </c>
      <c r="D548" t="inlineStr">
        <is>
          <t>BL09G69</t>
        </is>
      </c>
      <c r="E548" t="inlineStr">
        <is>
          <t>Q04</t>
        </is>
      </c>
      <c r="F548" t="inlineStr">
        <is>
          <t>Queen</t>
        </is>
      </c>
      <c r="G548" s="11" t="n"/>
      <c r="H548" s="22" t="n"/>
      <c r="I548" s="11" t="n"/>
      <c r="J548" s="22" t="n"/>
      <c r="K548" s="11" t="n"/>
      <c r="L548" t="inlineStr">
        <is>
          <t>Typology drawing R01</t>
        </is>
      </c>
      <c r="M548">
        <f>Config!$B$3&amp;"?room="&amp;A548</f>
        <v/>
      </c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 ht="15" customHeight="1">
      <c r="A549" t="inlineStr">
        <is>
          <t>B-L09-Q06</t>
        </is>
      </c>
      <c r="B549" t="inlineStr">
        <is>
          <t>Tower B</t>
        </is>
      </c>
      <c r="C549" t="inlineStr">
        <is>
          <t>L09</t>
        </is>
      </c>
      <c r="D549" t="inlineStr">
        <is>
          <t>BL09G86</t>
        </is>
      </c>
      <c r="E549" t="inlineStr">
        <is>
          <t>Q06</t>
        </is>
      </c>
      <c r="F549" t="inlineStr">
        <is>
          <t>Queen</t>
        </is>
      </c>
      <c r="G549" s="11" t="n"/>
      <c r="H549" s="22" t="n"/>
      <c r="I549" s="11" t="n"/>
      <c r="J549" s="22" t="n"/>
      <c r="K549" s="11" t="n"/>
      <c r="L549" t="inlineStr">
        <is>
          <t>Typology drawing R01</t>
        </is>
      </c>
      <c r="M549">
        <f>Config!$B$3&amp;"?room="&amp;A549</f>
        <v/>
      </c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 ht="15" customHeight="1">
      <c r="A550" t="inlineStr">
        <is>
          <t>B-L09-Q07-01</t>
        </is>
      </c>
      <c r="B550" t="inlineStr">
        <is>
          <t>Tower B</t>
        </is>
      </c>
      <c r="C550" t="inlineStr">
        <is>
          <t>L09</t>
        </is>
      </c>
      <c r="D550" t="inlineStr">
        <is>
          <t>BL09G61</t>
        </is>
      </c>
      <c r="E550" t="inlineStr">
        <is>
          <t>Q07</t>
        </is>
      </c>
      <c r="F550" t="inlineStr">
        <is>
          <t>Queen</t>
        </is>
      </c>
      <c r="G550" s="11" t="n"/>
      <c r="H550" s="22" t="n"/>
      <c r="I550" s="11" t="n"/>
      <c r="J550" s="22" t="n"/>
      <c r="K550" s="11" t="n"/>
      <c r="L550" t="inlineStr">
        <is>
          <t>Typology drawing R01</t>
        </is>
      </c>
      <c r="M550">
        <f>Config!$B$3&amp;"?room="&amp;A550</f>
        <v/>
      </c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 ht="15" customHeight="1">
      <c r="A551" t="inlineStr">
        <is>
          <t>B-L09-Q07-02</t>
        </is>
      </c>
      <c r="B551" t="inlineStr">
        <is>
          <t>Tower B</t>
        </is>
      </c>
      <c r="C551" t="inlineStr">
        <is>
          <t>L09</t>
        </is>
      </c>
      <c r="D551" t="inlineStr">
        <is>
          <t>BL09G77</t>
        </is>
      </c>
      <c r="E551" t="inlineStr">
        <is>
          <t>Q07</t>
        </is>
      </c>
      <c r="F551" t="inlineStr">
        <is>
          <t>Queen</t>
        </is>
      </c>
      <c r="G551" s="11" t="n"/>
      <c r="H551" s="22" t="n"/>
      <c r="I551" s="11" t="n"/>
      <c r="J551" s="22" t="n"/>
      <c r="K551" s="11" t="n"/>
      <c r="L551" t="inlineStr">
        <is>
          <t>Typology drawing R01</t>
        </is>
      </c>
      <c r="M551">
        <f>Config!$B$3&amp;"?room="&amp;A551</f>
        <v/>
      </c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 ht="15" customHeight="1">
      <c r="A552" t="inlineStr">
        <is>
          <t>B-L09-S03</t>
        </is>
      </c>
      <c r="B552" t="inlineStr">
        <is>
          <t>Tower B</t>
        </is>
      </c>
      <c r="C552" t="inlineStr">
        <is>
          <t>L09</t>
        </is>
      </c>
      <c r="D552" t="inlineStr">
        <is>
          <t>BL09G66</t>
        </is>
      </c>
      <c r="E552" t="inlineStr">
        <is>
          <t>S03</t>
        </is>
      </c>
      <c r="F552" t="inlineStr">
        <is>
          <t>Suite</t>
        </is>
      </c>
      <c r="G552" s="11" t="n"/>
      <c r="H552" s="22" t="n"/>
      <c r="I552" s="11" t="n"/>
      <c r="J552" s="22" t="n"/>
      <c r="K552" s="11" t="n"/>
      <c r="L552" t="inlineStr">
        <is>
          <t>Typology drawing R01</t>
        </is>
      </c>
      <c r="M552">
        <f>Config!$B$3&amp;"?room="&amp;A552</f>
        <v/>
      </c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 ht="15" customHeight="1">
      <c r="A553" t="inlineStr">
        <is>
          <t>B-L09-S09</t>
        </is>
      </c>
      <c r="B553" t="inlineStr">
        <is>
          <t>Tower B</t>
        </is>
      </c>
      <c r="C553" t="inlineStr">
        <is>
          <t>L09</t>
        </is>
      </c>
      <c r="D553" t="inlineStr">
        <is>
          <t>BL09G81</t>
        </is>
      </c>
      <c r="E553" t="inlineStr">
        <is>
          <t>S09</t>
        </is>
      </c>
      <c r="F553" t="inlineStr">
        <is>
          <t>Suite</t>
        </is>
      </c>
      <c r="G553" s="11" t="n"/>
      <c r="H553" s="22" t="n"/>
      <c r="I553" s="11" t="n"/>
      <c r="J553" s="22" t="n"/>
      <c r="K553" s="11" t="n"/>
      <c r="L553" t="inlineStr">
        <is>
          <t>Typology drawing R01</t>
        </is>
      </c>
      <c r="M553">
        <f>Config!$B$3&amp;"?room="&amp;A553</f>
        <v/>
      </c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 ht="15" customHeight="1">
      <c r="A554" t="inlineStr">
        <is>
          <t>B-L09-S10</t>
        </is>
      </c>
      <c r="B554" t="inlineStr">
        <is>
          <t>Tower B</t>
        </is>
      </c>
      <c r="C554" t="inlineStr">
        <is>
          <t>L09</t>
        </is>
      </c>
      <c r="D554" t="inlineStr">
        <is>
          <t>BL09G87</t>
        </is>
      </c>
      <c r="E554" t="inlineStr">
        <is>
          <t>S10</t>
        </is>
      </c>
      <c r="F554" t="inlineStr">
        <is>
          <t>Suite</t>
        </is>
      </c>
      <c r="G554" s="11" t="n"/>
      <c r="H554" s="22" t="n"/>
      <c r="I554" s="11" t="n"/>
      <c r="J554" s="22" t="n"/>
      <c r="K554" s="11" t="n"/>
      <c r="L554" t="inlineStr">
        <is>
          <t>Typology drawing R01</t>
        </is>
      </c>
      <c r="M554">
        <f>Config!$B$3&amp;"?room="&amp;A554</f>
        <v/>
      </c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priority="2" dxfId="14">
      <formula>G2="Provided"</formula>
    </cfRule>
    <cfRule type="expression" priority="3" dxfId="13">
      <formula>G2="Partially Provided"</formula>
    </cfRule>
    <cfRule type="expression" priority="4" dxfId="12">
      <formula>G2="Pending"</formula>
    </cfRule>
  </conditionalFormatting>
  <conditionalFormatting sqref="I2:I554">
    <cfRule type="expression" priority="5" dxfId="14">
      <formula>I2="Provided"</formula>
    </cfRule>
    <cfRule type="expression" priority="6" dxfId="13">
      <formula>I2="Partially Provided"</formula>
    </cfRule>
    <cfRule type="expression" priority="7" dxfId="12">
      <formula>I2="Pending"</formula>
    </cfRule>
  </conditionalFormatting>
  <dataValidations count="1">
    <dataValidation sqref="H2:H554 J2:J554" showDropDown="0" showInputMessage="0" showErrorMessage="0" allowBlank="1" type="date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13" customWidth="1" min="4" max="4"/>
    <col width="13" customWidth="1" min="5" max="5"/>
    <col width="8" customWidth="1" min="6" max="6"/>
    <col width="13" customWidth="1" min="7" max="7"/>
    <col width="13" customWidth="1" min="8" max="8"/>
    <col width="8" customWidth="1" min="9" max="9"/>
    <col width="13" customWidth="1" min="10" max="10"/>
    <col width="8" customWidth="1" min="11" max="11"/>
    <col width="13" customWidth="1" min="12" max="12"/>
    <col width="8" customWidth="1" min="13" max="13"/>
    <col width="13" customWidth="1" min="14" max="14"/>
    <col width="8" customWidth="1" min="15" max="15"/>
    <col width="13" customWidth="1" min="16" max="16"/>
    <col width="8" customWidth="1" min="17" max="17"/>
    <col width="13" customWidth="1" min="18" max="18"/>
    <col width="8" customWidth="1" min="19" max="19"/>
    <col width="13" customWidth="1" min="20" max="20"/>
    <col width="8" customWidth="1" min="21" max="21"/>
    <col width="13" customWidth="1" min="22" max="22"/>
    <col width="8" customWidth="1" min="23" max="23"/>
    <col width="13" customWidth="1" min="24" max="24"/>
    <col width="8" customWidth="1" min="25" max="25"/>
    <col width="13" customWidth="1" min="26" max="26"/>
    <col width="8" customWidth="1" min="27" max="27"/>
    <col width="13" customWidth="1" min="28" max="28"/>
    <col width="8" customWidth="1" min="29" max="29"/>
    <col width="13" customWidth="1" min="30" max="30"/>
  </cols>
  <sheetData>
    <row r="1" ht="58" customHeight="1">
      <c r="A1" s="23" t="inlineStr">
        <is>
          <t>Room Type</t>
        </is>
      </c>
      <c r="B1" s="23" t="inlineStr">
        <is>
          <t>Room Category</t>
        </is>
      </c>
      <c r="C1" s="24" t="inlineStr">
        <is>
          <t>ID SD Reference</t>
        </is>
      </c>
      <c r="D1" s="24" t="inlineStr">
        <is>
          <t>Coordination Sketch</t>
        </is>
      </c>
      <c r="E1" s="24" t="inlineStr">
        <is>
          <t>Coordination Sketch Date</t>
        </is>
      </c>
      <c r="F1" s="24" t="inlineStr">
        <is>
          <t>ID SD Revision</t>
        </is>
      </c>
      <c r="G1" s="24" t="inlineStr">
        <is>
          <t>ID SD Status</t>
        </is>
      </c>
      <c r="H1" s="24" t="inlineStr">
        <is>
          <t>ID SD Status Date</t>
        </is>
      </c>
      <c r="I1" s="24" t="inlineStr">
        <is>
          <t>MEP SD - Drainage Network Rev</t>
        </is>
      </c>
      <c r="J1" s="24" t="inlineStr">
        <is>
          <t>MEP SD - Drainage Network</t>
        </is>
      </c>
      <c r="K1" s="24" t="inlineStr">
        <is>
          <t>MEP SD - Water Supply Network Rev</t>
        </is>
      </c>
      <c r="L1" s="24" t="inlineStr">
        <is>
          <t>MEP SD - Water Supply Network</t>
        </is>
      </c>
      <c r="M1" s="24" t="inlineStr">
        <is>
          <t>MEP SD - Chilled Water Network Rev</t>
        </is>
      </c>
      <c r="N1" s="24" t="inlineStr">
        <is>
          <t>MEP SD - Chilled Water Network</t>
        </is>
      </c>
      <c r="O1" s="24" t="inlineStr">
        <is>
          <t>MEP SD - Fire Fighting Network Rev</t>
        </is>
      </c>
      <c r="P1" s="24" t="inlineStr">
        <is>
          <t>MEP SD - Fire Fighting Network</t>
        </is>
      </c>
      <c r="Q1" s="24" t="inlineStr">
        <is>
          <t>MEP SD - AC System Rev</t>
        </is>
      </c>
      <c r="R1" s="24" t="inlineStr">
        <is>
          <t>MEP SD - AC System</t>
        </is>
      </c>
      <c r="S1" s="24" t="inlineStr">
        <is>
          <t>MEP SD - Ventilation System Rev</t>
        </is>
      </c>
      <c r="T1" s="24" t="inlineStr">
        <is>
          <t>MEP SD - Ventilation System</t>
        </is>
      </c>
      <c r="U1" s="24" t="inlineStr">
        <is>
          <t>MEP SD - CDP System Rev</t>
        </is>
      </c>
      <c r="V1" s="24" t="inlineStr">
        <is>
          <t>MEP SD - CDP System</t>
        </is>
      </c>
      <c r="W1" s="24" t="inlineStr">
        <is>
          <t>MEP SD - Small Power Rev</t>
        </is>
      </c>
      <c r="X1" s="24" t="inlineStr">
        <is>
          <t>MEP SD - Small Power</t>
        </is>
      </c>
      <c r="Y1" s="24" t="inlineStr">
        <is>
          <t>MEP SD - Lighting Rev</t>
        </is>
      </c>
      <c r="Z1" s="24" t="inlineStr">
        <is>
          <t>MEP SD - Lighting</t>
        </is>
      </c>
      <c r="AA1" s="24" t="inlineStr">
        <is>
          <t>ELV SD - ICT System GRMS Rev</t>
        </is>
      </c>
      <c r="AB1" s="24" t="inlineStr">
        <is>
          <t>ELV SD - ICT System GRMS</t>
        </is>
      </c>
      <c r="AC1" s="24" t="inlineStr">
        <is>
          <t>ELV SD - ICT GRMS Lighting Control Rev</t>
        </is>
      </c>
      <c r="AD1" s="24" t="inlineStr">
        <is>
          <t>ELV SD - ICT GRMS Lighting Control</t>
        </is>
      </c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</row>
    <row r="2">
      <c r="A2" s="25" t="inlineStr">
        <is>
          <t>F01</t>
        </is>
      </c>
      <c r="B2" s="25" t="inlineStr">
        <is>
          <t>Family</t>
        </is>
      </c>
      <c r="C2" s="26" t="inlineStr">
        <is>
          <t>WPH-ETC-DRW-SDW-IND-00-ZZZ-42301</t>
        </is>
      </c>
      <c r="D2" s="26" t="inlineStr">
        <is>
          <t>Not Provided</t>
        </is>
      </c>
      <c r="E2" s="27" t="n"/>
      <c r="F2" s="28" t="n"/>
      <c r="G2" s="29" t="inlineStr">
        <is>
          <t>B</t>
        </is>
      </c>
      <c r="H2" s="27" t="n"/>
      <c r="I2" s="28" t="n"/>
      <c r="J2" s="29" t="inlineStr">
        <is>
          <t>TBS</t>
        </is>
      </c>
      <c r="K2" s="28" t="n"/>
      <c r="L2" s="29" t="inlineStr">
        <is>
          <t>TBS</t>
        </is>
      </c>
      <c r="M2" s="28" t="n"/>
      <c r="N2" s="29" t="inlineStr">
        <is>
          <t>TBS</t>
        </is>
      </c>
      <c r="O2" s="28" t="n"/>
      <c r="P2" s="29" t="inlineStr">
        <is>
          <t>TBS</t>
        </is>
      </c>
      <c r="Q2" s="28" t="n"/>
      <c r="R2" s="29" t="inlineStr">
        <is>
          <t>TBS</t>
        </is>
      </c>
      <c r="S2" s="28" t="n"/>
      <c r="T2" s="29" t="inlineStr">
        <is>
          <t>TBS</t>
        </is>
      </c>
      <c r="U2" s="28" t="n"/>
      <c r="V2" s="29" t="inlineStr">
        <is>
          <t>TBS</t>
        </is>
      </c>
      <c r="W2" s="28" t="inlineStr">
        <is>
          <t>01</t>
        </is>
      </c>
      <c r="X2" s="29" t="inlineStr">
        <is>
          <t>C</t>
        </is>
      </c>
      <c r="Y2" s="28" t="n"/>
      <c r="Z2" s="29" t="inlineStr">
        <is>
          <t>TBS</t>
        </is>
      </c>
      <c r="AA2" s="28" t="inlineStr">
        <is>
          <t>01</t>
        </is>
      </c>
      <c r="AB2" s="29" t="inlineStr">
        <is>
          <t>B</t>
        </is>
      </c>
      <c r="AC2" s="28" t="inlineStr">
        <is>
          <t>01</t>
        </is>
      </c>
      <c r="AD2" s="29" t="inlineStr">
        <is>
          <t>B</t>
        </is>
      </c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</row>
    <row r="3">
      <c r="A3" s="25" t="inlineStr">
        <is>
          <t>F02</t>
        </is>
      </c>
      <c r="B3" s="25" t="inlineStr">
        <is>
          <t>Family</t>
        </is>
      </c>
      <c r="C3" s="26" t="inlineStr">
        <is>
          <t>WPH-ETC-DRW-SDW-IND-00-ZZZ-42401</t>
        </is>
      </c>
      <c r="D3" s="26" t="inlineStr">
        <is>
          <t>Not Provided</t>
        </is>
      </c>
      <c r="E3" s="27" t="n"/>
      <c r="F3" s="28" t="n"/>
      <c r="G3" s="29" t="inlineStr">
        <is>
          <t>B</t>
        </is>
      </c>
      <c r="H3" s="27" t="n"/>
      <c r="I3" s="28" t="n"/>
      <c r="J3" s="29" t="inlineStr">
        <is>
          <t>TBS</t>
        </is>
      </c>
      <c r="K3" s="28" t="inlineStr">
        <is>
          <t>00</t>
        </is>
      </c>
      <c r="L3" s="29" t="inlineStr">
        <is>
          <t>B</t>
        </is>
      </c>
      <c r="M3" s="28" t="inlineStr">
        <is>
          <t>01</t>
        </is>
      </c>
      <c r="N3" s="29" t="inlineStr">
        <is>
          <t>B</t>
        </is>
      </c>
      <c r="O3" s="28" t="inlineStr">
        <is>
          <t>01</t>
        </is>
      </c>
      <c r="P3" s="29" t="inlineStr">
        <is>
          <t>B</t>
        </is>
      </c>
      <c r="Q3" s="28" t="inlineStr">
        <is>
          <t>01</t>
        </is>
      </c>
      <c r="R3" s="29" t="inlineStr">
        <is>
          <t>B</t>
        </is>
      </c>
      <c r="S3" s="28" t="inlineStr">
        <is>
          <t>01</t>
        </is>
      </c>
      <c r="T3" s="29" t="inlineStr">
        <is>
          <t>B</t>
        </is>
      </c>
      <c r="U3" s="28" t="inlineStr">
        <is>
          <t>00</t>
        </is>
      </c>
      <c r="V3" s="29" t="inlineStr">
        <is>
          <t>B</t>
        </is>
      </c>
      <c r="W3" s="28" t="inlineStr">
        <is>
          <t>03</t>
        </is>
      </c>
      <c r="X3" s="29" t="inlineStr">
        <is>
          <t>B</t>
        </is>
      </c>
      <c r="Y3" s="28" t="n"/>
      <c r="Z3" s="29" t="inlineStr">
        <is>
          <t>TBS</t>
        </is>
      </c>
      <c r="AA3" s="28" t="inlineStr">
        <is>
          <t>02</t>
        </is>
      </c>
      <c r="AB3" s="29" t="inlineStr">
        <is>
          <t>B</t>
        </is>
      </c>
      <c r="AC3" s="28" t="inlineStr">
        <is>
          <t>01</t>
        </is>
      </c>
      <c r="AD3" s="29" t="inlineStr">
        <is>
          <t>B</t>
        </is>
      </c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</row>
    <row r="4">
      <c r="A4" s="25" t="inlineStr">
        <is>
          <t>F03</t>
        </is>
      </c>
      <c r="B4" s="25" t="inlineStr">
        <is>
          <t>Family</t>
        </is>
      </c>
      <c r="C4" s="26" t="inlineStr">
        <is>
          <t>WPH-ETC-DRW-SDW-IND-00-ZZZ-42501</t>
        </is>
      </c>
      <c r="D4" s="26" t="inlineStr">
        <is>
          <t>Provided</t>
        </is>
      </c>
      <c r="E4" s="27" t="n"/>
      <c r="F4" s="28" t="n"/>
      <c r="G4" s="29" t="inlineStr">
        <is>
          <t>B</t>
        </is>
      </c>
      <c r="H4" s="27" t="n">
        <v>46301</v>
      </c>
      <c r="I4" s="28" t="n"/>
      <c r="J4" s="29" t="inlineStr">
        <is>
          <t>TBS</t>
        </is>
      </c>
      <c r="K4" s="28" t="n"/>
      <c r="L4" s="29" t="inlineStr">
        <is>
          <t>TBS</t>
        </is>
      </c>
      <c r="M4" s="28" t="inlineStr">
        <is>
          <t>00</t>
        </is>
      </c>
      <c r="N4" s="29" t="inlineStr">
        <is>
          <t>B</t>
        </is>
      </c>
      <c r="O4" s="28" t="n"/>
      <c r="P4" s="29" t="inlineStr">
        <is>
          <t>TBS</t>
        </is>
      </c>
      <c r="Q4" s="28" t="n"/>
      <c r="R4" s="29" t="inlineStr">
        <is>
          <t>TBS</t>
        </is>
      </c>
      <c r="S4" s="28" t="n"/>
      <c r="T4" s="29" t="inlineStr">
        <is>
          <t>TBS</t>
        </is>
      </c>
      <c r="U4" s="28" t="n"/>
      <c r="V4" s="29" t="inlineStr">
        <is>
          <t>TBS</t>
        </is>
      </c>
      <c r="W4" s="28" t="inlineStr">
        <is>
          <t>02</t>
        </is>
      </c>
      <c r="X4" s="29" t="inlineStr">
        <is>
          <t>B</t>
        </is>
      </c>
      <c r="Y4" s="28" t="n"/>
      <c r="Z4" s="29" t="inlineStr">
        <is>
          <t>TBS</t>
        </is>
      </c>
      <c r="AA4" s="28" t="inlineStr">
        <is>
          <t>01</t>
        </is>
      </c>
      <c r="AB4" s="29" t="inlineStr">
        <is>
          <t>B</t>
        </is>
      </c>
      <c r="AC4" s="28" t="inlineStr">
        <is>
          <t>01</t>
        </is>
      </c>
      <c r="AD4" s="29" t="inlineStr">
        <is>
          <t>B</t>
        </is>
      </c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</row>
    <row r="5">
      <c r="A5" s="25" t="inlineStr">
        <is>
          <t>F03A</t>
        </is>
      </c>
      <c r="B5" s="25" t="inlineStr">
        <is>
          <t>Family</t>
        </is>
      </c>
      <c r="C5" s="26" t="inlineStr">
        <is>
          <t>(no drawing number in legend)</t>
        </is>
      </c>
      <c r="D5" s="26" t="inlineStr">
        <is>
          <t>Not Provided</t>
        </is>
      </c>
      <c r="E5" s="27" t="n"/>
      <c r="F5" s="28" t="n"/>
      <c r="G5" s="29" t="inlineStr">
        <is>
          <t>B</t>
        </is>
      </c>
      <c r="H5" s="27" t="n"/>
      <c r="I5" s="28" t="n"/>
      <c r="J5" s="29" t="inlineStr">
        <is>
          <t>TBS</t>
        </is>
      </c>
      <c r="K5" s="28" t="n"/>
      <c r="L5" s="29" t="inlineStr">
        <is>
          <t>TBS</t>
        </is>
      </c>
      <c r="M5" s="28" t="inlineStr">
        <is>
          <t>00</t>
        </is>
      </c>
      <c r="N5" s="29" t="inlineStr">
        <is>
          <t>B</t>
        </is>
      </c>
      <c r="O5" s="28" t="n"/>
      <c r="P5" s="29" t="inlineStr">
        <is>
          <t>TBS</t>
        </is>
      </c>
      <c r="Q5" s="28" t="n"/>
      <c r="R5" s="29" t="inlineStr">
        <is>
          <t>TBS</t>
        </is>
      </c>
      <c r="S5" s="28" t="n"/>
      <c r="T5" s="29" t="inlineStr">
        <is>
          <t>TBS</t>
        </is>
      </c>
      <c r="U5" s="28" t="n"/>
      <c r="V5" s="29" t="inlineStr">
        <is>
          <t>TBS</t>
        </is>
      </c>
      <c r="W5" s="28" t="inlineStr">
        <is>
          <t>00</t>
        </is>
      </c>
      <c r="X5" s="29" t="inlineStr">
        <is>
          <t>B</t>
        </is>
      </c>
      <c r="Y5" s="28" t="inlineStr">
        <is>
          <t>00</t>
        </is>
      </c>
      <c r="Z5" s="29" t="inlineStr">
        <is>
          <t>UR</t>
        </is>
      </c>
      <c r="AA5" s="28" t="inlineStr">
        <is>
          <t>00</t>
        </is>
      </c>
      <c r="AB5" s="29" t="inlineStr">
        <is>
          <t>B</t>
        </is>
      </c>
      <c r="AC5" s="28" t="inlineStr">
        <is>
          <t>00</t>
        </is>
      </c>
      <c r="AD5" s="29" t="inlineStr">
        <is>
          <t>B</t>
        </is>
      </c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</row>
    <row r="6">
      <c r="A6" s="25" t="inlineStr">
        <is>
          <t>F03B</t>
        </is>
      </c>
      <c r="B6" s="25" t="inlineStr">
        <is>
          <t>Family</t>
        </is>
      </c>
      <c r="C6" s="26" t="inlineStr">
        <is>
          <t>(no drawing number in legend)</t>
        </is>
      </c>
      <c r="D6" s="26" t="n"/>
      <c r="E6" s="27" t="n"/>
      <c r="F6" s="28" t="n"/>
      <c r="G6" s="29" t="inlineStr">
        <is>
          <t>B</t>
        </is>
      </c>
      <c r="H6" s="27" t="n"/>
      <c r="I6" s="28" t="n"/>
      <c r="J6" s="29" t="n"/>
      <c r="K6" s="28" t="n"/>
      <c r="L6" s="29" t="n"/>
      <c r="M6" s="28" t="n"/>
      <c r="N6" s="29" t="n"/>
      <c r="O6" s="28" t="n"/>
      <c r="P6" s="29" t="n"/>
      <c r="Q6" s="28" t="n"/>
      <c r="R6" s="29" t="n"/>
      <c r="S6" s="28" t="n"/>
      <c r="T6" s="29" t="n"/>
      <c r="U6" s="28" t="n"/>
      <c r="V6" s="29" t="n"/>
      <c r="W6" s="28" t="n"/>
      <c r="X6" s="29" t="n"/>
      <c r="Y6" s="28" t="n"/>
      <c r="Z6" s="29" t="n"/>
      <c r="AA6" s="28" t="n"/>
      <c r="AB6" s="29" t="n"/>
      <c r="AC6" s="28" t="n"/>
      <c r="AD6" s="29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</row>
    <row r="7">
      <c r="A7" s="25" t="inlineStr">
        <is>
          <t>F04</t>
        </is>
      </c>
      <c r="B7" s="25" t="inlineStr">
        <is>
          <t>Family</t>
        </is>
      </c>
      <c r="C7" s="26" t="inlineStr">
        <is>
          <t>WPH-ETC-DRW-SDW-IND-00-ZZZ-42801</t>
        </is>
      </c>
      <c r="D7" s="26" t="inlineStr">
        <is>
          <t>Not Provided</t>
        </is>
      </c>
      <c r="E7" s="27" t="n"/>
      <c r="F7" s="28" t="n"/>
      <c r="G7" s="29" t="inlineStr">
        <is>
          <t>B</t>
        </is>
      </c>
      <c r="H7" s="27" t="n"/>
      <c r="I7" s="28" t="n"/>
      <c r="J7" s="29" t="inlineStr">
        <is>
          <t>TBS</t>
        </is>
      </c>
      <c r="K7" s="28" t="inlineStr">
        <is>
          <t>01</t>
        </is>
      </c>
      <c r="L7" s="29" t="inlineStr">
        <is>
          <t>UR</t>
        </is>
      </c>
      <c r="M7" s="28" t="inlineStr">
        <is>
          <t>01</t>
        </is>
      </c>
      <c r="N7" s="29" t="inlineStr">
        <is>
          <t>B</t>
        </is>
      </c>
      <c r="O7" s="28" t="inlineStr">
        <is>
          <t>00</t>
        </is>
      </c>
      <c r="P7" s="29" t="inlineStr">
        <is>
          <t>UR</t>
        </is>
      </c>
      <c r="Q7" s="28" t="inlineStr">
        <is>
          <t>00</t>
        </is>
      </c>
      <c r="R7" s="29" t="inlineStr">
        <is>
          <t>UR</t>
        </is>
      </c>
      <c r="S7" s="28" t="inlineStr">
        <is>
          <t>00</t>
        </is>
      </c>
      <c r="T7" s="29" t="inlineStr">
        <is>
          <t>UR</t>
        </is>
      </c>
      <c r="U7" s="28" t="inlineStr">
        <is>
          <t>01</t>
        </is>
      </c>
      <c r="V7" s="29" t="inlineStr">
        <is>
          <t>UR</t>
        </is>
      </c>
      <c r="W7" s="28" t="inlineStr">
        <is>
          <t>02</t>
        </is>
      </c>
      <c r="X7" s="29" t="inlineStr">
        <is>
          <t>B</t>
        </is>
      </c>
      <c r="Y7" s="28" t="n"/>
      <c r="Z7" s="29" t="inlineStr">
        <is>
          <t>TBS</t>
        </is>
      </c>
      <c r="AA7" s="28" t="inlineStr">
        <is>
          <t>01</t>
        </is>
      </c>
      <c r="AB7" s="29" t="inlineStr">
        <is>
          <t>B</t>
        </is>
      </c>
      <c r="AC7" s="28" t="inlineStr">
        <is>
          <t>02</t>
        </is>
      </c>
      <c r="AD7" s="29" t="inlineStr">
        <is>
          <t>B</t>
        </is>
      </c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</row>
    <row r="8">
      <c r="A8" s="25" t="inlineStr">
        <is>
          <t>F05</t>
        </is>
      </c>
      <c r="B8" s="25" t="inlineStr">
        <is>
          <t>Family</t>
        </is>
      </c>
      <c r="C8" s="26" t="inlineStr">
        <is>
          <t>WPH-ETC-DRW-SDW-IND-00-ZZZ-42901</t>
        </is>
      </c>
      <c r="D8" s="26" t="inlineStr">
        <is>
          <t>Not Provided</t>
        </is>
      </c>
      <c r="E8" s="27" t="n"/>
      <c r="F8" s="28" t="n"/>
      <c r="G8" s="29" t="inlineStr">
        <is>
          <t>B</t>
        </is>
      </c>
      <c r="H8" s="27" t="n"/>
      <c r="I8" s="28" t="n"/>
      <c r="J8" s="29" t="inlineStr">
        <is>
          <t>TBS</t>
        </is>
      </c>
      <c r="K8" s="28" t="n"/>
      <c r="L8" s="29" t="inlineStr">
        <is>
          <t>TBS</t>
        </is>
      </c>
      <c r="M8" s="28" t="n"/>
      <c r="N8" s="29" t="inlineStr">
        <is>
          <t>TBS</t>
        </is>
      </c>
      <c r="O8" s="28" t="n"/>
      <c r="P8" s="29" t="inlineStr">
        <is>
          <t>TBS</t>
        </is>
      </c>
      <c r="Q8" s="28" t="n"/>
      <c r="R8" s="29" t="inlineStr">
        <is>
          <t>TBS</t>
        </is>
      </c>
      <c r="S8" s="28" t="n"/>
      <c r="T8" s="29" t="inlineStr">
        <is>
          <t>TBS</t>
        </is>
      </c>
      <c r="U8" s="28" t="n"/>
      <c r="V8" s="29" t="inlineStr">
        <is>
          <t>TBS</t>
        </is>
      </c>
      <c r="W8" s="28" t="inlineStr">
        <is>
          <t>02</t>
        </is>
      </c>
      <c r="X8" s="29" t="inlineStr">
        <is>
          <t>B</t>
        </is>
      </c>
      <c r="Y8" s="28" t="n"/>
      <c r="Z8" s="29" t="inlineStr">
        <is>
          <t>TBS</t>
        </is>
      </c>
      <c r="AA8" s="28" t="inlineStr">
        <is>
          <t>02</t>
        </is>
      </c>
      <c r="AB8" s="29" t="inlineStr">
        <is>
          <t>B</t>
        </is>
      </c>
      <c r="AC8" s="28" t="inlineStr">
        <is>
          <t>01</t>
        </is>
      </c>
      <c r="AD8" s="29" t="inlineStr">
        <is>
          <t>B</t>
        </is>
      </c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</row>
    <row r="9">
      <c r="A9" s="25" t="inlineStr">
        <is>
          <t>F06</t>
        </is>
      </c>
      <c r="B9" s="25" t="inlineStr">
        <is>
          <t>Family</t>
        </is>
      </c>
      <c r="C9" s="26" t="inlineStr">
        <is>
          <t>WPH-ETC-DRW-SDW-IND-00-ZZZ-43001</t>
        </is>
      </c>
      <c r="D9" s="26" t="inlineStr">
        <is>
          <t>Not Provided</t>
        </is>
      </c>
      <c r="E9" s="27" t="n"/>
      <c r="F9" s="28" t="n"/>
      <c r="G9" s="29" t="inlineStr">
        <is>
          <t>B</t>
        </is>
      </c>
      <c r="H9" s="27" t="n"/>
      <c r="I9" s="28" t="inlineStr">
        <is>
          <t>00</t>
        </is>
      </c>
      <c r="J9" s="29" t="inlineStr">
        <is>
          <t>UR</t>
        </is>
      </c>
      <c r="K9" s="28" t="inlineStr">
        <is>
          <t>00</t>
        </is>
      </c>
      <c r="L9" s="29" t="inlineStr">
        <is>
          <t>UR</t>
        </is>
      </c>
      <c r="M9" s="28" t="inlineStr">
        <is>
          <t>00</t>
        </is>
      </c>
      <c r="N9" s="29" t="inlineStr">
        <is>
          <t>B</t>
        </is>
      </c>
      <c r="O9" s="28" t="inlineStr">
        <is>
          <t>00</t>
        </is>
      </c>
      <c r="P9" s="29" t="inlineStr">
        <is>
          <t>UR</t>
        </is>
      </c>
      <c r="Q9" s="28" t="inlineStr">
        <is>
          <t>00</t>
        </is>
      </c>
      <c r="R9" s="29" t="inlineStr">
        <is>
          <t>UR</t>
        </is>
      </c>
      <c r="S9" s="28" t="inlineStr">
        <is>
          <t>00</t>
        </is>
      </c>
      <c r="T9" s="29" t="inlineStr">
        <is>
          <t>UR</t>
        </is>
      </c>
      <c r="U9" s="28" t="inlineStr">
        <is>
          <t>00</t>
        </is>
      </c>
      <c r="V9" s="29" t="inlineStr">
        <is>
          <t>UR</t>
        </is>
      </c>
      <c r="W9" s="28" t="inlineStr">
        <is>
          <t>00</t>
        </is>
      </c>
      <c r="X9" s="29" t="inlineStr">
        <is>
          <t>B</t>
        </is>
      </c>
      <c r="Y9" s="28" t="inlineStr">
        <is>
          <t>00</t>
        </is>
      </c>
      <c r="Z9" s="29" t="inlineStr">
        <is>
          <t>B</t>
        </is>
      </c>
      <c r="AA9" s="28" t="inlineStr">
        <is>
          <t>00</t>
        </is>
      </c>
      <c r="AB9" s="29" t="inlineStr">
        <is>
          <t>B</t>
        </is>
      </c>
      <c r="AC9" s="28" t="inlineStr">
        <is>
          <t>01</t>
        </is>
      </c>
      <c r="AD9" s="29" t="inlineStr">
        <is>
          <t>B</t>
        </is>
      </c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</row>
    <row r="10">
      <c r="A10" s="25" t="inlineStr">
        <is>
          <t>F07</t>
        </is>
      </c>
      <c r="B10" s="25" t="inlineStr">
        <is>
          <t>Family</t>
        </is>
      </c>
      <c r="C10" s="26" t="inlineStr">
        <is>
          <t>WPH-ETC-DRW-SDW-IND-00-ZZZ-43101</t>
        </is>
      </c>
      <c r="D10" s="26" t="inlineStr">
        <is>
          <t>Not Provided</t>
        </is>
      </c>
      <c r="E10" s="27" t="n"/>
      <c r="F10" s="28" t="n"/>
      <c r="G10" s="29" t="inlineStr">
        <is>
          <t>B</t>
        </is>
      </c>
      <c r="H10" s="27" t="n"/>
      <c r="I10" s="28" t="n"/>
      <c r="J10" s="29" t="inlineStr">
        <is>
          <t>TBS</t>
        </is>
      </c>
      <c r="K10" s="28" t="n"/>
      <c r="L10" s="29" t="inlineStr">
        <is>
          <t>TBS</t>
        </is>
      </c>
      <c r="M10" s="28" t="n"/>
      <c r="N10" s="29" t="inlineStr">
        <is>
          <t>TBS</t>
        </is>
      </c>
      <c r="O10" s="28" t="n"/>
      <c r="P10" s="29" t="inlineStr">
        <is>
          <t>TBS</t>
        </is>
      </c>
      <c r="Q10" s="28" t="n"/>
      <c r="R10" s="29" t="inlineStr">
        <is>
          <t>TBS</t>
        </is>
      </c>
      <c r="S10" s="28" t="n"/>
      <c r="T10" s="29" t="inlineStr">
        <is>
          <t>TBS</t>
        </is>
      </c>
      <c r="U10" s="28" t="n"/>
      <c r="V10" s="29" t="inlineStr">
        <is>
          <t>TBS</t>
        </is>
      </c>
      <c r="W10" s="28" t="inlineStr">
        <is>
          <t>00</t>
        </is>
      </c>
      <c r="X10" s="29" t="inlineStr">
        <is>
          <t>B</t>
        </is>
      </c>
      <c r="Y10" s="28" t="n"/>
      <c r="Z10" s="29" t="inlineStr">
        <is>
          <t>TBS</t>
        </is>
      </c>
      <c r="AA10" s="28" t="inlineStr">
        <is>
          <t>02</t>
        </is>
      </c>
      <c r="AB10" s="29" t="inlineStr">
        <is>
          <t>B</t>
        </is>
      </c>
      <c r="AC10" s="28" t="inlineStr">
        <is>
          <t>02</t>
        </is>
      </c>
      <c r="AD10" s="29" t="inlineStr">
        <is>
          <t>B</t>
        </is>
      </c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</row>
    <row r="11">
      <c r="A11" s="25" t="inlineStr">
        <is>
          <t>F08</t>
        </is>
      </c>
      <c r="B11" s="25" t="inlineStr">
        <is>
          <t>Family</t>
        </is>
      </c>
      <c r="C11" s="26" t="inlineStr">
        <is>
          <t>WPH-ETC-DRW-SDW-IND-00-ZZZ-43201</t>
        </is>
      </c>
      <c r="D11" s="26" t="inlineStr">
        <is>
          <t>Not Provided</t>
        </is>
      </c>
      <c r="E11" s="27" t="n"/>
      <c r="F11" s="28" t="n"/>
      <c r="G11" s="29" t="inlineStr">
        <is>
          <t>B</t>
        </is>
      </c>
      <c r="H11" s="27" t="n"/>
      <c r="I11" s="28" t="n"/>
      <c r="J11" s="29" t="inlineStr">
        <is>
          <t>TBS</t>
        </is>
      </c>
      <c r="K11" s="28" t="n"/>
      <c r="L11" s="29" t="inlineStr">
        <is>
          <t>TBS</t>
        </is>
      </c>
      <c r="M11" s="28" t="n"/>
      <c r="N11" s="29" t="inlineStr">
        <is>
          <t>TBS</t>
        </is>
      </c>
      <c r="O11" s="28" t="n"/>
      <c r="P11" s="29" t="inlineStr">
        <is>
          <t>TBS</t>
        </is>
      </c>
      <c r="Q11" s="28" t="n"/>
      <c r="R11" s="29" t="inlineStr">
        <is>
          <t>TBS</t>
        </is>
      </c>
      <c r="S11" s="28" t="n"/>
      <c r="T11" s="29" t="inlineStr">
        <is>
          <t>TBS</t>
        </is>
      </c>
      <c r="U11" s="28" t="n"/>
      <c r="V11" s="29" t="inlineStr">
        <is>
          <t>TBS</t>
        </is>
      </c>
      <c r="W11" s="28" t="n"/>
      <c r="X11" s="29" t="inlineStr">
        <is>
          <t>TBS</t>
        </is>
      </c>
      <c r="Y11" s="28" t="n"/>
      <c r="Z11" s="29" t="inlineStr">
        <is>
          <t>TBS</t>
        </is>
      </c>
      <c r="AA11" s="28" t="inlineStr">
        <is>
          <t>01</t>
        </is>
      </c>
      <c r="AB11" s="29" t="inlineStr">
        <is>
          <t>B</t>
        </is>
      </c>
      <c r="AC11" s="28" t="inlineStr">
        <is>
          <t>01</t>
        </is>
      </c>
      <c r="AD11" s="29" t="inlineStr">
        <is>
          <t>B</t>
        </is>
      </c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</row>
    <row r="12">
      <c r="A12" s="25" t="inlineStr">
        <is>
          <t>FADA</t>
        </is>
      </c>
      <c r="B12" s="25" t="inlineStr">
        <is>
          <t>Family ADA</t>
        </is>
      </c>
      <c r="C12" s="26" t="inlineStr">
        <is>
          <t>WPH-ETC-DRW-SDW-IND-00-ZZZ-43301</t>
        </is>
      </c>
      <c r="D12" s="26" t="inlineStr">
        <is>
          <t>Not Provided</t>
        </is>
      </c>
      <c r="E12" s="27" t="n"/>
      <c r="F12" s="28" t="n"/>
      <c r="G12" s="29" t="inlineStr">
        <is>
          <t>B</t>
        </is>
      </c>
      <c r="H12" s="27" t="n"/>
      <c r="I12" s="28" t="inlineStr">
        <is>
          <t>00</t>
        </is>
      </c>
      <c r="J12" s="29" t="inlineStr">
        <is>
          <t>B</t>
        </is>
      </c>
      <c r="K12" s="28" t="inlineStr">
        <is>
          <t>00</t>
        </is>
      </c>
      <c r="L12" s="29" t="inlineStr">
        <is>
          <t>B</t>
        </is>
      </c>
      <c r="M12" s="28" t="inlineStr">
        <is>
          <t>00</t>
        </is>
      </c>
      <c r="N12" s="29" t="inlineStr">
        <is>
          <t>B</t>
        </is>
      </c>
      <c r="O12" s="28" t="inlineStr">
        <is>
          <t>00</t>
        </is>
      </c>
      <c r="P12" s="29" t="inlineStr">
        <is>
          <t>B</t>
        </is>
      </c>
      <c r="Q12" s="28" t="inlineStr">
        <is>
          <t>00</t>
        </is>
      </c>
      <c r="R12" s="29" t="inlineStr">
        <is>
          <t>B</t>
        </is>
      </c>
      <c r="S12" s="28" t="inlineStr">
        <is>
          <t>00</t>
        </is>
      </c>
      <c r="T12" s="29" t="inlineStr">
        <is>
          <t>B</t>
        </is>
      </c>
      <c r="U12" s="28" t="inlineStr">
        <is>
          <t>00</t>
        </is>
      </c>
      <c r="V12" s="29" t="inlineStr">
        <is>
          <t>B</t>
        </is>
      </c>
      <c r="W12" s="28" t="inlineStr">
        <is>
          <t>00</t>
        </is>
      </c>
      <c r="X12" s="29" t="inlineStr">
        <is>
          <t>B</t>
        </is>
      </c>
      <c r="Y12" s="28" t="n"/>
      <c r="Z12" s="29" t="inlineStr">
        <is>
          <t>TBS</t>
        </is>
      </c>
      <c r="AA12" s="28" t="inlineStr">
        <is>
          <t>00</t>
        </is>
      </c>
      <c r="AB12" s="29" t="inlineStr">
        <is>
          <t>UR</t>
        </is>
      </c>
      <c r="AC12" s="28" t="inlineStr">
        <is>
          <t>00</t>
        </is>
      </c>
      <c r="AD12" s="29" t="inlineStr">
        <is>
          <t>UR</t>
        </is>
      </c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</row>
    <row r="13">
      <c r="A13" s="25" t="inlineStr">
        <is>
          <t>K01</t>
        </is>
      </c>
      <c r="B13" s="25" t="inlineStr">
        <is>
          <t>King</t>
        </is>
      </c>
      <c r="C13" s="26" t="inlineStr">
        <is>
          <t>WPH-ETC-DRW-SDW-IND-00-ZZZ-40301</t>
        </is>
      </c>
      <c r="D13" s="26" t="n"/>
      <c r="E13" s="27" t="n"/>
      <c r="F13" s="28" t="n"/>
      <c r="G13" s="29" t="inlineStr">
        <is>
          <t>B</t>
        </is>
      </c>
      <c r="H13" s="27" t="n"/>
      <c r="I13" s="28" t="n"/>
      <c r="J13" s="29" t="n"/>
      <c r="K13" s="28" t="n"/>
      <c r="L13" s="29" t="n"/>
      <c r="M13" s="28" t="n"/>
      <c r="N13" s="29" t="n"/>
      <c r="O13" s="28" t="n"/>
      <c r="P13" s="29" t="n"/>
      <c r="Q13" s="28" t="n"/>
      <c r="R13" s="29" t="n"/>
      <c r="S13" s="28" t="n"/>
      <c r="T13" s="29" t="n"/>
      <c r="U13" s="28" t="n"/>
      <c r="V13" s="29" t="n"/>
      <c r="W13" s="28" t="n"/>
      <c r="X13" s="29" t="n"/>
      <c r="Y13" s="28" t="n"/>
      <c r="Z13" s="29" t="n"/>
      <c r="AA13" s="28" t="n"/>
      <c r="AB13" s="29" t="n"/>
      <c r="AC13" s="28" t="n"/>
      <c r="AD13" s="29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</row>
    <row r="14">
      <c r="A14" s="25" t="inlineStr">
        <is>
          <t>K01A</t>
        </is>
      </c>
      <c r="B14" s="25" t="inlineStr">
        <is>
          <t>King</t>
        </is>
      </c>
      <c r="C14" s="26" t="inlineStr">
        <is>
          <t>WPH-ETC-DRW-SDW-IND-00-ZZZ-40301</t>
        </is>
      </c>
      <c r="D14" s="26" t="n"/>
      <c r="E14" s="27" t="n"/>
      <c r="F14" s="28" t="n"/>
      <c r="G14" s="29" t="inlineStr">
        <is>
          <t>B</t>
        </is>
      </c>
      <c r="H14" s="27" t="n"/>
      <c r="I14" s="28" t="n"/>
      <c r="J14" s="29" t="n"/>
      <c r="K14" s="28" t="n"/>
      <c r="L14" s="29" t="n"/>
      <c r="M14" s="28" t="n"/>
      <c r="N14" s="29" t="n"/>
      <c r="O14" s="28" t="n"/>
      <c r="P14" s="29" t="n"/>
      <c r="Q14" s="28" t="n"/>
      <c r="R14" s="29" t="n"/>
      <c r="S14" s="28" t="n"/>
      <c r="T14" s="29" t="n"/>
      <c r="U14" s="28" t="n"/>
      <c r="V14" s="29" t="n"/>
      <c r="W14" s="28" t="n"/>
      <c r="X14" s="29" t="n"/>
      <c r="Y14" s="28" t="n"/>
      <c r="Z14" s="29" t="n"/>
      <c r="AA14" s="28" t="n"/>
      <c r="AB14" s="29" t="n"/>
      <c r="AC14" s="28" t="n"/>
      <c r="AD14" s="29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</row>
    <row r="15">
      <c r="A15" s="25" t="inlineStr">
        <is>
          <t>K01B</t>
        </is>
      </c>
      <c r="B15" s="25" t="inlineStr">
        <is>
          <t>King</t>
        </is>
      </c>
      <c r="C15" s="26" t="inlineStr">
        <is>
          <t>WPH-ETC-DRW-SDW-IND-00-ZZZ-40301</t>
        </is>
      </c>
      <c r="D15" s="26" t="n"/>
      <c r="E15" s="27" t="n"/>
      <c r="F15" s="28" t="n"/>
      <c r="G15" s="29" t="inlineStr">
        <is>
          <t>B</t>
        </is>
      </c>
      <c r="H15" s="27" t="n"/>
      <c r="I15" s="28" t="n"/>
      <c r="J15" s="29" t="n"/>
      <c r="K15" s="28" t="n"/>
      <c r="L15" s="29" t="n"/>
      <c r="M15" s="28" t="n"/>
      <c r="N15" s="29" t="n"/>
      <c r="O15" s="28" t="n"/>
      <c r="P15" s="29" t="n"/>
      <c r="Q15" s="28" t="n"/>
      <c r="R15" s="29" t="n"/>
      <c r="S15" s="28" t="n"/>
      <c r="T15" s="29" t="n"/>
      <c r="U15" s="28" t="n"/>
      <c r="V15" s="29" t="n"/>
      <c r="W15" s="28" t="n"/>
      <c r="X15" s="29" t="n"/>
      <c r="Y15" s="28" t="n"/>
      <c r="Z15" s="29" t="n"/>
      <c r="AA15" s="28" t="n"/>
      <c r="AB15" s="29" t="n"/>
      <c r="AC15" s="28" t="n"/>
      <c r="AD15" s="29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</row>
    <row r="16">
      <c r="A16" s="25" t="inlineStr">
        <is>
          <t>K01C</t>
        </is>
      </c>
      <c r="B16" s="25" t="inlineStr">
        <is>
          <t>King</t>
        </is>
      </c>
      <c r="C16" s="26" t="inlineStr">
        <is>
          <t>WPH-ETC-DRW-SDW-IND-00-ZZZ-40301</t>
        </is>
      </c>
      <c r="D16" s="26" t="n"/>
      <c r="E16" s="27" t="n"/>
      <c r="F16" s="28" t="n"/>
      <c r="G16" s="29" t="inlineStr">
        <is>
          <t>B</t>
        </is>
      </c>
      <c r="H16" s="27" t="n"/>
      <c r="I16" s="28" t="n"/>
      <c r="J16" s="29" t="n"/>
      <c r="K16" s="28" t="n"/>
      <c r="L16" s="29" t="n"/>
      <c r="M16" s="28" t="n"/>
      <c r="N16" s="29" t="n"/>
      <c r="O16" s="28" t="n"/>
      <c r="P16" s="29" t="n"/>
      <c r="Q16" s="28" t="n"/>
      <c r="R16" s="29" t="n"/>
      <c r="S16" s="28" t="n"/>
      <c r="T16" s="29" t="n"/>
      <c r="U16" s="28" t="n"/>
      <c r="V16" s="29" t="n"/>
      <c r="W16" s="28" t="n"/>
      <c r="X16" s="29" t="n"/>
      <c r="Y16" s="28" t="n"/>
      <c r="Z16" s="29" t="n"/>
      <c r="AA16" s="28" t="n"/>
      <c r="AB16" s="29" t="n"/>
      <c r="AC16" s="28" t="n"/>
      <c r="AD16" s="29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</row>
    <row r="17">
      <c r="A17" s="25" t="inlineStr">
        <is>
          <t>K01C1</t>
        </is>
      </c>
      <c r="B17" s="25" t="inlineStr">
        <is>
          <t>King</t>
        </is>
      </c>
      <c r="C17" s="26" t="inlineStr">
        <is>
          <t>WPH-ETC-DRW-SDW-IND-00-ZZZ-40301</t>
        </is>
      </c>
      <c r="D17" s="26" t="n"/>
      <c r="E17" s="27" t="n"/>
      <c r="F17" s="28" t="n"/>
      <c r="G17" s="29" t="inlineStr">
        <is>
          <t>B</t>
        </is>
      </c>
      <c r="H17" s="27" t="n"/>
      <c r="I17" s="28" t="n"/>
      <c r="J17" s="29" t="n"/>
      <c r="K17" s="28" t="n"/>
      <c r="L17" s="29" t="n"/>
      <c r="M17" s="28" t="n"/>
      <c r="N17" s="29" t="n"/>
      <c r="O17" s="28" t="n"/>
      <c r="P17" s="29" t="n"/>
      <c r="Q17" s="28" t="n"/>
      <c r="R17" s="29" t="n"/>
      <c r="S17" s="28" t="n"/>
      <c r="T17" s="29" t="n"/>
      <c r="U17" s="28" t="n"/>
      <c r="V17" s="29" t="n"/>
      <c r="W17" s="28" t="n"/>
      <c r="X17" s="29" t="n"/>
      <c r="Y17" s="28" t="n"/>
      <c r="Z17" s="29" t="n"/>
      <c r="AA17" s="28" t="n"/>
      <c r="AB17" s="29" t="n"/>
      <c r="AC17" s="28" t="n"/>
      <c r="AD17" s="29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</row>
    <row r="18">
      <c r="A18" s="25" t="inlineStr">
        <is>
          <t>K01D</t>
        </is>
      </c>
      <c r="B18" s="25" t="inlineStr">
        <is>
          <t>King</t>
        </is>
      </c>
      <c r="C18" s="26" t="inlineStr">
        <is>
          <t>WPH-ETC-DRW-SDW-IND-00-ZZZ-40301</t>
        </is>
      </c>
      <c r="D18" s="26" t="n"/>
      <c r="E18" s="27" t="n"/>
      <c r="F18" s="28" t="n"/>
      <c r="G18" s="29" t="inlineStr">
        <is>
          <t>B</t>
        </is>
      </c>
      <c r="H18" s="27" t="n"/>
      <c r="I18" s="28" t="n"/>
      <c r="J18" s="29" t="n"/>
      <c r="K18" s="28" t="n"/>
      <c r="L18" s="29" t="n"/>
      <c r="M18" s="28" t="n"/>
      <c r="N18" s="29" t="n"/>
      <c r="O18" s="28" t="n"/>
      <c r="P18" s="29" t="n"/>
      <c r="Q18" s="28" t="n"/>
      <c r="R18" s="29" t="n"/>
      <c r="S18" s="28" t="n"/>
      <c r="T18" s="29" t="n"/>
      <c r="U18" s="28" t="n"/>
      <c r="V18" s="29" t="n"/>
      <c r="W18" s="28" t="n"/>
      <c r="X18" s="29" t="n"/>
      <c r="Y18" s="28" t="n"/>
      <c r="Z18" s="29" t="n"/>
      <c r="AA18" s="28" t="n"/>
      <c r="AB18" s="29" t="n"/>
      <c r="AC18" s="28" t="n"/>
      <c r="AD18" s="29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</row>
    <row r="19">
      <c r="A19" s="25" t="inlineStr">
        <is>
          <t>K02</t>
        </is>
      </c>
      <c r="B19" s="25" t="inlineStr">
        <is>
          <t>King</t>
        </is>
      </c>
      <c r="C19" s="26" t="inlineStr">
        <is>
          <t>WPH-ETC-DRW-SDW-IND-00-ZZZ-40701</t>
        </is>
      </c>
      <c r="D19" s="26" t="n"/>
      <c r="E19" s="27" t="n"/>
      <c r="F19" s="28" t="n"/>
      <c r="G19" s="29" t="inlineStr">
        <is>
          <t>B</t>
        </is>
      </c>
      <c r="H19" s="27" t="n"/>
      <c r="I19" s="28" t="n"/>
      <c r="J19" s="29" t="n"/>
      <c r="K19" s="28" t="n"/>
      <c r="L19" s="29" t="n"/>
      <c r="M19" s="28" t="n"/>
      <c r="N19" s="29" t="n"/>
      <c r="O19" s="28" t="n"/>
      <c r="P19" s="29" t="n"/>
      <c r="Q19" s="28" t="n"/>
      <c r="R19" s="29" t="n"/>
      <c r="S19" s="28" t="n"/>
      <c r="T19" s="29" t="n"/>
      <c r="U19" s="28" t="n"/>
      <c r="V19" s="29" t="n"/>
      <c r="W19" s="28" t="n"/>
      <c r="X19" s="29" t="n"/>
      <c r="Y19" s="28" t="n"/>
      <c r="Z19" s="29" t="n"/>
      <c r="AA19" s="28" t="n"/>
      <c r="AB19" s="29" t="n"/>
      <c r="AC19" s="28" t="n"/>
      <c r="AD19" s="29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</row>
    <row r="20">
      <c r="A20" s="25" t="inlineStr">
        <is>
          <t>K02A</t>
        </is>
      </c>
      <c r="B20" s="25" t="inlineStr">
        <is>
          <t>King</t>
        </is>
      </c>
      <c r="C20" s="26" t="inlineStr">
        <is>
          <t>WPH-ETC-DRW-SDW-IND-00-ZZZ-40701</t>
        </is>
      </c>
      <c r="D20" s="26" t="n"/>
      <c r="E20" s="27" t="n"/>
      <c r="F20" s="28" t="n"/>
      <c r="G20" s="29" t="inlineStr">
        <is>
          <t>B</t>
        </is>
      </c>
      <c r="H20" s="27" t="n"/>
      <c r="I20" s="28" t="n"/>
      <c r="J20" s="29" t="n"/>
      <c r="K20" s="28" t="n"/>
      <c r="L20" s="29" t="n"/>
      <c r="M20" s="28" t="n"/>
      <c r="N20" s="29" t="n"/>
      <c r="O20" s="28" t="n"/>
      <c r="P20" s="29" t="n"/>
      <c r="Q20" s="28" t="n"/>
      <c r="R20" s="29" t="n"/>
      <c r="S20" s="28" t="n"/>
      <c r="T20" s="29" t="n"/>
      <c r="U20" s="28" t="n"/>
      <c r="V20" s="29" t="n"/>
      <c r="W20" s="28" t="n"/>
      <c r="X20" s="29" t="n"/>
      <c r="Y20" s="28" t="n"/>
      <c r="Z20" s="29" t="n"/>
      <c r="AA20" s="28" t="n"/>
      <c r="AB20" s="29" t="n"/>
      <c r="AC20" s="28" t="n"/>
      <c r="AD20" s="29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</row>
    <row r="21">
      <c r="A21" s="25" t="inlineStr">
        <is>
          <t>K02B</t>
        </is>
      </c>
      <c r="B21" s="25" t="inlineStr">
        <is>
          <t>King</t>
        </is>
      </c>
      <c r="C21" s="26" t="inlineStr">
        <is>
          <t>WPH-ETC-DRW-SDW-IND-00-ZZZ-40701</t>
        </is>
      </c>
      <c r="D21" s="26" t="n"/>
      <c r="E21" s="27" t="n"/>
      <c r="F21" s="28" t="n"/>
      <c r="G21" s="29" t="inlineStr">
        <is>
          <t>B</t>
        </is>
      </c>
      <c r="H21" s="27" t="n"/>
      <c r="I21" s="28" t="n"/>
      <c r="J21" s="29" t="n"/>
      <c r="K21" s="28" t="n"/>
      <c r="L21" s="29" t="n"/>
      <c r="M21" s="28" t="n"/>
      <c r="N21" s="29" t="n"/>
      <c r="O21" s="28" t="n"/>
      <c r="P21" s="29" t="n"/>
      <c r="Q21" s="28" t="n"/>
      <c r="R21" s="29" t="n"/>
      <c r="S21" s="28" t="n"/>
      <c r="T21" s="29" t="n"/>
      <c r="U21" s="28" t="n"/>
      <c r="V21" s="29" t="n"/>
      <c r="W21" s="28" t="n"/>
      <c r="X21" s="29" t="n"/>
      <c r="Y21" s="28" t="n"/>
      <c r="Z21" s="29" t="n"/>
      <c r="AA21" s="28" t="n"/>
      <c r="AB21" s="29" t="n"/>
      <c r="AC21" s="28" t="n"/>
      <c r="AD21" s="29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</row>
    <row r="22">
      <c r="A22" s="25" t="inlineStr">
        <is>
          <t>K02C</t>
        </is>
      </c>
      <c r="B22" s="25" t="inlineStr">
        <is>
          <t>King</t>
        </is>
      </c>
      <c r="C22" s="26" t="inlineStr">
        <is>
          <t>WPH-ETC-DRW-SDW-IND-00-ZZZ-40701</t>
        </is>
      </c>
      <c r="D22" s="26" t="n"/>
      <c r="E22" s="27" t="n"/>
      <c r="F22" s="28" t="n"/>
      <c r="G22" s="29" t="inlineStr">
        <is>
          <t>B</t>
        </is>
      </c>
      <c r="H22" s="27" t="n"/>
      <c r="I22" s="28" t="n"/>
      <c r="J22" s="29" t="n"/>
      <c r="K22" s="28" t="n"/>
      <c r="L22" s="29" t="n"/>
      <c r="M22" s="28" t="n"/>
      <c r="N22" s="29" t="n"/>
      <c r="O22" s="28" t="n"/>
      <c r="P22" s="29" t="n"/>
      <c r="Q22" s="28" t="n"/>
      <c r="R22" s="29" t="n"/>
      <c r="S22" s="28" t="n"/>
      <c r="T22" s="29" t="n"/>
      <c r="U22" s="28" t="n"/>
      <c r="V22" s="29" t="n"/>
      <c r="W22" s="28" t="n"/>
      <c r="X22" s="29" t="n"/>
      <c r="Y22" s="28" t="n"/>
      <c r="Z22" s="29" t="n"/>
      <c r="AA22" s="28" t="n"/>
      <c r="AB22" s="29" t="n"/>
      <c r="AC22" s="28" t="n"/>
      <c r="AD22" s="29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</row>
    <row r="23">
      <c r="A23" s="25" t="inlineStr">
        <is>
          <t>K02C1</t>
        </is>
      </c>
      <c r="B23" s="25" t="inlineStr">
        <is>
          <t>King</t>
        </is>
      </c>
      <c r="C23" s="26" t="inlineStr">
        <is>
          <t>WPH-ETC-DRW-SDW-IND-00-ZZZ-40701</t>
        </is>
      </c>
      <c r="D23" s="26" t="n"/>
      <c r="E23" s="27" t="n"/>
      <c r="F23" s="28" t="n"/>
      <c r="G23" s="29" t="inlineStr">
        <is>
          <t>B</t>
        </is>
      </c>
      <c r="H23" s="27" t="n"/>
      <c r="I23" s="28" t="n"/>
      <c r="J23" s="29" t="n"/>
      <c r="K23" s="28" t="n"/>
      <c r="L23" s="29" t="n"/>
      <c r="M23" s="28" t="n"/>
      <c r="N23" s="29" t="n"/>
      <c r="O23" s="28" t="n"/>
      <c r="P23" s="29" t="n"/>
      <c r="Q23" s="28" t="n"/>
      <c r="R23" s="29" t="n"/>
      <c r="S23" s="28" t="n"/>
      <c r="T23" s="29" t="n"/>
      <c r="U23" s="28" t="n"/>
      <c r="V23" s="29" t="n"/>
      <c r="W23" s="28" t="n"/>
      <c r="X23" s="29" t="n"/>
      <c r="Y23" s="28" t="n"/>
      <c r="Z23" s="29" t="n"/>
      <c r="AA23" s="28" t="n"/>
      <c r="AB23" s="29" t="n"/>
      <c r="AC23" s="28" t="n"/>
      <c r="AD23" s="29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</row>
    <row r="24">
      <c r="A24" s="25" t="inlineStr">
        <is>
          <t>K02C2</t>
        </is>
      </c>
      <c r="B24" s="25" t="inlineStr">
        <is>
          <t>King</t>
        </is>
      </c>
      <c r="C24" s="26" t="inlineStr">
        <is>
          <t>WPH-ETC-DRW-SDW-IND-00-ZZZ-40701</t>
        </is>
      </c>
      <c r="D24" s="26" t="n"/>
      <c r="E24" s="27" t="n"/>
      <c r="F24" s="28" t="n"/>
      <c r="G24" s="29" t="inlineStr">
        <is>
          <t>B</t>
        </is>
      </c>
      <c r="H24" s="27" t="n"/>
      <c r="I24" s="28" t="n"/>
      <c r="J24" s="29" t="n"/>
      <c r="K24" s="28" t="n"/>
      <c r="L24" s="29" t="n"/>
      <c r="M24" s="28" t="n"/>
      <c r="N24" s="29" t="n"/>
      <c r="O24" s="28" t="n"/>
      <c r="P24" s="29" t="n"/>
      <c r="Q24" s="28" t="n"/>
      <c r="R24" s="29" t="n"/>
      <c r="S24" s="28" t="n"/>
      <c r="T24" s="29" t="n"/>
      <c r="U24" s="28" t="n"/>
      <c r="V24" s="29" t="n"/>
      <c r="W24" s="28" t="n"/>
      <c r="X24" s="29" t="n"/>
      <c r="Y24" s="28" t="n"/>
      <c r="Z24" s="29" t="n"/>
      <c r="AA24" s="28" t="n"/>
      <c r="AB24" s="29" t="n"/>
      <c r="AC24" s="28" t="n"/>
      <c r="AD24" s="29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</row>
    <row r="25">
      <c r="A25" s="25" t="inlineStr">
        <is>
          <t>K02D1</t>
        </is>
      </c>
      <c r="B25" s="25" t="inlineStr">
        <is>
          <t>King</t>
        </is>
      </c>
      <c r="C25" s="26" t="inlineStr">
        <is>
          <t>WPH-ETC-DRW-SDW-IND-00-ZZZ-40701</t>
        </is>
      </c>
      <c r="D25" s="26" t="n"/>
      <c r="E25" s="27" t="n"/>
      <c r="F25" s="28" t="n"/>
      <c r="G25" s="29" t="inlineStr">
        <is>
          <t>B</t>
        </is>
      </c>
      <c r="H25" s="27" t="n"/>
      <c r="I25" s="28" t="n"/>
      <c r="J25" s="29" t="n"/>
      <c r="K25" s="28" t="n"/>
      <c r="L25" s="29" t="n"/>
      <c r="M25" s="28" t="n"/>
      <c r="N25" s="29" t="n"/>
      <c r="O25" s="28" t="n"/>
      <c r="P25" s="29" t="n"/>
      <c r="Q25" s="28" t="n"/>
      <c r="R25" s="29" t="n"/>
      <c r="S25" s="28" t="n"/>
      <c r="T25" s="29" t="n"/>
      <c r="U25" s="28" t="n"/>
      <c r="V25" s="29" t="n"/>
      <c r="W25" s="28" t="n"/>
      <c r="X25" s="29" t="n"/>
      <c r="Y25" s="28" t="n"/>
      <c r="Z25" s="29" t="n"/>
      <c r="AA25" s="28" t="n"/>
      <c r="AB25" s="29" t="n"/>
      <c r="AC25" s="28" t="n"/>
      <c r="AD25" s="29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</row>
    <row r="26">
      <c r="A26" s="25" t="inlineStr">
        <is>
          <t>K03</t>
        </is>
      </c>
      <c r="B26" s="25" t="inlineStr">
        <is>
          <t>King</t>
        </is>
      </c>
      <c r="C26" s="26" t="inlineStr">
        <is>
          <t>WPH-ETC-DRW-SDW-IND-00-ZZZ-41101</t>
        </is>
      </c>
      <c r="D26" s="26" t="inlineStr">
        <is>
          <t>Not Provided</t>
        </is>
      </c>
      <c r="E26" s="27" t="n"/>
      <c r="F26" s="28" t="n"/>
      <c r="G26" s="29" t="inlineStr">
        <is>
          <t>B</t>
        </is>
      </c>
      <c r="H26" s="27" t="n"/>
      <c r="I26" s="28" t="n"/>
      <c r="J26" s="29" t="inlineStr">
        <is>
          <t>TBS</t>
        </is>
      </c>
      <c r="K26" s="28" t="inlineStr">
        <is>
          <t>00</t>
        </is>
      </c>
      <c r="L26" s="29" t="inlineStr">
        <is>
          <t>B</t>
        </is>
      </c>
      <c r="M26" s="28" t="inlineStr">
        <is>
          <t>00</t>
        </is>
      </c>
      <c r="N26" s="29" t="inlineStr">
        <is>
          <t>B</t>
        </is>
      </c>
      <c r="O26" s="28" t="n"/>
      <c r="P26" s="29" t="inlineStr">
        <is>
          <t>TBS</t>
        </is>
      </c>
      <c r="Q26" s="28" t="n"/>
      <c r="R26" s="29" t="inlineStr">
        <is>
          <t>TBS</t>
        </is>
      </c>
      <c r="S26" s="28" t="n"/>
      <c r="T26" s="29" t="inlineStr">
        <is>
          <t>TBS</t>
        </is>
      </c>
      <c r="U26" s="28" t="n"/>
      <c r="V26" s="29" t="inlineStr">
        <is>
          <t>TBS</t>
        </is>
      </c>
      <c r="W26" s="28" t="inlineStr">
        <is>
          <t>03</t>
        </is>
      </c>
      <c r="X26" s="29" t="inlineStr">
        <is>
          <t>B</t>
        </is>
      </c>
      <c r="Y26" s="28" t="n"/>
      <c r="Z26" s="29" t="inlineStr">
        <is>
          <t>TBS</t>
        </is>
      </c>
      <c r="AA26" s="28" t="n"/>
      <c r="AB26" s="29" t="inlineStr">
        <is>
          <t>TBS</t>
        </is>
      </c>
      <c r="AC26" s="28" t="n"/>
      <c r="AD26" s="29" t="inlineStr">
        <is>
          <t>TBS</t>
        </is>
      </c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</row>
    <row r="27">
      <c r="A27" s="25" t="inlineStr">
        <is>
          <t>KADA1</t>
        </is>
      </c>
      <c r="B27" s="25" t="inlineStr">
        <is>
          <t>King ADA</t>
        </is>
      </c>
      <c r="C27" s="26" t="inlineStr">
        <is>
          <t>WPH-ETC-DRW-SDW-IND-00-ZZZ-41201</t>
        </is>
      </c>
      <c r="D27" s="26" t="inlineStr">
        <is>
          <t>Not Provided</t>
        </is>
      </c>
      <c r="E27" s="27" t="n"/>
      <c r="F27" s="28" t="n"/>
      <c r="G27" s="29" t="inlineStr">
        <is>
          <t>B</t>
        </is>
      </c>
      <c r="H27" s="27" t="n"/>
      <c r="I27" s="28" t="n"/>
      <c r="J27" s="29" t="inlineStr">
        <is>
          <t>TBS</t>
        </is>
      </c>
      <c r="K27" s="28" t="inlineStr">
        <is>
          <t>00</t>
        </is>
      </c>
      <c r="L27" s="29" t="inlineStr">
        <is>
          <t>B</t>
        </is>
      </c>
      <c r="M27" s="28" t="inlineStr">
        <is>
          <t>01</t>
        </is>
      </c>
      <c r="N27" s="29" t="inlineStr">
        <is>
          <t>B</t>
        </is>
      </c>
      <c r="O27" s="28" t="n"/>
      <c r="P27" s="29" t="inlineStr">
        <is>
          <t>TBS</t>
        </is>
      </c>
      <c r="Q27" s="28" t="n"/>
      <c r="R27" s="29" t="inlineStr">
        <is>
          <t>TBS</t>
        </is>
      </c>
      <c r="S27" s="28" t="n"/>
      <c r="T27" s="29" t="inlineStr">
        <is>
          <t>TBS</t>
        </is>
      </c>
      <c r="U27" s="28" t="n"/>
      <c r="V27" s="29" t="inlineStr">
        <is>
          <t>TBS</t>
        </is>
      </c>
      <c r="W27" s="28" t="inlineStr">
        <is>
          <t>02</t>
        </is>
      </c>
      <c r="X27" s="29" t="inlineStr">
        <is>
          <t>B</t>
        </is>
      </c>
      <c r="Y27" s="28" t="n"/>
      <c r="Z27" s="29" t="inlineStr">
        <is>
          <t>TBS</t>
        </is>
      </c>
      <c r="AA27" s="28" t="n"/>
      <c r="AB27" s="29" t="inlineStr">
        <is>
          <t>TBS</t>
        </is>
      </c>
      <c r="AC27" s="28" t="n"/>
      <c r="AD27" s="29" t="inlineStr">
        <is>
          <t>TBS</t>
        </is>
      </c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</row>
    <row r="28">
      <c r="A28" s="25" t="inlineStr">
        <is>
          <t>KADA2</t>
        </is>
      </c>
      <c r="B28" s="25" t="inlineStr">
        <is>
          <t>King ADA</t>
        </is>
      </c>
      <c r="C28" s="26" t="inlineStr">
        <is>
          <t>(no drawing number in legend)</t>
        </is>
      </c>
      <c r="D28" s="26" t="inlineStr">
        <is>
          <t>Not Provided</t>
        </is>
      </c>
      <c r="E28" s="27" t="n"/>
      <c r="F28" s="28" t="n"/>
      <c r="G28" s="29" t="inlineStr">
        <is>
          <t>B</t>
        </is>
      </c>
      <c r="H28" s="27" t="n"/>
      <c r="I28" s="28" t="n"/>
      <c r="J28" s="29" t="inlineStr">
        <is>
          <t>TBS</t>
        </is>
      </c>
      <c r="K28" s="28" t="n"/>
      <c r="L28" s="29" t="inlineStr">
        <is>
          <t>TBS</t>
        </is>
      </c>
      <c r="M28" s="28" t="n"/>
      <c r="N28" s="29" t="inlineStr">
        <is>
          <t>TBS</t>
        </is>
      </c>
      <c r="O28" s="28" t="n"/>
      <c r="P28" s="29" t="inlineStr">
        <is>
          <t>TBS</t>
        </is>
      </c>
      <c r="Q28" s="28" t="n"/>
      <c r="R28" s="29" t="inlineStr">
        <is>
          <t>TBS</t>
        </is>
      </c>
      <c r="S28" s="28" t="n"/>
      <c r="T28" s="29" t="inlineStr">
        <is>
          <t>TBS</t>
        </is>
      </c>
      <c r="U28" s="28" t="n"/>
      <c r="V28" s="29" t="inlineStr">
        <is>
          <t>TBS</t>
        </is>
      </c>
      <c r="W28" s="28" t="inlineStr">
        <is>
          <t>00</t>
        </is>
      </c>
      <c r="X28" s="29" t="inlineStr">
        <is>
          <t>B</t>
        </is>
      </c>
      <c r="Y28" s="28" t="n"/>
      <c r="Z28" s="29" t="inlineStr">
        <is>
          <t>TBS</t>
        </is>
      </c>
      <c r="AA28" s="28" t="n"/>
      <c r="AB28" s="29" t="inlineStr">
        <is>
          <t>TBS</t>
        </is>
      </c>
      <c r="AC28" s="28" t="n"/>
      <c r="AD28" s="29" t="inlineStr">
        <is>
          <t>TBS</t>
        </is>
      </c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</row>
    <row r="29">
      <c r="A29" s="25" t="inlineStr">
        <is>
          <t>Q01</t>
        </is>
      </c>
      <c r="B29" s="25" t="inlineStr">
        <is>
          <t>Queen</t>
        </is>
      </c>
      <c r="C29" s="26" t="inlineStr">
        <is>
          <t>WPH-ETC-DRW-SDW-IND-00-ZZZ-41401</t>
        </is>
      </c>
      <c r="D29" s="26" t="n"/>
      <c r="E29" s="27" t="n"/>
      <c r="F29" s="28" t="n"/>
      <c r="G29" s="29" t="inlineStr">
        <is>
          <t>B</t>
        </is>
      </c>
      <c r="H29" s="27" t="n"/>
      <c r="I29" s="28" t="n"/>
      <c r="J29" s="29" t="n"/>
      <c r="K29" s="28" t="n"/>
      <c r="L29" s="29" t="n"/>
      <c r="M29" s="28" t="n"/>
      <c r="N29" s="29" t="n"/>
      <c r="O29" s="28" t="n"/>
      <c r="P29" s="29" t="n"/>
      <c r="Q29" s="28" t="n"/>
      <c r="R29" s="29" t="n"/>
      <c r="S29" s="28" t="n"/>
      <c r="T29" s="29" t="n"/>
      <c r="U29" s="28" t="n"/>
      <c r="V29" s="29" t="n"/>
      <c r="W29" s="28" t="n"/>
      <c r="X29" s="29" t="n"/>
      <c r="Y29" s="28" t="n"/>
      <c r="Z29" s="29" t="n"/>
      <c r="AA29" s="28" t="n"/>
      <c r="AB29" s="29" t="n"/>
      <c r="AC29" s="28" t="n"/>
      <c r="AD29" s="29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</row>
    <row r="30">
      <c r="A30" s="25" t="inlineStr">
        <is>
          <t>Q01C</t>
        </is>
      </c>
      <c r="B30" s="25" t="inlineStr">
        <is>
          <t>Queen</t>
        </is>
      </c>
      <c r="C30" s="26" t="inlineStr">
        <is>
          <t>WPH-ETC-DRW-SDW-IND-00-ZZZ-41401</t>
        </is>
      </c>
      <c r="D30" s="26" t="n"/>
      <c r="E30" s="27" t="n"/>
      <c r="F30" s="28" t="n"/>
      <c r="G30" s="29" t="inlineStr">
        <is>
          <t>B</t>
        </is>
      </c>
      <c r="H30" s="27" t="n"/>
      <c r="I30" s="28" t="n"/>
      <c r="J30" s="29" t="n"/>
      <c r="K30" s="28" t="n"/>
      <c r="L30" s="29" t="n"/>
      <c r="M30" s="28" t="n"/>
      <c r="N30" s="29" t="n"/>
      <c r="O30" s="28" t="n"/>
      <c r="P30" s="29" t="n"/>
      <c r="Q30" s="28" t="n"/>
      <c r="R30" s="29" t="n"/>
      <c r="S30" s="28" t="n"/>
      <c r="T30" s="29" t="n"/>
      <c r="U30" s="28" t="n"/>
      <c r="V30" s="29" t="n"/>
      <c r="W30" s="28" t="n"/>
      <c r="X30" s="29" t="n"/>
      <c r="Y30" s="28" t="n"/>
      <c r="Z30" s="29" t="n"/>
      <c r="AA30" s="28" t="n"/>
      <c r="AB30" s="29" t="n"/>
      <c r="AC30" s="28" t="n"/>
      <c r="AD30" s="29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</row>
    <row r="31">
      <c r="A31" s="25" t="inlineStr">
        <is>
          <t>Q01C1</t>
        </is>
      </c>
      <c r="B31" s="25" t="inlineStr">
        <is>
          <t>Queen</t>
        </is>
      </c>
      <c r="C31" s="26" t="inlineStr">
        <is>
          <t>WPH-ETC-DRW-SDW-IND-00-ZZZ-41401</t>
        </is>
      </c>
      <c r="D31" s="26" t="n"/>
      <c r="E31" s="27" t="n"/>
      <c r="F31" s="28" t="n"/>
      <c r="G31" s="29" t="inlineStr">
        <is>
          <t>B</t>
        </is>
      </c>
      <c r="H31" s="27" t="n"/>
      <c r="I31" s="28" t="n"/>
      <c r="J31" s="29" t="n"/>
      <c r="K31" s="28" t="n"/>
      <c r="L31" s="29" t="n"/>
      <c r="M31" s="28" t="n"/>
      <c r="N31" s="29" t="n"/>
      <c r="O31" s="28" t="n"/>
      <c r="P31" s="29" t="n"/>
      <c r="Q31" s="28" t="n"/>
      <c r="R31" s="29" t="n"/>
      <c r="S31" s="28" t="n"/>
      <c r="T31" s="29" t="n"/>
      <c r="U31" s="28" t="n"/>
      <c r="V31" s="29" t="n"/>
      <c r="W31" s="28" t="n"/>
      <c r="X31" s="29" t="n"/>
      <c r="Y31" s="28" t="n"/>
      <c r="Z31" s="29" t="n"/>
      <c r="AA31" s="28" t="n"/>
      <c r="AB31" s="29" t="n"/>
      <c r="AC31" s="28" t="n"/>
      <c r="AD31" s="29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</row>
    <row r="32">
      <c r="A32" s="25" t="inlineStr">
        <is>
          <t>Q02A</t>
        </is>
      </c>
      <c r="B32" s="25" t="inlineStr">
        <is>
          <t>Queen</t>
        </is>
      </c>
      <c r="C32" s="26" t="inlineStr">
        <is>
          <t>WPH-ETC-DRW-SDW-IND-00-ZZZ-41601</t>
        </is>
      </c>
      <c r="D32" s="26" t="n"/>
      <c r="E32" s="27" t="n"/>
      <c r="F32" s="28" t="n"/>
      <c r="G32" s="29" t="inlineStr">
        <is>
          <t>B</t>
        </is>
      </c>
      <c r="H32" s="27" t="n"/>
      <c r="I32" s="28" t="n"/>
      <c r="J32" s="29" t="n"/>
      <c r="K32" s="28" t="n"/>
      <c r="L32" s="29" t="n"/>
      <c r="M32" s="28" t="n"/>
      <c r="N32" s="29" t="n"/>
      <c r="O32" s="28" t="n"/>
      <c r="P32" s="29" t="n"/>
      <c r="Q32" s="28" t="n"/>
      <c r="R32" s="29" t="n"/>
      <c r="S32" s="28" t="n"/>
      <c r="T32" s="29" t="n"/>
      <c r="U32" s="28" t="n"/>
      <c r="V32" s="29" t="n"/>
      <c r="W32" s="28" t="n"/>
      <c r="X32" s="29" t="n"/>
      <c r="Y32" s="28" t="n"/>
      <c r="Z32" s="29" t="n"/>
      <c r="AA32" s="28" t="n"/>
      <c r="AB32" s="29" t="n"/>
      <c r="AC32" s="28" t="n"/>
      <c r="AD32" s="29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</row>
    <row r="33">
      <c r="A33" s="25" t="inlineStr">
        <is>
          <t>Q02C</t>
        </is>
      </c>
      <c r="B33" s="25" t="inlineStr">
        <is>
          <t>Queen</t>
        </is>
      </c>
      <c r="C33" s="26" t="inlineStr">
        <is>
          <t>WPH-ETC-DRW-SDW-IND-00-ZZZ-41601</t>
        </is>
      </c>
      <c r="D33" s="26" t="n"/>
      <c r="E33" s="27" t="n"/>
      <c r="F33" s="28" t="n"/>
      <c r="G33" s="29" t="inlineStr">
        <is>
          <t>B</t>
        </is>
      </c>
      <c r="H33" s="27" t="n"/>
      <c r="I33" s="28" t="n"/>
      <c r="J33" s="29" t="n"/>
      <c r="K33" s="28" t="n"/>
      <c r="L33" s="29" t="n"/>
      <c r="M33" s="28" t="n"/>
      <c r="N33" s="29" t="n"/>
      <c r="O33" s="28" t="n"/>
      <c r="P33" s="29" t="n"/>
      <c r="Q33" s="28" t="n"/>
      <c r="R33" s="29" t="n"/>
      <c r="S33" s="28" t="n"/>
      <c r="T33" s="29" t="n"/>
      <c r="U33" s="28" t="n"/>
      <c r="V33" s="29" t="n"/>
      <c r="W33" s="28" t="n"/>
      <c r="X33" s="29" t="n"/>
      <c r="Y33" s="28" t="n"/>
      <c r="Z33" s="29" t="n"/>
      <c r="AA33" s="28" t="n"/>
      <c r="AB33" s="29" t="n"/>
      <c r="AC33" s="28" t="n"/>
      <c r="AD33" s="29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</row>
    <row r="34">
      <c r="A34" s="25" t="inlineStr">
        <is>
          <t>Q02C1</t>
        </is>
      </c>
      <c r="B34" s="25" t="inlineStr">
        <is>
          <t>Queen</t>
        </is>
      </c>
      <c r="C34" s="26" t="inlineStr">
        <is>
          <t>WPH-ETC-DRW-SDW-IND-00-ZZZ-41601</t>
        </is>
      </c>
      <c r="D34" s="26" t="n"/>
      <c r="E34" s="27" t="n"/>
      <c r="F34" s="28" t="n"/>
      <c r="G34" s="29" t="inlineStr">
        <is>
          <t>B</t>
        </is>
      </c>
      <c r="H34" s="27" t="n"/>
      <c r="I34" s="28" t="n"/>
      <c r="J34" s="29" t="n"/>
      <c r="K34" s="28" t="n"/>
      <c r="L34" s="29" t="n"/>
      <c r="M34" s="28" t="n"/>
      <c r="N34" s="29" t="n"/>
      <c r="O34" s="28" t="n"/>
      <c r="P34" s="29" t="n"/>
      <c r="Q34" s="28" t="n"/>
      <c r="R34" s="29" t="n"/>
      <c r="S34" s="28" t="n"/>
      <c r="T34" s="29" t="n"/>
      <c r="U34" s="28" t="n"/>
      <c r="V34" s="29" t="n"/>
      <c r="W34" s="28" t="n"/>
      <c r="X34" s="29" t="n"/>
      <c r="Y34" s="28" t="n"/>
      <c r="Z34" s="29" t="n"/>
      <c r="AA34" s="28" t="n"/>
      <c r="AB34" s="29" t="n"/>
      <c r="AC34" s="28" t="n"/>
      <c r="AD34" s="29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</row>
    <row r="35">
      <c r="A35" s="25" t="inlineStr">
        <is>
          <t>Q02C2</t>
        </is>
      </c>
      <c r="B35" s="25" t="inlineStr">
        <is>
          <t>Queen</t>
        </is>
      </c>
      <c r="C35" s="26" t="inlineStr">
        <is>
          <t>WPH-ETC-DRW-SDW-IND-00-ZZZ-41601</t>
        </is>
      </c>
      <c r="D35" s="26" t="n"/>
      <c r="E35" s="27" t="n"/>
      <c r="F35" s="28" t="n"/>
      <c r="G35" s="29" t="inlineStr">
        <is>
          <t>B</t>
        </is>
      </c>
      <c r="H35" s="27" t="n"/>
      <c r="I35" s="28" t="n"/>
      <c r="J35" s="29" t="n"/>
      <c r="K35" s="28" t="n"/>
      <c r="L35" s="29" t="n"/>
      <c r="M35" s="28" t="n"/>
      <c r="N35" s="29" t="n"/>
      <c r="O35" s="28" t="n"/>
      <c r="P35" s="29" t="n"/>
      <c r="Q35" s="28" t="n"/>
      <c r="R35" s="29" t="n"/>
      <c r="S35" s="28" t="n"/>
      <c r="T35" s="29" t="n"/>
      <c r="U35" s="28" t="n"/>
      <c r="V35" s="29" t="n"/>
      <c r="W35" s="28" t="n"/>
      <c r="X35" s="29" t="n"/>
      <c r="Y35" s="28" t="n"/>
      <c r="Z35" s="29" t="n"/>
      <c r="AA35" s="28" t="n"/>
      <c r="AB35" s="29" t="n"/>
      <c r="AC35" s="28" t="n"/>
      <c r="AD35" s="29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</row>
    <row r="36">
      <c r="A36" s="25" t="inlineStr">
        <is>
          <t>Q02D</t>
        </is>
      </c>
      <c r="B36" s="25" t="inlineStr">
        <is>
          <t>Queen</t>
        </is>
      </c>
      <c r="C36" s="26" t="inlineStr">
        <is>
          <t>WPH-ETC-DRW-SDW-IND-00-ZZZ-41601</t>
        </is>
      </c>
      <c r="D36" s="26" t="n"/>
      <c r="E36" s="27" t="n"/>
      <c r="F36" s="28" t="n"/>
      <c r="G36" s="29" t="inlineStr">
        <is>
          <t>B</t>
        </is>
      </c>
      <c r="H36" s="27" t="n"/>
      <c r="I36" s="28" t="n"/>
      <c r="J36" s="29" t="n"/>
      <c r="K36" s="28" t="n"/>
      <c r="L36" s="29" t="n"/>
      <c r="M36" s="28" t="n"/>
      <c r="N36" s="29" t="n"/>
      <c r="O36" s="28" t="n"/>
      <c r="P36" s="29" t="n"/>
      <c r="Q36" s="28" t="n"/>
      <c r="R36" s="29" t="n"/>
      <c r="S36" s="28" t="n"/>
      <c r="T36" s="29" t="n"/>
      <c r="U36" s="28" t="n"/>
      <c r="V36" s="29" t="n"/>
      <c r="W36" s="28" t="n"/>
      <c r="X36" s="29" t="n"/>
      <c r="Y36" s="28" t="n"/>
      <c r="Z36" s="29" t="n"/>
      <c r="AA36" s="28" t="n"/>
      <c r="AB36" s="29" t="n"/>
      <c r="AC36" s="28" t="n"/>
      <c r="AD36" s="29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</row>
    <row r="37">
      <c r="A37" s="25" t="inlineStr">
        <is>
          <t>Q02E</t>
        </is>
      </c>
      <c r="B37" s="25" t="inlineStr">
        <is>
          <t>Queen</t>
        </is>
      </c>
      <c r="C37" s="26" t="inlineStr">
        <is>
          <t>WPH-ETC-DRW-SDW-IND-00-ZZZ-41601</t>
        </is>
      </c>
      <c r="D37" s="26" t="n"/>
      <c r="E37" s="27" t="n"/>
      <c r="F37" s="28" t="n"/>
      <c r="G37" s="29" t="inlineStr">
        <is>
          <t>B</t>
        </is>
      </c>
      <c r="H37" s="27" t="n"/>
      <c r="I37" s="28" t="n"/>
      <c r="J37" s="29" t="n"/>
      <c r="K37" s="28" t="n"/>
      <c r="L37" s="29" t="n"/>
      <c r="M37" s="28" t="n"/>
      <c r="N37" s="29" t="n"/>
      <c r="O37" s="28" t="n"/>
      <c r="P37" s="29" t="n"/>
      <c r="Q37" s="28" t="n"/>
      <c r="R37" s="29" t="n"/>
      <c r="S37" s="28" t="n"/>
      <c r="T37" s="29" t="n"/>
      <c r="U37" s="28" t="n"/>
      <c r="V37" s="29" t="n"/>
      <c r="W37" s="28" t="n"/>
      <c r="X37" s="29" t="n"/>
      <c r="Y37" s="28" t="n"/>
      <c r="Z37" s="29" t="n"/>
      <c r="AA37" s="28" t="n"/>
      <c r="AB37" s="29" t="n"/>
      <c r="AC37" s="28" t="n"/>
      <c r="AD37" s="29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</row>
    <row r="38">
      <c r="A38" s="25" t="inlineStr">
        <is>
          <t>Q03</t>
        </is>
      </c>
      <c r="B38" s="25" t="inlineStr">
        <is>
          <t>Queen</t>
        </is>
      </c>
      <c r="C38" s="26" t="inlineStr">
        <is>
          <t>WPH-ETC-DRW-SDW-IND-00-ZZZ-42001</t>
        </is>
      </c>
      <c r="D38" s="26" t="inlineStr">
        <is>
          <t>Not Provided</t>
        </is>
      </c>
      <c r="E38" s="27" t="n"/>
      <c r="F38" s="28" t="n"/>
      <c r="G38" s="29" t="inlineStr">
        <is>
          <t>B</t>
        </is>
      </c>
      <c r="H38" s="27" t="n"/>
      <c r="I38" s="28" t="inlineStr">
        <is>
          <t>00</t>
        </is>
      </c>
      <c r="J38" s="29" t="inlineStr">
        <is>
          <t>B</t>
        </is>
      </c>
      <c r="K38" s="28" t="inlineStr">
        <is>
          <t>00</t>
        </is>
      </c>
      <c r="L38" s="29" t="inlineStr">
        <is>
          <t>B</t>
        </is>
      </c>
      <c r="M38" s="28" t="inlineStr">
        <is>
          <t>00</t>
        </is>
      </c>
      <c r="N38" s="29" t="inlineStr">
        <is>
          <t>C</t>
        </is>
      </c>
      <c r="O38" s="28" t="inlineStr">
        <is>
          <t>00</t>
        </is>
      </c>
      <c r="P38" s="29" t="inlineStr">
        <is>
          <t>B</t>
        </is>
      </c>
      <c r="Q38" s="28" t="inlineStr">
        <is>
          <t>00</t>
        </is>
      </c>
      <c r="R38" s="29" t="inlineStr">
        <is>
          <t>B</t>
        </is>
      </c>
      <c r="S38" s="28" t="inlineStr">
        <is>
          <t>00</t>
        </is>
      </c>
      <c r="T38" s="29" t="inlineStr">
        <is>
          <t>B</t>
        </is>
      </c>
      <c r="U38" s="28" t="inlineStr">
        <is>
          <t>00</t>
        </is>
      </c>
      <c r="V38" s="29" t="inlineStr">
        <is>
          <t>B</t>
        </is>
      </c>
      <c r="W38" s="28" t="inlineStr">
        <is>
          <t>01</t>
        </is>
      </c>
      <c r="X38" s="29" t="inlineStr">
        <is>
          <t>B</t>
        </is>
      </c>
      <c r="Y38" s="28" t="inlineStr">
        <is>
          <t>00</t>
        </is>
      </c>
      <c r="Z38" s="29" t="inlineStr">
        <is>
          <t>B</t>
        </is>
      </c>
      <c r="AA38" s="28" t="n"/>
      <c r="AB38" s="29" t="inlineStr">
        <is>
          <t>TBS</t>
        </is>
      </c>
      <c r="AC38" s="28" t="n"/>
      <c r="AD38" s="29" t="inlineStr">
        <is>
          <t>TBS</t>
        </is>
      </c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</row>
    <row r="39">
      <c r="A39" s="25" t="inlineStr">
        <is>
          <t>Q04</t>
        </is>
      </c>
      <c r="B39" s="25" t="inlineStr">
        <is>
          <t>Queen</t>
        </is>
      </c>
      <c r="C39" s="26" t="inlineStr">
        <is>
          <t>WPH-ETC-DRW-SDW-IND-00-ZZZ-42101</t>
        </is>
      </c>
      <c r="D39" s="26" t="inlineStr">
        <is>
          <t>Not Provided</t>
        </is>
      </c>
      <c r="E39" s="27" t="n"/>
      <c r="F39" s="28" t="n"/>
      <c r="G39" s="29" t="inlineStr">
        <is>
          <t>B</t>
        </is>
      </c>
      <c r="H39" s="27" t="n"/>
      <c r="I39" s="28" t="inlineStr">
        <is>
          <t>01</t>
        </is>
      </c>
      <c r="J39" s="29" t="inlineStr">
        <is>
          <t>B</t>
        </is>
      </c>
      <c r="K39" s="28" t="inlineStr">
        <is>
          <t>00</t>
        </is>
      </c>
      <c r="L39" s="29" t="inlineStr">
        <is>
          <t>B</t>
        </is>
      </c>
      <c r="M39" s="28" t="inlineStr">
        <is>
          <t>00</t>
        </is>
      </c>
      <c r="N39" s="29" t="inlineStr">
        <is>
          <t>C</t>
        </is>
      </c>
      <c r="O39" s="28" t="inlineStr">
        <is>
          <t>00</t>
        </is>
      </c>
      <c r="P39" s="29" t="inlineStr">
        <is>
          <t>B</t>
        </is>
      </c>
      <c r="Q39" s="28" t="inlineStr">
        <is>
          <t>00</t>
        </is>
      </c>
      <c r="R39" s="29" t="inlineStr">
        <is>
          <t>B</t>
        </is>
      </c>
      <c r="S39" s="28" t="inlineStr">
        <is>
          <t>02</t>
        </is>
      </c>
      <c r="T39" s="29" t="inlineStr">
        <is>
          <t>B</t>
        </is>
      </c>
      <c r="U39" s="28" t="inlineStr">
        <is>
          <t>00</t>
        </is>
      </c>
      <c r="V39" s="29" t="inlineStr">
        <is>
          <t>B</t>
        </is>
      </c>
      <c r="W39" s="28" t="inlineStr">
        <is>
          <t>02</t>
        </is>
      </c>
      <c r="X39" s="29" t="inlineStr">
        <is>
          <t>C</t>
        </is>
      </c>
      <c r="Y39" s="28" t="n"/>
      <c r="Z39" s="29" t="inlineStr">
        <is>
          <t>TBS</t>
        </is>
      </c>
      <c r="AA39" s="28" t="n"/>
      <c r="AB39" s="29" t="inlineStr">
        <is>
          <t>TBS</t>
        </is>
      </c>
      <c r="AC39" s="28" t="n"/>
      <c r="AD39" s="29" t="inlineStr">
        <is>
          <t>TBS</t>
        </is>
      </c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>
      <c r="A40" s="25" t="inlineStr">
        <is>
          <t>Q04*</t>
        </is>
      </c>
      <c r="B40" s="25" t="inlineStr">
        <is>
          <t>Queen</t>
        </is>
      </c>
      <c r="C40" s="26" t="inlineStr">
        <is>
          <t>WPH-ETC-DRW-SDW-IND-00-ZZZ-42101</t>
        </is>
      </c>
      <c r="D40" s="26" t="n"/>
      <c r="E40" s="27" t="n"/>
      <c r="F40" s="28" t="n"/>
      <c r="G40" s="29" t="inlineStr">
        <is>
          <t>B</t>
        </is>
      </c>
      <c r="H40" s="27" t="n"/>
      <c r="I40" s="28" t="n"/>
      <c r="J40" s="29" t="n"/>
      <c r="K40" s="28" t="n"/>
      <c r="L40" s="29" t="n"/>
      <c r="M40" s="28" t="n"/>
      <c r="N40" s="29" t="n"/>
      <c r="O40" s="28" t="n"/>
      <c r="P40" s="29" t="n"/>
      <c r="Q40" s="28" t="n"/>
      <c r="R40" s="29" t="n"/>
      <c r="S40" s="28" t="n"/>
      <c r="T40" s="29" t="n"/>
      <c r="U40" s="28" t="n"/>
      <c r="V40" s="29" t="n"/>
      <c r="W40" s="28" t="n"/>
      <c r="X40" s="29" t="n"/>
      <c r="Y40" s="28" t="n"/>
      <c r="Z40" s="29" t="n"/>
      <c r="AA40" s="28" t="n"/>
      <c r="AB40" s="29" t="n"/>
      <c r="AC40" s="28" t="n"/>
      <c r="AD40" s="29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</row>
    <row r="41">
      <c r="A41" s="25" t="inlineStr">
        <is>
          <t>Q05</t>
        </is>
      </c>
      <c r="B41" s="25" t="inlineStr">
        <is>
          <t>Queen</t>
        </is>
      </c>
      <c r="C41" s="26" t="inlineStr">
        <is>
          <t>WPH-ETC-DRW-SDW-IND-00-ZZZ-41501</t>
        </is>
      </c>
      <c r="D41" s="26" t="inlineStr">
        <is>
          <t>Not Provided</t>
        </is>
      </c>
      <c r="E41" s="27" t="n"/>
      <c r="F41" s="28" t="n"/>
      <c r="G41" s="29" t="inlineStr">
        <is>
          <t>B</t>
        </is>
      </c>
      <c r="H41" s="27" t="n"/>
      <c r="I41" s="28" t="inlineStr">
        <is>
          <t>01</t>
        </is>
      </c>
      <c r="J41" s="29" t="inlineStr">
        <is>
          <t>B</t>
        </is>
      </c>
      <c r="K41" s="28" t="inlineStr">
        <is>
          <t>00</t>
        </is>
      </c>
      <c r="L41" s="29" t="inlineStr">
        <is>
          <t>B</t>
        </is>
      </c>
      <c r="M41" s="28" t="inlineStr">
        <is>
          <t>00</t>
        </is>
      </c>
      <c r="N41" s="29" t="inlineStr">
        <is>
          <t>C</t>
        </is>
      </c>
      <c r="O41" s="28" t="inlineStr">
        <is>
          <t>00</t>
        </is>
      </c>
      <c r="P41" s="29" t="inlineStr">
        <is>
          <t>B</t>
        </is>
      </c>
      <c r="Q41" s="28" t="inlineStr">
        <is>
          <t>00</t>
        </is>
      </c>
      <c r="R41" s="29" t="inlineStr">
        <is>
          <t>B</t>
        </is>
      </c>
      <c r="S41" s="28" t="inlineStr">
        <is>
          <t>02</t>
        </is>
      </c>
      <c r="T41" s="29" t="inlineStr">
        <is>
          <t>B</t>
        </is>
      </c>
      <c r="U41" s="28" t="inlineStr">
        <is>
          <t>00</t>
        </is>
      </c>
      <c r="V41" s="29" t="inlineStr">
        <is>
          <t>B</t>
        </is>
      </c>
      <c r="W41" s="28" t="inlineStr">
        <is>
          <t>01</t>
        </is>
      </c>
      <c r="X41" s="29" t="inlineStr">
        <is>
          <t>C</t>
        </is>
      </c>
      <c r="Y41" s="28" t="n"/>
      <c r="Z41" s="29" t="inlineStr">
        <is>
          <t>TBS</t>
        </is>
      </c>
      <c r="AA41" s="28" t="n"/>
      <c r="AB41" s="29" t="inlineStr">
        <is>
          <t>TBS</t>
        </is>
      </c>
      <c r="AC41" s="28" t="n"/>
      <c r="AD41" s="29" t="inlineStr">
        <is>
          <t>TBS</t>
        </is>
      </c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</row>
    <row r="42">
      <c r="A42" s="25" t="inlineStr">
        <is>
          <t>Q06</t>
        </is>
      </c>
      <c r="B42" s="25" t="inlineStr">
        <is>
          <t>Queen</t>
        </is>
      </c>
      <c r="C42" s="26" t="inlineStr">
        <is>
          <t>WPH-ETC-DRW-SDW-IND-00-ZZZ-41701</t>
        </is>
      </c>
      <c r="D42" s="26" t="inlineStr">
        <is>
          <t>Not Provided</t>
        </is>
      </c>
      <c r="E42" s="27" t="n"/>
      <c r="F42" s="28" t="n"/>
      <c r="G42" s="29" t="inlineStr">
        <is>
          <t>B</t>
        </is>
      </c>
      <c r="H42" s="27" t="n"/>
      <c r="I42" s="28" t="inlineStr">
        <is>
          <t>00</t>
        </is>
      </c>
      <c r="J42" s="29" t="inlineStr">
        <is>
          <t>B</t>
        </is>
      </c>
      <c r="K42" s="28" t="inlineStr">
        <is>
          <t>00</t>
        </is>
      </c>
      <c r="L42" s="29" t="inlineStr">
        <is>
          <t>B</t>
        </is>
      </c>
      <c r="M42" s="28" t="inlineStr">
        <is>
          <t>00</t>
        </is>
      </c>
      <c r="N42" s="29" t="inlineStr">
        <is>
          <t>C</t>
        </is>
      </c>
      <c r="O42" s="28" t="inlineStr">
        <is>
          <t>00</t>
        </is>
      </c>
      <c r="P42" s="29" t="inlineStr">
        <is>
          <t>B</t>
        </is>
      </c>
      <c r="Q42" s="28" t="inlineStr">
        <is>
          <t>00</t>
        </is>
      </c>
      <c r="R42" s="29" t="inlineStr">
        <is>
          <t>B</t>
        </is>
      </c>
      <c r="S42" s="28" t="inlineStr">
        <is>
          <t>00</t>
        </is>
      </c>
      <c r="T42" s="29" t="inlineStr">
        <is>
          <t>B</t>
        </is>
      </c>
      <c r="U42" s="28" t="inlineStr">
        <is>
          <t>00</t>
        </is>
      </c>
      <c r="V42" s="29" t="inlineStr">
        <is>
          <t>B</t>
        </is>
      </c>
      <c r="W42" s="28" t="n"/>
      <c r="X42" s="29" t="inlineStr">
        <is>
          <t>TBS</t>
        </is>
      </c>
      <c r="Y42" s="28" t="n"/>
      <c r="Z42" s="29" t="inlineStr">
        <is>
          <t>TBS</t>
        </is>
      </c>
      <c r="AA42" s="28" t="n"/>
      <c r="AB42" s="29" t="inlineStr">
        <is>
          <t>TBS</t>
        </is>
      </c>
      <c r="AC42" s="28" t="n"/>
      <c r="AD42" s="29" t="inlineStr">
        <is>
          <t>TBS</t>
        </is>
      </c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</row>
    <row r="43">
      <c r="A43" s="25" t="inlineStr">
        <is>
          <t>Q07</t>
        </is>
      </c>
      <c r="B43" s="25" t="inlineStr">
        <is>
          <t>Queen</t>
        </is>
      </c>
      <c r="C43" s="26" t="inlineStr">
        <is>
          <t>WPH-ETC-DRW-SDW-IND-00-ZZZ-41801</t>
        </is>
      </c>
      <c r="D43" s="26" t="n"/>
      <c r="E43" s="27" t="n"/>
      <c r="F43" s="28" t="n"/>
      <c r="G43" s="29" t="inlineStr">
        <is>
          <t>B</t>
        </is>
      </c>
      <c r="H43" s="27" t="n"/>
      <c r="I43" s="28" t="n"/>
      <c r="J43" s="29" t="n"/>
      <c r="K43" s="28" t="n"/>
      <c r="L43" s="29" t="n"/>
      <c r="M43" s="28" t="n"/>
      <c r="N43" s="29" t="n"/>
      <c r="O43" s="28" t="n"/>
      <c r="P43" s="29" t="n"/>
      <c r="Q43" s="28" t="n"/>
      <c r="R43" s="29" t="n"/>
      <c r="S43" s="28" t="n"/>
      <c r="T43" s="29" t="n"/>
      <c r="U43" s="28" t="n"/>
      <c r="V43" s="29" t="n"/>
      <c r="W43" s="28" t="n"/>
      <c r="X43" s="29" t="n"/>
      <c r="Y43" s="28" t="n"/>
      <c r="Z43" s="29" t="n"/>
      <c r="AA43" s="28" t="n"/>
      <c r="AB43" s="29" t="n"/>
      <c r="AC43" s="28" t="n"/>
      <c r="AD43" s="29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</row>
    <row r="44">
      <c r="A44" s="25" t="inlineStr">
        <is>
          <t>Q07*</t>
        </is>
      </c>
      <c r="B44" s="25" t="inlineStr">
        <is>
          <t>Queen</t>
        </is>
      </c>
      <c r="C44" s="26" t="inlineStr">
        <is>
          <t>WPH-ETC-DRW-SDW-IND-00-ZZZ-41801</t>
        </is>
      </c>
      <c r="D44" s="26" t="n"/>
      <c r="E44" s="27" t="n"/>
      <c r="F44" s="28" t="n"/>
      <c r="G44" s="29" t="inlineStr">
        <is>
          <t>B</t>
        </is>
      </c>
      <c r="H44" s="27" t="n"/>
      <c r="I44" s="28" t="n"/>
      <c r="J44" s="29" t="n"/>
      <c r="K44" s="28" t="n"/>
      <c r="L44" s="29" t="n"/>
      <c r="M44" s="28" t="n"/>
      <c r="N44" s="29" t="n"/>
      <c r="O44" s="28" t="n"/>
      <c r="P44" s="29" t="n"/>
      <c r="Q44" s="28" t="n"/>
      <c r="R44" s="29" t="n"/>
      <c r="S44" s="28" t="n"/>
      <c r="T44" s="29" t="n"/>
      <c r="U44" s="28" t="n"/>
      <c r="V44" s="29" t="n"/>
      <c r="W44" s="28" t="n"/>
      <c r="X44" s="29" t="n"/>
      <c r="Y44" s="28" t="n"/>
      <c r="Z44" s="29" t="n"/>
      <c r="AA44" s="28" t="n"/>
      <c r="AB44" s="29" t="n"/>
      <c r="AC44" s="28" t="n"/>
      <c r="AD44" s="29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</row>
    <row r="45">
      <c r="A45" s="25" t="inlineStr">
        <is>
          <t>QADA1</t>
        </is>
      </c>
      <c r="B45" s="25" t="inlineStr">
        <is>
          <t>Queen ADA</t>
        </is>
      </c>
      <c r="C45" s="26" t="inlineStr">
        <is>
          <t>WPH-ETC-DRW-SDW-IND-00-ZZZ-42201</t>
        </is>
      </c>
      <c r="D45" s="26" t="inlineStr">
        <is>
          <t>Not Provided</t>
        </is>
      </c>
      <c r="E45" s="27" t="n"/>
      <c r="F45" s="28" t="n"/>
      <c r="G45" s="29" t="inlineStr">
        <is>
          <t>B</t>
        </is>
      </c>
      <c r="H45" s="27" t="n"/>
      <c r="I45" s="28" t="inlineStr">
        <is>
          <t>00</t>
        </is>
      </c>
      <c r="J45" s="29" t="inlineStr">
        <is>
          <t>UR</t>
        </is>
      </c>
      <c r="K45" s="28" t="inlineStr">
        <is>
          <t>00</t>
        </is>
      </c>
      <c r="L45" s="29" t="inlineStr">
        <is>
          <t>UR</t>
        </is>
      </c>
      <c r="M45" s="28" t="inlineStr">
        <is>
          <t>01</t>
        </is>
      </c>
      <c r="N45" s="29" t="inlineStr">
        <is>
          <t>B</t>
        </is>
      </c>
      <c r="O45" s="28" t="inlineStr">
        <is>
          <t>00</t>
        </is>
      </c>
      <c r="P45" s="29" t="inlineStr">
        <is>
          <t>UR</t>
        </is>
      </c>
      <c r="Q45" s="28" t="inlineStr">
        <is>
          <t>00</t>
        </is>
      </c>
      <c r="R45" s="29" t="inlineStr">
        <is>
          <t>UR</t>
        </is>
      </c>
      <c r="S45" s="28" t="inlineStr">
        <is>
          <t>00</t>
        </is>
      </c>
      <c r="T45" s="29" t="inlineStr">
        <is>
          <t>UR</t>
        </is>
      </c>
      <c r="U45" s="28" t="inlineStr">
        <is>
          <t>00</t>
        </is>
      </c>
      <c r="V45" s="29" t="inlineStr">
        <is>
          <t>UR</t>
        </is>
      </c>
      <c r="W45" s="28" t="inlineStr">
        <is>
          <t>00</t>
        </is>
      </c>
      <c r="X45" s="29" t="inlineStr">
        <is>
          <t>B</t>
        </is>
      </c>
      <c r="Y45" s="28" t="inlineStr">
        <is>
          <t>00</t>
        </is>
      </c>
      <c r="Z45" s="29" t="inlineStr">
        <is>
          <t>UR</t>
        </is>
      </c>
      <c r="AA45" s="28" t="inlineStr">
        <is>
          <t>00</t>
        </is>
      </c>
      <c r="AB45" s="29" t="inlineStr">
        <is>
          <t>UR</t>
        </is>
      </c>
      <c r="AC45" s="28" t="inlineStr">
        <is>
          <t>00</t>
        </is>
      </c>
      <c r="AD45" s="29" t="inlineStr">
        <is>
          <t>UR</t>
        </is>
      </c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</row>
    <row r="46">
      <c r="A46" s="25" t="inlineStr">
        <is>
          <t>QADA2</t>
        </is>
      </c>
      <c r="B46" s="25" t="inlineStr">
        <is>
          <t>Queen ADA</t>
        </is>
      </c>
      <c r="C46" s="26" t="inlineStr">
        <is>
          <t>(no drawing number in legend)</t>
        </is>
      </c>
      <c r="D46" s="26" t="inlineStr">
        <is>
          <t>Not Provided</t>
        </is>
      </c>
      <c r="E46" s="27" t="n"/>
      <c r="F46" s="28" t="n"/>
      <c r="G46" s="29" t="inlineStr">
        <is>
          <t>B</t>
        </is>
      </c>
      <c r="H46" s="27" t="n"/>
      <c r="I46" s="28" t="n"/>
      <c r="J46" s="29" t="inlineStr">
        <is>
          <t>TBS</t>
        </is>
      </c>
      <c r="K46" s="28" t="n"/>
      <c r="L46" s="29" t="inlineStr">
        <is>
          <t>TBS</t>
        </is>
      </c>
      <c r="M46" s="28" t="n"/>
      <c r="N46" s="29" t="inlineStr">
        <is>
          <t>TBS</t>
        </is>
      </c>
      <c r="O46" s="28" t="n"/>
      <c r="P46" s="29" t="inlineStr">
        <is>
          <t>TBS</t>
        </is>
      </c>
      <c r="Q46" s="28" t="n"/>
      <c r="R46" s="29" t="inlineStr">
        <is>
          <t>TBS</t>
        </is>
      </c>
      <c r="S46" s="28" t="n"/>
      <c r="T46" s="29" t="inlineStr">
        <is>
          <t>TBS</t>
        </is>
      </c>
      <c r="U46" s="28" t="n"/>
      <c r="V46" s="29" t="inlineStr">
        <is>
          <t>TBS</t>
        </is>
      </c>
      <c r="W46" s="28" t="inlineStr">
        <is>
          <t>00</t>
        </is>
      </c>
      <c r="X46" s="29" t="inlineStr">
        <is>
          <t>B</t>
        </is>
      </c>
      <c r="Y46" s="28" t="inlineStr">
        <is>
          <t>00</t>
        </is>
      </c>
      <c r="Z46" s="29" t="inlineStr">
        <is>
          <t>UR</t>
        </is>
      </c>
      <c r="AA46" s="28" t="inlineStr">
        <is>
          <t>00</t>
        </is>
      </c>
      <c r="AB46" s="29" t="inlineStr">
        <is>
          <t>UR</t>
        </is>
      </c>
      <c r="AC46" s="28" t="inlineStr">
        <is>
          <t>00</t>
        </is>
      </c>
      <c r="AD46" s="29" t="inlineStr">
        <is>
          <t>UR</t>
        </is>
      </c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</row>
    <row r="47">
      <c r="A47" s="25" t="inlineStr">
        <is>
          <t>S01</t>
        </is>
      </c>
      <c r="B47" s="25" t="inlineStr">
        <is>
          <t>Suite</t>
        </is>
      </c>
      <c r="C47" s="26" t="inlineStr">
        <is>
          <t>WPH-ETC-DRW-SDW-IND-00-ZZZ-43401</t>
        </is>
      </c>
      <c r="D47" s="26" t="inlineStr">
        <is>
          <t>Not Provided</t>
        </is>
      </c>
      <c r="E47" s="27" t="n"/>
      <c r="F47" s="28" t="n"/>
      <c r="G47" s="29" t="inlineStr">
        <is>
          <t>B</t>
        </is>
      </c>
      <c r="H47" s="27" t="n"/>
      <c r="I47" s="28" t="inlineStr">
        <is>
          <t>00</t>
        </is>
      </c>
      <c r="J47" s="29" t="inlineStr">
        <is>
          <t>UR</t>
        </is>
      </c>
      <c r="K47" s="28" t="inlineStr">
        <is>
          <t>00</t>
        </is>
      </c>
      <c r="L47" s="29" t="inlineStr">
        <is>
          <t>UR</t>
        </is>
      </c>
      <c r="M47" s="28" t="inlineStr">
        <is>
          <t>00</t>
        </is>
      </c>
      <c r="N47" s="29" t="inlineStr">
        <is>
          <t>UR</t>
        </is>
      </c>
      <c r="O47" s="28" t="inlineStr">
        <is>
          <t>00</t>
        </is>
      </c>
      <c r="P47" s="29" t="inlineStr">
        <is>
          <t>UR</t>
        </is>
      </c>
      <c r="Q47" s="28" t="inlineStr">
        <is>
          <t>00</t>
        </is>
      </c>
      <c r="R47" s="29" t="inlineStr">
        <is>
          <t>UR</t>
        </is>
      </c>
      <c r="S47" s="28" t="inlineStr">
        <is>
          <t>00</t>
        </is>
      </c>
      <c r="T47" s="29" t="inlineStr">
        <is>
          <t>UR</t>
        </is>
      </c>
      <c r="U47" s="28" t="inlineStr">
        <is>
          <t>00</t>
        </is>
      </c>
      <c r="V47" s="29" t="inlineStr">
        <is>
          <t>UR</t>
        </is>
      </c>
      <c r="W47" s="28" t="inlineStr">
        <is>
          <t>02</t>
        </is>
      </c>
      <c r="X47" s="29" t="inlineStr">
        <is>
          <t>B</t>
        </is>
      </c>
      <c r="Y47" s="28" t="inlineStr">
        <is>
          <t>00</t>
        </is>
      </c>
      <c r="Z47" s="29" t="inlineStr">
        <is>
          <t>B</t>
        </is>
      </c>
      <c r="AA47" s="28" t="inlineStr">
        <is>
          <t>01</t>
        </is>
      </c>
      <c r="AB47" s="29" t="inlineStr">
        <is>
          <t>B</t>
        </is>
      </c>
      <c r="AC47" s="28" t="inlineStr">
        <is>
          <t>01</t>
        </is>
      </c>
      <c r="AD47" s="29" t="inlineStr">
        <is>
          <t>B</t>
        </is>
      </c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</row>
    <row r="48">
      <c r="A48" s="25" t="inlineStr">
        <is>
          <t>S02</t>
        </is>
      </c>
      <c r="B48" s="25" t="inlineStr">
        <is>
          <t>Suite</t>
        </is>
      </c>
      <c r="C48" s="26" t="inlineStr">
        <is>
          <t>WPH-ETC-DRW-SDW-IND-00-ZZZ-43501</t>
        </is>
      </c>
      <c r="D48" s="26" t="inlineStr">
        <is>
          <t>Not Provided</t>
        </is>
      </c>
      <c r="E48" s="27" t="n"/>
      <c r="F48" s="28" t="n"/>
      <c r="G48" s="29" t="inlineStr">
        <is>
          <t>B</t>
        </is>
      </c>
      <c r="H48" s="27" t="n"/>
      <c r="I48" s="28" t="inlineStr">
        <is>
          <t>00</t>
        </is>
      </c>
      <c r="J48" s="29" t="inlineStr">
        <is>
          <t>UR</t>
        </is>
      </c>
      <c r="K48" s="28" t="inlineStr">
        <is>
          <t>00</t>
        </is>
      </c>
      <c r="L48" s="29" t="inlineStr">
        <is>
          <t>UR</t>
        </is>
      </c>
      <c r="M48" s="28" t="inlineStr">
        <is>
          <t>00</t>
        </is>
      </c>
      <c r="N48" s="29" t="inlineStr">
        <is>
          <t>UR</t>
        </is>
      </c>
      <c r="O48" s="28" t="inlineStr">
        <is>
          <t>00</t>
        </is>
      </c>
      <c r="P48" s="29" t="inlineStr">
        <is>
          <t>UR</t>
        </is>
      </c>
      <c r="Q48" s="28" t="inlineStr">
        <is>
          <t>00</t>
        </is>
      </c>
      <c r="R48" s="29" t="inlineStr">
        <is>
          <t>UR</t>
        </is>
      </c>
      <c r="S48" s="28" t="inlineStr">
        <is>
          <t>00</t>
        </is>
      </c>
      <c r="T48" s="29" t="inlineStr">
        <is>
          <t>UR</t>
        </is>
      </c>
      <c r="U48" s="28" t="inlineStr">
        <is>
          <t>00</t>
        </is>
      </c>
      <c r="V48" s="29" t="inlineStr">
        <is>
          <t>UR</t>
        </is>
      </c>
      <c r="W48" s="28" t="inlineStr">
        <is>
          <t>02</t>
        </is>
      </c>
      <c r="X48" s="29" t="inlineStr">
        <is>
          <t>B</t>
        </is>
      </c>
      <c r="Y48" s="28" t="n"/>
      <c r="Z48" s="29" t="inlineStr">
        <is>
          <t>TBS</t>
        </is>
      </c>
      <c r="AA48" s="28" t="inlineStr">
        <is>
          <t>01</t>
        </is>
      </c>
      <c r="AB48" s="29" t="inlineStr">
        <is>
          <t>B</t>
        </is>
      </c>
      <c r="AC48" s="28" t="inlineStr">
        <is>
          <t>01</t>
        </is>
      </c>
      <c r="AD48" s="29" t="inlineStr">
        <is>
          <t>B</t>
        </is>
      </c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</row>
    <row r="49">
      <c r="A49" s="25" t="inlineStr">
        <is>
          <t>S03</t>
        </is>
      </c>
      <c r="B49" s="25" t="inlineStr">
        <is>
          <t>Suite</t>
        </is>
      </c>
      <c r="C49" s="26" t="inlineStr">
        <is>
          <t>WPH-ETC-DRW-SDW-IND-00-ZZZ-43601</t>
        </is>
      </c>
      <c r="D49" s="26" t="inlineStr">
        <is>
          <t>Not Provided</t>
        </is>
      </c>
      <c r="E49" s="27" t="n"/>
      <c r="F49" s="28" t="n"/>
      <c r="G49" s="29" t="inlineStr">
        <is>
          <t>B</t>
        </is>
      </c>
      <c r="H49" s="27" t="n"/>
      <c r="I49" s="28" t="n"/>
      <c r="J49" s="29" t="inlineStr">
        <is>
          <t>TBS</t>
        </is>
      </c>
      <c r="K49" s="28" t="n"/>
      <c r="L49" s="29" t="inlineStr">
        <is>
          <t>TBS</t>
        </is>
      </c>
      <c r="M49" s="28" t="inlineStr">
        <is>
          <t>00</t>
        </is>
      </c>
      <c r="N49" s="29" t="inlineStr">
        <is>
          <t>B</t>
        </is>
      </c>
      <c r="O49" s="28" t="n"/>
      <c r="P49" s="29" t="inlineStr">
        <is>
          <t>TBS</t>
        </is>
      </c>
      <c r="Q49" s="28" t="n"/>
      <c r="R49" s="29" t="inlineStr">
        <is>
          <t>TBS</t>
        </is>
      </c>
      <c r="S49" s="28" t="n"/>
      <c r="T49" s="29" t="inlineStr">
        <is>
          <t>TBS</t>
        </is>
      </c>
      <c r="U49" s="28" t="n"/>
      <c r="V49" s="29" t="inlineStr">
        <is>
          <t>TBS</t>
        </is>
      </c>
      <c r="W49" s="28" t="inlineStr">
        <is>
          <t>02</t>
        </is>
      </c>
      <c r="X49" s="29" t="inlineStr">
        <is>
          <t>C</t>
        </is>
      </c>
      <c r="Y49" s="28" t="n"/>
      <c r="Z49" s="29" t="inlineStr">
        <is>
          <t>TBS</t>
        </is>
      </c>
      <c r="AA49" s="28" t="inlineStr">
        <is>
          <t>01</t>
        </is>
      </c>
      <c r="AB49" s="29" t="inlineStr">
        <is>
          <t>B</t>
        </is>
      </c>
      <c r="AC49" s="28" t="inlineStr">
        <is>
          <t>01</t>
        </is>
      </c>
      <c r="AD49" s="29" t="inlineStr">
        <is>
          <t>B</t>
        </is>
      </c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</row>
    <row r="50">
      <c r="A50" s="25" t="inlineStr">
        <is>
          <t>S04</t>
        </is>
      </c>
      <c r="B50" s="25" t="inlineStr">
        <is>
          <t>Suite</t>
        </is>
      </c>
      <c r="C50" s="26" t="inlineStr">
        <is>
          <t>WPH-ETC-DRW-SDW-IND-00-ZZZ-43701</t>
        </is>
      </c>
      <c r="D50" s="26" t="inlineStr">
        <is>
          <t>Provided</t>
        </is>
      </c>
      <c r="E50" s="27" t="n"/>
      <c r="F50" s="28" t="n"/>
      <c r="G50" s="29" t="inlineStr">
        <is>
          <t>B</t>
        </is>
      </c>
      <c r="H50" s="27" t="n"/>
      <c r="I50" s="28" t="inlineStr">
        <is>
          <t>00</t>
        </is>
      </c>
      <c r="J50" s="29" t="inlineStr">
        <is>
          <t>B</t>
        </is>
      </c>
      <c r="K50" s="28" t="inlineStr">
        <is>
          <t>00</t>
        </is>
      </c>
      <c r="L50" s="29" t="inlineStr">
        <is>
          <t>B</t>
        </is>
      </c>
      <c r="M50" s="28" t="inlineStr">
        <is>
          <t>00</t>
        </is>
      </c>
      <c r="N50" s="29" t="inlineStr">
        <is>
          <t>C</t>
        </is>
      </c>
      <c r="O50" s="28" t="inlineStr">
        <is>
          <t>00</t>
        </is>
      </c>
      <c r="P50" s="29" t="inlineStr">
        <is>
          <t>B</t>
        </is>
      </c>
      <c r="Q50" s="28" t="inlineStr">
        <is>
          <t>00</t>
        </is>
      </c>
      <c r="R50" s="29" t="inlineStr">
        <is>
          <t>B</t>
        </is>
      </c>
      <c r="S50" s="28" t="inlineStr">
        <is>
          <t>00</t>
        </is>
      </c>
      <c r="T50" s="29" t="inlineStr">
        <is>
          <t>B</t>
        </is>
      </c>
      <c r="U50" s="28" t="inlineStr">
        <is>
          <t>00</t>
        </is>
      </c>
      <c r="V50" s="29" t="inlineStr">
        <is>
          <t>B</t>
        </is>
      </c>
      <c r="W50" s="28" t="inlineStr">
        <is>
          <t>02</t>
        </is>
      </c>
      <c r="X50" s="29" t="inlineStr">
        <is>
          <t>B</t>
        </is>
      </c>
      <c r="Y50" s="28" t="inlineStr">
        <is>
          <t>00</t>
        </is>
      </c>
      <c r="Z50" s="29" t="inlineStr">
        <is>
          <t>C</t>
        </is>
      </c>
      <c r="AA50" s="28" t="inlineStr">
        <is>
          <t>01</t>
        </is>
      </c>
      <c r="AB50" s="29" t="inlineStr">
        <is>
          <t>B</t>
        </is>
      </c>
      <c r="AC50" s="28" t="inlineStr">
        <is>
          <t>01</t>
        </is>
      </c>
      <c r="AD50" s="29" t="inlineStr">
        <is>
          <t>B</t>
        </is>
      </c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</row>
    <row r="51">
      <c r="A51" s="25" t="inlineStr">
        <is>
          <t>S05</t>
        </is>
      </c>
      <c r="B51" s="25" t="inlineStr">
        <is>
          <t>Suite</t>
        </is>
      </c>
      <c r="C51" s="26" t="inlineStr">
        <is>
          <t>WPH-ETC-DRW-SDW-IND-00-ZZZ-43801</t>
        </is>
      </c>
      <c r="D51" s="26" t="inlineStr">
        <is>
          <t>Not Provided</t>
        </is>
      </c>
      <c r="E51" s="27" t="n"/>
      <c r="F51" s="28" t="n"/>
      <c r="G51" s="29" t="inlineStr">
        <is>
          <t>B</t>
        </is>
      </c>
      <c r="H51" s="27" t="n"/>
      <c r="I51" s="28" t="inlineStr">
        <is>
          <t>00</t>
        </is>
      </c>
      <c r="J51" s="29" t="inlineStr">
        <is>
          <t>UR</t>
        </is>
      </c>
      <c r="K51" s="28" t="inlineStr">
        <is>
          <t>00</t>
        </is>
      </c>
      <c r="L51" s="29" t="inlineStr">
        <is>
          <t>UR</t>
        </is>
      </c>
      <c r="M51" s="28" t="inlineStr">
        <is>
          <t>01</t>
        </is>
      </c>
      <c r="N51" s="29" t="inlineStr">
        <is>
          <t>UR</t>
        </is>
      </c>
      <c r="O51" s="28" t="inlineStr">
        <is>
          <t>00</t>
        </is>
      </c>
      <c r="P51" s="29" t="inlineStr">
        <is>
          <t>UR</t>
        </is>
      </c>
      <c r="Q51" s="28" t="inlineStr">
        <is>
          <t>00</t>
        </is>
      </c>
      <c r="R51" s="29" t="inlineStr">
        <is>
          <t>UR</t>
        </is>
      </c>
      <c r="S51" s="28" t="inlineStr">
        <is>
          <t>00</t>
        </is>
      </c>
      <c r="T51" s="29" t="inlineStr">
        <is>
          <t>UR</t>
        </is>
      </c>
      <c r="U51" s="28" t="inlineStr">
        <is>
          <t>00</t>
        </is>
      </c>
      <c r="V51" s="29" t="inlineStr">
        <is>
          <t>UR</t>
        </is>
      </c>
      <c r="W51" s="28" t="inlineStr">
        <is>
          <t>00</t>
        </is>
      </c>
      <c r="X51" s="29" t="inlineStr">
        <is>
          <t>UR</t>
        </is>
      </c>
      <c r="Y51" s="28" t="inlineStr">
        <is>
          <t>00</t>
        </is>
      </c>
      <c r="Z51" s="29" t="inlineStr">
        <is>
          <t>UR</t>
        </is>
      </c>
      <c r="AA51" s="28" t="inlineStr">
        <is>
          <t>00</t>
        </is>
      </c>
      <c r="AB51" s="29" t="inlineStr">
        <is>
          <t>B</t>
        </is>
      </c>
      <c r="AC51" s="28" t="inlineStr">
        <is>
          <t>00</t>
        </is>
      </c>
      <c r="AD51" s="29" t="inlineStr">
        <is>
          <t>B</t>
        </is>
      </c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</row>
    <row r="52">
      <c r="A52" s="25" t="inlineStr">
        <is>
          <t>S06</t>
        </is>
      </c>
      <c r="B52" s="25" t="inlineStr">
        <is>
          <t>Suite</t>
        </is>
      </c>
      <c r="C52" s="26" t="inlineStr">
        <is>
          <t>WPH-ETC-DRW-SDW-IND-00-ZZZ-43901</t>
        </is>
      </c>
      <c r="D52" s="26" t="inlineStr">
        <is>
          <t>Not Provided</t>
        </is>
      </c>
      <c r="E52" s="27" t="n"/>
      <c r="F52" s="28" t="n"/>
      <c r="G52" s="29" t="inlineStr">
        <is>
          <t>B</t>
        </is>
      </c>
      <c r="H52" s="27" t="n"/>
      <c r="I52" s="28" t="inlineStr">
        <is>
          <t>00</t>
        </is>
      </c>
      <c r="J52" s="29" t="inlineStr">
        <is>
          <t>UR</t>
        </is>
      </c>
      <c r="K52" s="28" t="inlineStr">
        <is>
          <t>00</t>
        </is>
      </c>
      <c r="L52" s="29" t="inlineStr">
        <is>
          <t>UR</t>
        </is>
      </c>
      <c r="M52" s="28" t="inlineStr">
        <is>
          <t>00</t>
        </is>
      </c>
      <c r="N52" s="29" t="inlineStr">
        <is>
          <t>C</t>
        </is>
      </c>
      <c r="O52" s="28" t="inlineStr">
        <is>
          <t>00</t>
        </is>
      </c>
      <c r="P52" s="29" t="inlineStr">
        <is>
          <t>UR</t>
        </is>
      </c>
      <c r="Q52" s="28" t="inlineStr">
        <is>
          <t>00</t>
        </is>
      </c>
      <c r="R52" s="29" t="inlineStr">
        <is>
          <t>UR</t>
        </is>
      </c>
      <c r="S52" s="28" t="inlineStr">
        <is>
          <t>00</t>
        </is>
      </c>
      <c r="T52" s="29" t="inlineStr">
        <is>
          <t>UR</t>
        </is>
      </c>
      <c r="U52" s="28" t="inlineStr">
        <is>
          <t>00</t>
        </is>
      </c>
      <c r="V52" s="29" t="inlineStr">
        <is>
          <t>UR</t>
        </is>
      </c>
      <c r="W52" s="28" t="inlineStr">
        <is>
          <t>03</t>
        </is>
      </c>
      <c r="X52" s="29" t="inlineStr">
        <is>
          <t>B</t>
        </is>
      </c>
      <c r="Y52" s="28" t="inlineStr">
        <is>
          <t>00</t>
        </is>
      </c>
      <c r="Z52" s="29" t="inlineStr">
        <is>
          <t>UR</t>
        </is>
      </c>
      <c r="AA52" s="28" t="inlineStr">
        <is>
          <t>01</t>
        </is>
      </c>
      <c r="AB52" s="29" t="inlineStr">
        <is>
          <t>B</t>
        </is>
      </c>
      <c r="AC52" s="28" t="inlineStr">
        <is>
          <t>00</t>
        </is>
      </c>
      <c r="AD52" s="29" t="inlineStr">
        <is>
          <t>B</t>
        </is>
      </c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</row>
    <row r="53">
      <c r="A53" s="25" t="inlineStr">
        <is>
          <t>S07</t>
        </is>
      </c>
      <c r="B53" s="25" t="inlineStr">
        <is>
          <t>Suite</t>
        </is>
      </c>
      <c r="C53" s="26" t="inlineStr">
        <is>
          <t>WPH-ETC-DRW-SDW-IND-00-ZZZ-44001</t>
        </is>
      </c>
      <c r="D53" s="26" t="inlineStr">
        <is>
          <t>Not Provided</t>
        </is>
      </c>
      <c r="E53" s="27" t="n"/>
      <c r="F53" s="28" t="n"/>
      <c r="G53" s="29" t="inlineStr">
        <is>
          <t>B</t>
        </is>
      </c>
      <c r="H53" s="27" t="n"/>
      <c r="I53" s="28" t="n"/>
      <c r="J53" s="29" t="inlineStr">
        <is>
          <t>TBS</t>
        </is>
      </c>
      <c r="K53" s="28" t="n"/>
      <c r="L53" s="29" t="inlineStr">
        <is>
          <t>TBS</t>
        </is>
      </c>
      <c r="M53" s="28" t="n"/>
      <c r="N53" s="29" t="inlineStr">
        <is>
          <t>TBS</t>
        </is>
      </c>
      <c r="O53" s="28" t="n"/>
      <c r="P53" s="29" t="inlineStr">
        <is>
          <t>TBS</t>
        </is>
      </c>
      <c r="Q53" s="28" t="n"/>
      <c r="R53" s="29" t="inlineStr">
        <is>
          <t>TBS</t>
        </is>
      </c>
      <c r="S53" s="28" t="n"/>
      <c r="T53" s="29" t="inlineStr">
        <is>
          <t>TBS</t>
        </is>
      </c>
      <c r="U53" s="28" t="n"/>
      <c r="V53" s="29" t="inlineStr">
        <is>
          <t>TBS</t>
        </is>
      </c>
      <c r="W53" s="28" t="inlineStr">
        <is>
          <t>02</t>
        </is>
      </c>
      <c r="X53" s="29" t="inlineStr">
        <is>
          <t>B</t>
        </is>
      </c>
      <c r="Y53" s="28" t="n"/>
      <c r="Z53" s="29" t="inlineStr">
        <is>
          <t>TBS</t>
        </is>
      </c>
      <c r="AA53" s="28" t="inlineStr">
        <is>
          <t>01</t>
        </is>
      </c>
      <c r="AB53" s="29" t="inlineStr">
        <is>
          <t>B</t>
        </is>
      </c>
      <c r="AC53" s="28" t="inlineStr">
        <is>
          <t>00</t>
        </is>
      </c>
      <c r="AD53" s="29" t="inlineStr">
        <is>
          <t>B</t>
        </is>
      </c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</row>
    <row r="54">
      <c r="A54" s="25" t="inlineStr">
        <is>
          <t>S08</t>
        </is>
      </c>
      <c r="B54" s="25" t="inlineStr">
        <is>
          <t>Suite</t>
        </is>
      </c>
      <c r="C54" s="26" t="inlineStr">
        <is>
          <t>WPH-ETC-DRW-SDW-IND-00-ZZZ-44101</t>
        </is>
      </c>
      <c r="D54" s="26" t="inlineStr">
        <is>
          <t>Not Provided</t>
        </is>
      </c>
      <c r="E54" s="27" t="n"/>
      <c r="F54" s="28" t="n"/>
      <c r="G54" s="29" t="inlineStr">
        <is>
          <t>B</t>
        </is>
      </c>
      <c r="H54" s="27" t="n"/>
      <c r="I54" s="28" t="n"/>
      <c r="J54" s="29" t="inlineStr">
        <is>
          <t>TBS</t>
        </is>
      </c>
      <c r="K54" s="28" t="n"/>
      <c r="L54" s="29" t="inlineStr">
        <is>
          <t>TBS</t>
        </is>
      </c>
      <c r="M54" s="28" t="n"/>
      <c r="N54" s="29" t="inlineStr">
        <is>
          <t>TBS</t>
        </is>
      </c>
      <c r="O54" s="28" t="n"/>
      <c r="P54" s="29" t="inlineStr">
        <is>
          <t>TBS</t>
        </is>
      </c>
      <c r="Q54" s="28" t="n"/>
      <c r="R54" s="29" t="inlineStr">
        <is>
          <t>TBS</t>
        </is>
      </c>
      <c r="S54" s="28" t="n"/>
      <c r="T54" s="29" t="inlineStr">
        <is>
          <t>TBS</t>
        </is>
      </c>
      <c r="U54" s="28" t="n"/>
      <c r="V54" s="29" t="inlineStr">
        <is>
          <t>TBS</t>
        </is>
      </c>
      <c r="W54" s="28" t="inlineStr">
        <is>
          <t>00</t>
        </is>
      </c>
      <c r="X54" s="29" t="inlineStr">
        <is>
          <t>B</t>
        </is>
      </c>
      <c r="Y54" s="28" t="n"/>
      <c r="Z54" s="29" t="inlineStr">
        <is>
          <t>TBS</t>
        </is>
      </c>
      <c r="AA54" s="28" t="inlineStr">
        <is>
          <t>01</t>
        </is>
      </c>
      <c r="AB54" s="29" t="inlineStr">
        <is>
          <t>B</t>
        </is>
      </c>
      <c r="AC54" s="28" t="inlineStr">
        <is>
          <t>00</t>
        </is>
      </c>
      <c r="AD54" s="29" t="inlineStr">
        <is>
          <t>B</t>
        </is>
      </c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</row>
    <row r="55">
      <c r="A55" s="25" t="inlineStr">
        <is>
          <t>S08A</t>
        </is>
      </c>
      <c r="B55" s="25" t="inlineStr">
        <is>
          <t>Suite</t>
        </is>
      </c>
      <c r="C55" s="26" t="inlineStr">
        <is>
          <t>(no drawing number in legend)</t>
        </is>
      </c>
      <c r="D55" s="26" t="inlineStr">
        <is>
          <t>Not Provided</t>
        </is>
      </c>
      <c r="E55" s="27" t="n"/>
      <c r="F55" s="28" t="n"/>
      <c r="G55" s="29" t="inlineStr">
        <is>
          <t>B</t>
        </is>
      </c>
      <c r="H55" s="27" t="n"/>
      <c r="I55" s="28" t="n"/>
      <c r="J55" s="29" t="inlineStr">
        <is>
          <t>TBS</t>
        </is>
      </c>
      <c r="K55" s="28" t="n"/>
      <c r="L55" s="29" t="inlineStr">
        <is>
          <t>TBS</t>
        </is>
      </c>
      <c r="M55" s="28" t="n"/>
      <c r="N55" s="29" t="inlineStr">
        <is>
          <t>TBS</t>
        </is>
      </c>
      <c r="O55" s="28" t="n"/>
      <c r="P55" s="29" t="inlineStr">
        <is>
          <t>TBS</t>
        </is>
      </c>
      <c r="Q55" s="28" t="n"/>
      <c r="R55" s="29" t="inlineStr">
        <is>
          <t>TBS</t>
        </is>
      </c>
      <c r="S55" s="28" t="n"/>
      <c r="T55" s="29" t="inlineStr">
        <is>
          <t>TBS</t>
        </is>
      </c>
      <c r="U55" s="28" t="n"/>
      <c r="V55" s="29" t="inlineStr">
        <is>
          <t>TBS</t>
        </is>
      </c>
      <c r="W55" s="28" t="inlineStr">
        <is>
          <t>00</t>
        </is>
      </c>
      <c r="X55" s="29" t="inlineStr">
        <is>
          <t>B</t>
        </is>
      </c>
      <c r="Y55" s="28" t="n"/>
      <c r="Z55" s="29" t="inlineStr">
        <is>
          <t>TBS</t>
        </is>
      </c>
      <c r="AA55" s="28" t="n"/>
      <c r="AB55" s="29" t="inlineStr">
        <is>
          <t>TBS</t>
        </is>
      </c>
      <c r="AC55" s="28" t="n"/>
      <c r="AD55" s="29" t="inlineStr">
        <is>
          <t>TBS</t>
        </is>
      </c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</row>
    <row r="56">
      <c r="A56" s="25" t="inlineStr">
        <is>
          <t>S09</t>
        </is>
      </c>
      <c r="B56" s="25" t="inlineStr">
        <is>
          <t>Suite</t>
        </is>
      </c>
      <c r="C56" s="26" t="inlineStr">
        <is>
          <t>WPH-ETC-DRW-SDW-IND-00-ZZZ-44301</t>
        </is>
      </c>
      <c r="D56" s="26" t="inlineStr">
        <is>
          <t>Not Provided</t>
        </is>
      </c>
      <c r="E56" s="27" t="n"/>
      <c r="F56" s="28" t="n"/>
      <c r="G56" s="29" t="inlineStr">
        <is>
          <t>B</t>
        </is>
      </c>
      <c r="H56" s="27" t="n"/>
      <c r="I56" s="28" t="n"/>
      <c r="J56" s="29" t="inlineStr">
        <is>
          <t>TBS</t>
        </is>
      </c>
      <c r="K56" s="28" t="n"/>
      <c r="L56" s="29" t="inlineStr">
        <is>
          <t>TBS</t>
        </is>
      </c>
      <c r="M56" s="28" t="n"/>
      <c r="N56" s="29" t="inlineStr">
        <is>
          <t>TBS</t>
        </is>
      </c>
      <c r="O56" s="28" t="n"/>
      <c r="P56" s="29" t="inlineStr">
        <is>
          <t>TBS</t>
        </is>
      </c>
      <c r="Q56" s="28" t="n"/>
      <c r="R56" s="29" t="inlineStr">
        <is>
          <t>TBS</t>
        </is>
      </c>
      <c r="S56" s="28" t="n"/>
      <c r="T56" s="29" t="inlineStr">
        <is>
          <t>TBS</t>
        </is>
      </c>
      <c r="U56" s="28" t="n"/>
      <c r="V56" s="29" t="inlineStr">
        <is>
          <t>TBS</t>
        </is>
      </c>
      <c r="W56" s="28" t="n"/>
      <c r="X56" s="29" t="inlineStr">
        <is>
          <t>TBS</t>
        </is>
      </c>
      <c r="Y56" s="28" t="n"/>
      <c r="Z56" s="29" t="inlineStr">
        <is>
          <t>TBS</t>
        </is>
      </c>
      <c r="AA56" s="28" t="inlineStr">
        <is>
          <t>01</t>
        </is>
      </c>
      <c r="AB56" s="29" t="inlineStr">
        <is>
          <t>B</t>
        </is>
      </c>
      <c r="AC56" s="28" t="inlineStr">
        <is>
          <t>00</t>
        </is>
      </c>
      <c r="AD56" s="29" t="inlineStr">
        <is>
          <t>B</t>
        </is>
      </c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</row>
    <row r="57">
      <c r="A57" s="25" t="inlineStr">
        <is>
          <t>S10</t>
        </is>
      </c>
      <c r="B57" s="25" t="inlineStr">
        <is>
          <t>Suite</t>
        </is>
      </c>
      <c r="C57" s="26" t="inlineStr">
        <is>
          <t>WPH-ETC-DRW-SDW-IND-00-ZZZ-44401</t>
        </is>
      </c>
      <c r="D57" s="26" t="inlineStr">
        <is>
          <t>Not Provided</t>
        </is>
      </c>
      <c r="E57" s="27" t="n"/>
      <c r="F57" s="28" t="n"/>
      <c r="G57" s="29" t="inlineStr">
        <is>
          <t>B</t>
        </is>
      </c>
      <c r="H57" s="27" t="n"/>
      <c r="I57" s="28" t="n"/>
      <c r="J57" s="29" t="inlineStr">
        <is>
          <t>TBS</t>
        </is>
      </c>
      <c r="K57" s="28" t="n"/>
      <c r="L57" s="29" t="inlineStr">
        <is>
          <t>TBS</t>
        </is>
      </c>
      <c r="M57" s="28" t="n"/>
      <c r="N57" s="29" t="inlineStr">
        <is>
          <t>TBS</t>
        </is>
      </c>
      <c r="O57" s="28" t="n"/>
      <c r="P57" s="29" t="inlineStr">
        <is>
          <t>TBS</t>
        </is>
      </c>
      <c r="Q57" s="28" t="n"/>
      <c r="R57" s="29" t="inlineStr">
        <is>
          <t>TBS</t>
        </is>
      </c>
      <c r="S57" s="28" t="n"/>
      <c r="T57" s="29" t="inlineStr">
        <is>
          <t>TBS</t>
        </is>
      </c>
      <c r="U57" s="28" t="n"/>
      <c r="V57" s="29" t="inlineStr">
        <is>
          <t>TBS</t>
        </is>
      </c>
      <c r="W57" s="28" t="inlineStr">
        <is>
          <t>00</t>
        </is>
      </c>
      <c r="X57" s="29" t="inlineStr">
        <is>
          <t>C</t>
        </is>
      </c>
      <c r="Y57" s="28" t="n"/>
      <c r="Z57" s="29" t="inlineStr">
        <is>
          <t>TBS</t>
        </is>
      </c>
      <c r="AA57" s="28" t="inlineStr">
        <is>
          <t>01</t>
        </is>
      </c>
      <c r="AB57" s="29" t="inlineStr">
        <is>
          <t>B</t>
        </is>
      </c>
      <c r="AC57" s="28" t="inlineStr">
        <is>
          <t>00</t>
        </is>
      </c>
      <c r="AD57" s="29" t="inlineStr">
        <is>
          <t>B</t>
        </is>
      </c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</row>
    <row r="58">
      <c r="A58" s="25" t="inlineStr">
        <is>
          <t>SADA</t>
        </is>
      </c>
      <c r="B58" s="25" t="inlineStr">
        <is>
          <t>Suite ADA</t>
        </is>
      </c>
      <c r="C58" s="26" t="inlineStr">
        <is>
          <t>WPH-ETC-DRW-SDW-IND-00-ZZZ-44501</t>
        </is>
      </c>
      <c r="D58" s="26" t="inlineStr">
        <is>
          <t>Not Provided</t>
        </is>
      </c>
      <c r="E58" s="27" t="n"/>
      <c r="F58" s="28" t="n"/>
      <c r="G58" s="29" t="inlineStr">
        <is>
          <t>B</t>
        </is>
      </c>
      <c r="H58" s="27" t="n"/>
      <c r="I58" s="28" t="n"/>
      <c r="J58" s="29" t="inlineStr">
        <is>
          <t>TBS</t>
        </is>
      </c>
      <c r="K58" s="28" t="n"/>
      <c r="L58" s="29" t="inlineStr">
        <is>
          <t>TBS</t>
        </is>
      </c>
      <c r="M58" s="28" t="inlineStr">
        <is>
          <t>00</t>
        </is>
      </c>
      <c r="N58" s="29" t="inlineStr">
        <is>
          <t>B</t>
        </is>
      </c>
      <c r="O58" s="28" t="n"/>
      <c r="P58" s="29" t="inlineStr">
        <is>
          <t>TBS</t>
        </is>
      </c>
      <c r="Q58" s="28" t="n"/>
      <c r="R58" s="29" t="inlineStr">
        <is>
          <t>TBS</t>
        </is>
      </c>
      <c r="S58" s="28" t="n"/>
      <c r="T58" s="29" t="inlineStr">
        <is>
          <t>TBS</t>
        </is>
      </c>
      <c r="U58" s="28" t="n"/>
      <c r="V58" s="29" t="inlineStr">
        <is>
          <t>TBS</t>
        </is>
      </c>
      <c r="W58" s="28" t="inlineStr">
        <is>
          <t>00</t>
        </is>
      </c>
      <c r="X58" s="29" t="inlineStr">
        <is>
          <t>B</t>
        </is>
      </c>
      <c r="Y58" s="28" t="n"/>
      <c r="Z58" s="29" t="inlineStr">
        <is>
          <t>TBS</t>
        </is>
      </c>
      <c r="AA58" s="28" t="inlineStr">
        <is>
          <t>00</t>
        </is>
      </c>
      <c r="AB58" s="29" t="inlineStr">
        <is>
          <t>B</t>
        </is>
      </c>
      <c r="AC58" s="28" t="inlineStr">
        <is>
          <t>00</t>
        </is>
      </c>
      <c r="AD58" s="29" t="inlineStr">
        <is>
          <t>B</t>
        </is>
      </c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</row>
    <row r="59">
      <c r="A59" s="25" t="inlineStr">
        <is>
          <t>BS</t>
        </is>
      </c>
      <c r="B59" s="25" t="inlineStr">
        <is>
          <t>Suite</t>
        </is>
      </c>
      <c r="C59" s="26" t="inlineStr">
        <is>
          <t>WPH-ETC-DRW-SDW-IND-00-ZZZ-44901</t>
        </is>
      </c>
      <c r="D59" s="26" t="inlineStr">
        <is>
          <t>Not Provided</t>
        </is>
      </c>
      <c r="E59" s="27" t="n"/>
      <c r="F59" s="28" t="n"/>
      <c r="G59" s="29" t="inlineStr">
        <is>
          <t>B</t>
        </is>
      </c>
      <c r="H59" s="27" t="n"/>
      <c r="I59" s="28" t="inlineStr">
        <is>
          <t>00</t>
        </is>
      </c>
      <c r="J59" s="29" t="inlineStr">
        <is>
          <t>B</t>
        </is>
      </c>
      <c r="K59" s="28" t="inlineStr">
        <is>
          <t>00</t>
        </is>
      </c>
      <c r="L59" s="29" t="inlineStr">
        <is>
          <t>B</t>
        </is>
      </c>
      <c r="M59" s="28" t="inlineStr">
        <is>
          <t>00</t>
        </is>
      </c>
      <c r="N59" s="29" t="inlineStr">
        <is>
          <t>B</t>
        </is>
      </c>
      <c r="O59" s="28" t="inlineStr">
        <is>
          <t>00</t>
        </is>
      </c>
      <c r="P59" s="29" t="inlineStr">
        <is>
          <t>B</t>
        </is>
      </c>
      <c r="Q59" s="28" t="inlineStr">
        <is>
          <t>00</t>
        </is>
      </c>
      <c r="R59" s="29" t="inlineStr">
        <is>
          <t>B</t>
        </is>
      </c>
      <c r="S59" s="28" t="inlineStr">
        <is>
          <t>00</t>
        </is>
      </c>
      <c r="T59" s="29" t="inlineStr">
        <is>
          <t>B</t>
        </is>
      </c>
      <c r="U59" s="28" t="inlineStr">
        <is>
          <t>00</t>
        </is>
      </c>
      <c r="V59" s="29" t="inlineStr">
        <is>
          <t>B</t>
        </is>
      </c>
      <c r="W59" s="28" t="inlineStr">
        <is>
          <t>00</t>
        </is>
      </c>
      <c r="X59" s="29" t="inlineStr">
        <is>
          <t>C</t>
        </is>
      </c>
      <c r="Y59" s="28" t="inlineStr">
        <is>
          <t>00</t>
        </is>
      </c>
      <c r="Z59" s="29" t="inlineStr">
        <is>
          <t>B</t>
        </is>
      </c>
      <c r="AA59" s="28" t="inlineStr">
        <is>
          <t>01</t>
        </is>
      </c>
      <c r="AB59" s="29" t="inlineStr">
        <is>
          <t>B</t>
        </is>
      </c>
      <c r="AC59" s="28" t="inlineStr">
        <is>
          <t>00</t>
        </is>
      </c>
      <c r="AD59" s="29" t="inlineStr">
        <is>
          <t>B</t>
        </is>
      </c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</row>
    <row r="60">
      <c r="A60" s="25" t="inlineStr">
        <is>
          <t>PS01</t>
        </is>
      </c>
      <c r="B60" s="25" t="inlineStr">
        <is>
          <t>Premium Suite</t>
        </is>
      </c>
      <c r="C60" s="26" t="inlineStr">
        <is>
          <t>WPH-ETC-DRW-SDW-IND-00-ZZZ-44601</t>
        </is>
      </c>
      <c r="D60" s="26" t="inlineStr">
        <is>
          <t>Not Provided</t>
        </is>
      </c>
      <c r="E60" s="27" t="n"/>
      <c r="F60" s="28" t="n"/>
      <c r="G60" s="29" t="inlineStr">
        <is>
          <t>B</t>
        </is>
      </c>
      <c r="H60" s="27" t="n"/>
      <c r="I60" s="28" t="n"/>
      <c r="J60" s="29" t="inlineStr">
        <is>
          <t>TBS</t>
        </is>
      </c>
      <c r="K60" s="28" t="n"/>
      <c r="L60" s="29" t="inlineStr">
        <is>
          <t>TBS</t>
        </is>
      </c>
      <c r="M60" s="28" t="n"/>
      <c r="N60" s="29" t="inlineStr">
        <is>
          <t>TBS</t>
        </is>
      </c>
      <c r="O60" s="28" t="n"/>
      <c r="P60" s="29" t="inlineStr">
        <is>
          <t>TBS</t>
        </is>
      </c>
      <c r="Q60" s="28" t="n"/>
      <c r="R60" s="29" t="inlineStr">
        <is>
          <t>TBS</t>
        </is>
      </c>
      <c r="S60" s="28" t="n"/>
      <c r="T60" s="29" t="inlineStr">
        <is>
          <t>TBS</t>
        </is>
      </c>
      <c r="U60" s="28" t="n"/>
      <c r="V60" s="29" t="inlineStr">
        <is>
          <t>TBS</t>
        </is>
      </c>
      <c r="W60" s="28" t="inlineStr">
        <is>
          <t>01</t>
        </is>
      </c>
      <c r="X60" s="29" t="inlineStr">
        <is>
          <t>C</t>
        </is>
      </c>
      <c r="Y60" s="28" t="n"/>
      <c r="Z60" s="29" t="inlineStr">
        <is>
          <t>TBS</t>
        </is>
      </c>
      <c r="AA60" s="28" t="inlineStr">
        <is>
          <t>01</t>
        </is>
      </c>
      <c r="AB60" s="29" t="inlineStr">
        <is>
          <t>B</t>
        </is>
      </c>
      <c r="AC60" s="28" t="inlineStr">
        <is>
          <t>01</t>
        </is>
      </c>
      <c r="AD60" s="29" t="inlineStr">
        <is>
          <t>B</t>
        </is>
      </c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</row>
    <row r="61">
      <c r="A61" s="25" t="inlineStr">
        <is>
          <t>PS02</t>
        </is>
      </c>
      <c r="B61" s="25" t="inlineStr">
        <is>
          <t>Premium Suite</t>
        </is>
      </c>
      <c r="C61" s="26" t="inlineStr">
        <is>
          <t>WPH-ETC-DRW-SDW-IND-00-ZZZ-44701</t>
        </is>
      </c>
      <c r="D61" s="26" t="inlineStr">
        <is>
          <t>Not Provided</t>
        </is>
      </c>
      <c r="E61" s="27" t="n"/>
      <c r="F61" s="28" t="n"/>
      <c r="G61" s="29" t="inlineStr">
        <is>
          <t>B</t>
        </is>
      </c>
      <c r="H61" s="27" t="n"/>
      <c r="I61" s="28" t="n"/>
      <c r="J61" s="29" t="inlineStr">
        <is>
          <t>TBS</t>
        </is>
      </c>
      <c r="K61" s="28" t="n"/>
      <c r="L61" s="29" t="inlineStr">
        <is>
          <t>TBS</t>
        </is>
      </c>
      <c r="M61" s="28" t="n"/>
      <c r="N61" s="29" t="inlineStr">
        <is>
          <t>TBS</t>
        </is>
      </c>
      <c r="O61" s="28" t="n"/>
      <c r="P61" s="29" t="inlineStr">
        <is>
          <t>TBS</t>
        </is>
      </c>
      <c r="Q61" s="28" t="n"/>
      <c r="R61" s="29" t="inlineStr">
        <is>
          <t>TBS</t>
        </is>
      </c>
      <c r="S61" s="28" t="n"/>
      <c r="T61" s="29" t="inlineStr">
        <is>
          <t>TBS</t>
        </is>
      </c>
      <c r="U61" s="28" t="n"/>
      <c r="V61" s="29" t="inlineStr">
        <is>
          <t>TBS</t>
        </is>
      </c>
      <c r="W61" s="28" t="n"/>
      <c r="X61" s="29" t="inlineStr">
        <is>
          <t>TBS</t>
        </is>
      </c>
      <c r="Y61" s="28" t="n"/>
      <c r="Z61" s="29" t="inlineStr">
        <is>
          <t>TBS</t>
        </is>
      </c>
      <c r="AA61" s="28" t="inlineStr">
        <is>
          <t>01</t>
        </is>
      </c>
      <c r="AB61" s="29" t="inlineStr">
        <is>
          <t>B</t>
        </is>
      </c>
      <c r="AC61" s="28" t="inlineStr">
        <is>
          <t>01</t>
        </is>
      </c>
      <c r="AD61" s="29" t="inlineStr">
        <is>
          <t>B</t>
        </is>
      </c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</row>
    <row r="62">
      <c r="A62" s="25" t="inlineStr">
        <is>
          <t>PS03</t>
        </is>
      </c>
      <c r="B62" s="25" t="inlineStr">
        <is>
          <t>Premium Suite</t>
        </is>
      </c>
      <c r="C62" s="26" t="inlineStr">
        <is>
          <t>WPH-ETC-DRW-SDW-IND-00-ZZZ-44801</t>
        </is>
      </c>
      <c r="D62" s="26" t="inlineStr">
        <is>
          <t>Not Provided</t>
        </is>
      </c>
      <c r="E62" s="27" t="n"/>
      <c r="F62" s="28" t="n"/>
      <c r="G62" s="29" t="inlineStr">
        <is>
          <t>B</t>
        </is>
      </c>
      <c r="H62" s="27" t="n"/>
      <c r="I62" s="28" t="n"/>
      <c r="J62" s="29" t="inlineStr">
        <is>
          <t>TBS</t>
        </is>
      </c>
      <c r="K62" s="28" t="n"/>
      <c r="L62" s="29" t="inlineStr">
        <is>
          <t>TBS</t>
        </is>
      </c>
      <c r="M62" s="28" t="n"/>
      <c r="N62" s="29" t="inlineStr">
        <is>
          <t>TBS</t>
        </is>
      </c>
      <c r="O62" s="28" t="n"/>
      <c r="P62" s="29" t="inlineStr">
        <is>
          <t>TBS</t>
        </is>
      </c>
      <c r="Q62" s="28" t="n"/>
      <c r="R62" s="29" t="inlineStr">
        <is>
          <t>TBS</t>
        </is>
      </c>
      <c r="S62" s="28" t="n"/>
      <c r="T62" s="29" t="inlineStr">
        <is>
          <t>TBS</t>
        </is>
      </c>
      <c r="U62" s="28" t="n"/>
      <c r="V62" s="29" t="inlineStr">
        <is>
          <t>TBS</t>
        </is>
      </c>
      <c r="W62" s="28" t="n"/>
      <c r="X62" s="29" t="inlineStr">
        <is>
          <t>TBS</t>
        </is>
      </c>
      <c r="Y62" s="28" t="n"/>
      <c r="Z62" s="29" t="inlineStr">
        <is>
          <t>TBS</t>
        </is>
      </c>
      <c r="AA62" s="28" t="inlineStr">
        <is>
          <t>00</t>
        </is>
      </c>
      <c r="AB62" s="29" t="inlineStr">
        <is>
          <t>B</t>
        </is>
      </c>
      <c r="AC62" s="28" t="inlineStr">
        <is>
          <t>01</t>
        </is>
      </c>
      <c r="AD62" s="29" t="inlineStr">
        <is>
          <t>B</t>
        </is>
      </c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AD62"/>
  <conditionalFormatting sqref="G2:G62">
    <cfRule type="expression" priority="1" dxfId="5" stopIfTrue="1">
      <formula>TRIM(UPPER(G2))="A"</formula>
    </cfRule>
    <cfRule type="expression" priority="2" dxfId="5" stopIfTrue="1">
      <formula>TRIM(UPPER(G2))="B"</formula>
    </cfRule>
    <cfRule type="expression" priority="3" dxfId="3" stopIfTrue="1">
      <formula>TRIM(UPPER(G2))="UR"</formula>
    </cfRule>
    <cfRule type="expression" priority="4" dxfId="2" stopIfTrue="1">
      <formula>TRIM(UPPER(G2))="C"</formula>
    </cfRule>
    <cfRule type="expression" priority="5" dxfId="1" stopIfTrue="1">
      <formula>TRIM(UPPER(G2))="TBS"</formula>
    </cfRule>
  </conditionalFormatting>
  <conditionalFormatting sqref="J2:J62">
    <cfRule type="expression" priority="6" dxfId="5" stopIfTrue="1">
      <formula>TRIM(UPPER(J2))="A"</formula>
    </cfRule>
    <cfRule type="expression" priority="7" dxfId="5" stopIfTrue="1">
      <formula>TRIM(UPPER(J2))="B"</formula>
    </cfRule>
    <cfRule type="expression" priority="8" dxfId="3" stopIfTrue="1">
      <formula>TRIM(UPPER(J2))="UR"</formula>
    </cfRule>
    <cfRule type="expression" priority="9" dxfId="2" stopIfTrue="1">
      <formula>TRIM(UPPER(J2))="C"</formula>
    </cfRule>
    <cfRule type="expression" priority="10" dxfId="1" stopIfTrue="1">
      <formula>TRIM(UPPER(J2))="TBS"</formula>
    </cfRule>
  </conditionalFormatting>
  <conditionalFormatting sqref="L2:L62">
    <cfRule type="expression" priority="11" dxfId="5" stopIfTrue="1">
      <formula>TRIM(UPPER(L2))="A"</formula>
    </cfRule>
    <cfRule type="expression" priority="12" dxfId="5" stopIfTrue="1">
      <formula>TRIM(UPPER(L2))="B"</formula>
    </cfRule>
    <cfRule type="expression" priority="13" dxfId="3" stopIfTrue="1">
      <formula>TRIM(UPPER(L2))="UR"</formula>
    </cfRule>
    <cfRule type="expression" priority="14" dxfId="2" stopIfTrue="1">
      <formula>TRIM(UPPER(L2))="C"</formula>
    </cfRule>
    <cfRule type="expression" priority="15" dxfId="1" stopIfTrue="1">
      <formula>TRIM(UPPER(L2))="TBS"</formula>
    </cfRule>
  </conditionalFormatting>
  <conditionalFormatting sqref="N2:N62">
    <cfRule type="expression" priority="16" dxfId="5" stopIfTrue="1">
      <formula>TRIM(UPPER(N2))="A"</formula>
    </cfRule>
    <cfRule type="expression" priority="17" dxfId="5" stopIfTrue="1">
      <formula>TRIM(UPPER(N2))="B"</formula>
    </cfRule>
    <cfRule type="expression" priority="18" dxfId="3" stopIfTrue="1">
      <formula>TRIM(UPPER(N2))="UR"</formula>
    </cfRule>
    <cfRule type="expression" priority="19" dxfId="2" stopIfTrue="1">
      <formula>TRIM(UPPER(N2))="C"</formula>
    </cfRule>
    <cfRule type="expression" priority="20" dxfId="1" stopIfTrue="1">
      <formula>TRIM(UPPER(N2))="TBS"</formula>
    </cfRule>
  </conditionalFormatting>
  <conditionalFormatting sqref="P2:P62">
    <cfRule type="expression" priority="21" dxfId="5" stopIfTrue="1">
      <formula>TRIM(UPPER(P2))="A"</formula>
    </cfRule>
    <cfRule type="expression" priority="22" dxfId="5" stopIfTrue="1">
      <formula>TRIM(UPPER(P2))="B"</formula>
    </cfRule>
    <cfRule type="expression" priority="23" dxfId="3" stopIfTrue="1">
      <formula>TRIM(UPPER(P2))="UR"</formula>
    </cfRule>
    <cfRule type="expression" priority="24" dxfId="2" stopIfTrue="1">
      <formula>TRIM(UPPER(P2))="C"</formula>
    </cfRule>
    <cfRule type="expression" priority="25" dxfId="1" stopIfTrue="1">
      <formula>TRIM(UPPER(P2))="TBS"</formula>
    </cfRule>
  </conditionalFormatting>
  <conditionalFormatting sqref="R2:R62">
    <cfRule type="expression" priority="26" dxfId="5" stopIfTrue="1">
      <formula>TRIM(UPPER(R2))="A"</formula>
    </cfRule>
    <cfRule type="expression" priority="27" dxfId="5" stopIfTrue="1">
      <formula>TRIM(UPPER(R2))="B"</formula>
    </cfRule>
    <cfRule type="expression" priority="28" dxfId="3" stopIfTrue="1">
      <formula>TRIM(UPPER(R2))="UR"</formula>
    </cfRule>
    <cfRule type="expression" priority="29" dxfId="2" stopIfTrue="1">
      <formula>TRIM(UPPER(R2))="C"</formula>
    </cfRule>
    <cfRule type="expression" priority="30" dxfId="1" stopIfTrue="1">
      <formula>TRIM(UPPER(R2))="TBS"</formula>
    </cfRule>
  </conditionalFormatting>
  <conditionalFormatting sqref="T2:T62">
    <cfRule type="expression" priority="31" dxfId="5" stopIfTrue="1">
      <formula>TRIM(UPPER(T2))="A"</formula>
    </cfRule>
    <cfRule type="expression" priority="32" dxfId="5" stopIfTrue="1">
      <formula>TRIM(UPPER(T2))="B"</formula>
    </cfRule>
    <cfRule type="expression" priority="33" dxfId="3" stopIfTrue="1">
      <formula>TRIM(UPPER(T2))="UR"</formula>
    </cfRule>
    <cfRule type="expression" priority="34" dxfId="2" stopIfTrue="1">
      <formula>TRIM(UPPER(T2))="C"</formula>
    </cfRule>
    <cfRule type="expression" priority="35" dxfId="1" stopIfTrue="1">
      <formula>TRIM(UPPER(T2))="TBS"</formula>
    </cfRule>
  </conditionalFormatting>
  <conditionalFormatting sqref="V2:V62">
    <cfRule type="expression" priority="36" dxfId="5" stopIfTrue="1">
      <formula>TRIM(UPPER(V2))="A"</formula>
    </cfRule>
    <cfRule type="expression" priority="37" dxfId="5" stopIfTrue="1">
      <formula>TRIM(UPPER(V2))="B"</formula>
    </cfRule>
    <cfRule type="expression" priority="38" dxfId="3" stopIfTrue="1">
      <formula>TRIM(UPPER(V2))="UR"</formula>
    </cfRule>
    <cfRule type="expression" priority="39" dxfId="2" stopIfTrue="1">
      <formula>TRIM(UPPER(V2))="C"</formula>
    </cfRule>
    <cfRule type="expression" priority="40" dxfId="1" stopIfTrue="1">
      <formula>TRIM(UPPER(V2))="TBS"</formula>
    </cfRule>
  </conditionalFormatting>
  <conditionalFormatting sqref="X2:X62">
    <cfRule type="expression" priority="41" dxfId="5" stopIfTrue="1">
      <formula>TRIM(UPPER(X2))="A"</formula>
    </cfRule>
    <cfRule type="expression" priority="42" dxfId="5" stopIfTrue="1">
      <formula>TRIM(UPPER(X2))="B"</formula>
    </cfRule>
    <cfRule type="expression" priority="43" dxfId="3" stopIfTrue="1">
      <formula>TRIM(UPPER(X2))="UR"</formula>
    </cfRule>
    <cfRule type="expression" priority="44" dxfId="2" stopIfTrue="1">
      <formula>TRIM(UPPER(X2))="C"</formula>
    </cfRule>
    <cfRule type="expression" priority="45" dxfId="1" stopIfTrue="1">
      <formula>TRIM(UPPER(X2))="TBS"</formula>
    </cfRule>
  </conditionalFormatting>
  <conditionalFormatting sqref="Z2:Z62">
    <cfRule type="expression" priority="46" dxfId="5" stopIfTrue="1">
      <formula>TRIM(UPPER(Z2))="A"</formula>
    </cfRule>
    <cfRule type="expression" priority="47" dxfId="5" stopIfTrue="1">
      <formula>TRIM(UPPER(Z2))="B"</formula>
    </cfRule>
    <cfRule type="expression" priority="48" dxfId="3" stopIfTrue="1">
      <formula>TRIM(UPPER(Z2))="UR"</formula>
    </cfRule>
    <cfRule type="expression" priority="49" dxfId="2" stopIfTrue="1">
      <formula>TRIM(UPPER(Z2))="C"</formula>
    </cfRule>
    <cfRule type="expression" priority="50" dxfId="1" stopIfTrue="1">
      <formula>TRIM(UPPER(Z2))="TBS"</formula>
    </cfRule>
  </conditionalFormatting>
  <conditionalFormatting sqref="AB2:AB62">
    <cfRule type="expression" priority="51" dxfId="5" stopIfTrue="1">
      <formula>TRIM(UPPER(AB2))="A"</formula>
    </cfRule>
    <cfRule type="expression" priority="52" dxfId="5" stopIfTrue="1">
      <formula>TRIM(UPPER(AB2))="B"</formula>
    </cfRule>
    <cfRule type="expression" priority="53" dxfId="3" stopIfTrue="1">
      <formula>TRIM(UPPER(AB2))="UR"</formula>
    </cfRule>
    <cfRule type="expression" priority="54" dxfId="2" stopIfTrue="1">
      <formula>TRIM(UPPER(AB2))="C"</formula>
    </cfRule>
    <cfRule type="expression" priority="55" dxfId="1" stopIfTrue="1">
      <formula>TRIM(UPPER(AB2))="TBS"</formula>
    </cfRule>
  </conditionalFormatting>
  <conditionalFormatting sqref="AD2:AD62">
    <cfRule type="expression" priority="56" dxfId="5" stopIfTrue="1">
      <formula>TRIM(UPPER(AD2))="A"</formula>
    </cfRule>
    <cfRule type="expression" priority="57" dxfId="5" stopIfTrue="1">
      <formula>TRIM(UPPER(AD2))="B"</formula>
    </cfRule>
    <cfRule type="expression" priority="58" dxfId="3" stopIfTrue="1">
      <formula>TRIM(UPPER(AD2))="UR"</formula>
    </cfRule>
    <cfRule type="expression" priority="59" dxfId="2" stopIfTrue="1">
      <formula>TRIM(UPPER(AD2))="C"</formula>
    </cfRule>
    <cfRule type="expression" priority="60" dxfId="1" stopIfTrue="1">
      <formula>TRIM(UPPER(AD2))="TBS"</formula>
    </cfRule>
  </conditionalFormatting>
  <conditionalFormatting sqref="D2:D62">
    <cfRule type="expression" priority="61" dxfId="0" stopIfTrue="1">
      <formula>TRIM(D2)="Provided"</formula>
    </cfRule>
  </conditionalFormatting>
  <dataValidations count="3">
    <dataValidation sqref="G2:G62 J2:J62 L2:L62 N2:N62 P2:P62 R2:R62 T2:T62 V2:V62 X2:X62 Z2:Z62 AB2:AB62 AD2:AD62" showDropDown="0" showInputMessage="0" showErrorMessage="1" allowBlank="1" error="Use A, B, UR, C or TBS" type="list">
      <formula1>Lists!$A$2:$A$6</formula1>
    </dataValidation>
    <dataValidation sqref="D2:D62" showDropDown="0" showInputMessage="0" showErrorMessage="0" allowBlank="1" type="list">
      <formula1>"Provided,Not Provided"</formula1>
    </dataValidation>
    <dataValidation sqref="E2:E62 H2:H62" showDropDown="0" showInputMessage="0" showErrorMessage="0" allowBlank="1" type="date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  <col width="14" customWidth="1" min="18" max="18"/>
    <col width="12" customWidth="1" min="19" max="19"/>
    <col width="14" customWidth="1" min="20" max="20"/>
    <col width="12" customWidth="1" min="21" max="21"/>
    <col width="14" customWidth="1" min="22" max="22"/>
    <col width="12" customWidth="1" min="23" max="23"/>
    <col width="14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4" customWidth="1" min="30" max="30"/>
    <col width="12" customWidth="1" min="31" max="31"/>
  </cols>
  <sheetData>
    <row r="1" ht="45" customHeight="1">
      <c r="A1" s="23" t="inlineStr">
        <is>
          <t>Tower</t>
        </is>
      </c>
      <c r="B1" s="23" t="inlineStr">
        <is>
          <t>Level</t>
        </is>
      </c>
      <c r="C1" s="23" t="inlineStr">
        <is>
          <t>Level Code</t>
        </is>
      </c>
      <c r="D1" s="24" t="inlineStr">
        <is>
          <t>Civil - Steel Doors - Material</t>
        </is>
      </c>
      <c r="E1" s="24" t="inlineStr">
        <is>
          <t>Civil - Steel Doors - Material Date</t>
        </is>
      </c>
      <c r="F1" s="24" t="inlineStr">
        <is>
          <t>Civil - Steel Doors - Shop Drawing</t>
        </is>
      </c>
      <c r="G1" s="24" t="inlineStr">
        <is>
          <t>Civil - Steel Doors - Shop Drawing Date</t>
        </is>
      </c>
      <c r="H1" s="24" t="inlineStr">
        <is>
          <t>Civil - Wooden Doors - Material</t>
        </is>
      </c>
      <c r="I1" s="24" t="inlineStr">
        <is>
          <t>Civil - Wooden Doors - Material Date</t>
        </is>
      </c>
      <c r="J1" s="24" t="inlineStr">
        <is>
          <t>Civil - Wooden Doors - Shop Drawing</t>
        </is>
      </c>
      <c r="K1" s="24" t="inlineStr">
        <is>
          <t>Civil - Wooden Doors - Shop Drawing Date</t>
        </is>
      </c>
      <c r="L1" s="24" t="inlineStr">
        <is>
          <t>Civil - Fire Sealant - Material</t>
        </is>
      </c>
      <c r="M1" s="24" t="inlineStr">
        <is>
          <t>Civil - Fire Sealant - Material Date</t>
        </is>
      </c>
      <c r="N1" s="24" t="inlineStr">
        <is>
          <t>Civil - Fire Sealant - Shop Drawing</t>
        </is>
      </c>
      <c r="O1" s="24" t="inlineStr">
        <is>
          <t>Civil - Fire Sealant - Shop Drawing Date</t>
        </is>
      </c>
      <c r="P1" s="24" t="inlineStr">
        <is>
          <t>Civil - Hardware - Material</t>
        </is>
      </c>
      <c r="Q1" s="24" t="inlineStr">
        <is>
          <t>Civil - Hardware - Material Date</t>
        </is>
      </c>
      <c r="R1" s="24" t="inlineStr">
        <is>
          <t>Civil - Hardware - Shop Drawing</t>
        </is>
      </c>
      <c r="S1" s="24" t="inlineStr">
        <is>
          <t>Civil - Hardware - Shop Drawing Date</t>
        </is>
      </c>
      <c r="T1" s="24" t="inlineStr">
        <is>
          <t>MEP - Fire Sealant - Material</t>
        </is>
      </c>
      <c r="U1" s="24" t="inlineStr">
        <is>
          <t>MEP - Fire Sealant - Material Date</t>
        </is>
      </c>
      <c r="V1" s="24" t="inlineStr">
        <is>
          <t>MEP - Fire Sealant - Shop Drawing</t>
        </is>
      </c>
      <c r="W1" s="24" t="inlineStr">
        <is>
          <t>MEP - Fire Sealant - Shop Drawing Date</t>
        </is>
      </c>
      <c r="X1" s="24" t="inlineStr">
        <is>
          <t>MEP - Fire Alarm - Material</t>
        </is>
      </c>
      <c r="Y1" s="24" t="inlineStr">
        <is>
          <t>MEP - Fire Alarm - Material Date</t>
        </is>
      </c>
      <c r="Z1" s="24" t="inlineStr">
        <is>
          <t>MEP - Fire Alarm - Shop Drawing</t>
        </is>
      </c>
      <c r="AA1" s="24" t="inlineStr">
        <is>
          <t>MEP - Fire Alarm - Shop Drawing Date</t>
        </is>
      </c>
      <c r="AB1" s="24" t="inlineStr">
        <is>
          <t>MEP - Fire Fighting - Material</t>
        </is>
      </c>
      <c r="AC1" s="24" t="inlineStr">
        <is>
          <t>MEP - Fire Fighting - Material Date</t>
        </is>
      </c>
      <c r="AD1" s="24" t="inlineStr">
        <is>
          <t>MEP - Fire Fighting - Shop Drawing</t>
        </is>
      </c>
      <c r="AE1" s="24" t="inlineStr">
        <is>
          <t>MEP - Fire Fighting - Shop Drawing Date</t>
        </is>
      </c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</row>
    <row r="2">
      <c r="A2" s="25" t="inlineStr">
        <is>
          <t>Tower A</t>
        </is>
      </c>
      <c r="B2" s="25" t="inlineStr">
        <is>
          <t>L02</t>
        </is>
      </c>
      <c r="C2" s="25" t="inlineStr">
        <is>
          <t>AL02</t>
        </is>
      </c>
      <c r="D2" s="29" t="n"/>
      <c r="E2" s="27" t="n"/>
      <c r="F2" s="29" t="n"/>
      <c r="G2" s="27" t="n"/>
      <c r="H2" s="29" t="n"/>
      <c r="I2" s="27" t="n"/>
      <c r="J2" s="29" t="n"/>
      <c r="K2" s="27" t="n"/>
      <c r="L2" s="29" t="n"/>
      <c r="M2" s="27" t="n"/>
      <c r="N2" s="29" t="n"/>
      <c r="O2" s="27" t="n"/>
      <c r="P2" s="29" t="n"/>
      <c r="Q2" s="27" t="n"/>
      <c r="R2" s="29" t="n"/>
      <c r="S2" s="27" t="n"/>
      <c r="T2" s="29" t="n"/>
      <c r="U2" s="27" t="n"/>
      <c r="V2" s="29" t="n"/>
      <c r="W2" s="27" t="n"/>
      <c r="X2" s="29" t="n"/>
      <c r="Y2" s="27" t="n"/>
      <c r="Z2" s="29" t="n"/>
      <c r="AA2" s="27" t="n"/>
      <c r="AB2" s="29" t="n"/>
      <c r="AC2" s="27" t="n"/>
      <c r="AD2" s="29" t="n"/>
      <c r="AE2" s="27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  <c r="AT2" s="10" t="n"/>
    </row>
    <row r="3">
      <c r="A3" s="25" t="inlineStr">
        <is>
          <t>Tower A</t>
        </is>
      </c>
      <c r="B3" s="25" t="inlineStr">
        <is>
          <t>L03</t>
        </is>
      </c>
      <c r="C3" s="25" t="inlineStr">
        <is>
          <t>AL03</t>
        </is>
      </c>
      <c r="D3" s="29" t="n"/>
      <c r="E3" s="27" t="n"/>
      <c r="F3" s="29" t="n"/>
      <c r="G3" s="27" t="n"/>
      <c r="H3" s="29" t="n"/>
      <c r="I3" s="27" t="n"/>
      <c r="J3" s="29" t="n"/>
      <c r="K3" s="27" t="n"/>
      <c r="L3" s="29" t="n"/>
      <c r="M3" s="27" t="n"/>
      <c r="N3" s="29" t="n"/>
      <c r="O3" s="27" t="n"/>
      <c r="P3" s="29" t="n"/>
      <c r="Q3" s="27" t="n"/>
      <c r="R3" s="29" t="n"/>
      <c r="S3" s="27" t="n"/>
      <c r="T3" s="29" t="n"/>
      <c r="U3" s="27" t="n"/>
      <c r="V3" s="29" t="n"/>
      <c r="W3" s="27" t="n"/>
      <c r="X3" s="29" t="n"/>
      <c r="Y3" s="27" t="n"/>
      <c r="Z3" s="29" t="n"/>
      <c r="AA3" s="27" t="n"/>
      <c r="AB3" s="29" t="n"/>
      <c r="AC3" s="27" t="n"/>
      <c r="AD3" s="29" t="n"/>
      <c r="AE3" s="27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  <c r="AT3" s="10" t="n"/>
    </row>
    <row r="4">
      <c r="A4" s="25" t="inlineStr">
        <is>
          <t>Tower A</t>
        </is>
      </c>
      <c r="B4" s="25" t="inlineStr">
        <is>
          <t>L04</t>
        </is>
      </c>
      <c r="C4" s="25" t="inlineStr">
        <is>
          <t>AL04</t>
        </is>
      </c>
      <c r="D4" s="29" t="n"/>
      <c r="E4" s="27" t="n"/>
      <c r="F4" s="29" t="n"/>
      <c r="G4" s="27" t="n"/>
      <c r="H4" s="29" t="n"/>
      <c r="I4" s="27" t="n"/>
      <c r="J4" s="29" t="n"/>
      <c r="K4" s="27" t="n"/>
      <c r="L4" s="29" t="n"/>
      <c r="M4" s="27" t="n"/>
      <c r="N4" s="29" t="n"/>
      <c r="O4" s="27" t="n"/>
      <c r="P4" s="29" t="n"/>
      <c r="Q4" s="27" t="n"/>
      <c r="R4" s="29" t="n"/>
      <c r="S4" s="27" t="n"/>
      <c r="T4" s="29" t="n"/>
      <c r="U4" s="27" t="n"/>
      <c r="V4" s="29" t="n"/>
      <c r="W4" s="27" t="n"/>
      <c r="X4" s="29" t="n"/>
      <c r="Y4" s="27" t="n"/>
      <c r="Z4" s="29" t="n"/>
      <c r="AA4" s="27" t="n"/>
      <c r="AB4" s="29" t="n"/>
      <c r="AC4" s="27" t="n"/>
      <c r="AD4" s="29" t="n"/>
      <c r="AE4" s="27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</row>
    <row r="5">
      <c r="A5" s="25" t="inlineStr">
        <is>
          <t>Tower A</t>
        </is>
      </c>
      <c r="B5" s="25" t="inlineStr">
        <is>
          <t>L05</t>
        </is>
      </c>
      <c r="C5" s="25" t="inlineStr">
        <is>
          <t>AL05</t>
        </is>
      </c>
      <c r="D5" s="29" t="n"/>
      <c r="E5" s="27" t="n"/>
      <c r="F5" s="29" t="n"/>
      <c r="G5" s="27" t="n"/>
      <c r="H5" s="29" t="n"/>
      <c r="I5" s="27" t="n"/>
      <c r="J5" s="29" t="n"/>
      <c r="K5" s="27" t="n"/>
      <c r="L5" s="29" t="n"/>
      <c r="M5" s="27" t="n"/>
      <c r="N5" s="29" t="n"/>
      <c r="O5" s="27" t="n"/>
      <c r="P5" s="29" t="n"/>
      <c r="Q5" s="27" t="n"/>
      <c r="R5" s="29" t="n"/>
      <c r="S5" s="27" t="n"/>
      <c r="T5" s="29" t="n"/>
      <c r="U5" s="27" t="n"/>
      <c r="V5" s="29" t="n"/>
      <c r="W5" s="27" t="n"/>
      <c r="X5" s="29" t="n"/>
      <c r="Y5" s="27" t="n"/>
      <c r="Z5" s="29" t="n"/>
      <c r="AA5" s="27" t="n"/>
      <c r="AB5" s="29" t="n"/>
      <c r="AC5" s="27" t="n"/>
      <c r="AD5" s="29" t="n"/>
      <c r="AE5" s="27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0" t="n"/>
    </row>
    <row r="6">
      <c r="A6" s="25" t="inlineStr">
        <is>
          <t>Tower A</t>
        </is>
      </c>
      <c r="B6" s="25" t="inlineStr">
        <is>
          <t>L06</t>
        </is>
      </c>
      <c r="C6" s="25" t="inlineStr">
        <is>
          <t>AL06</t>
        </is>
      </c>
      <c r="D6" s="29" t="n"/>
      <c r="E6" s="27" t="n"/>
      <c r="F6" s="29" t="n"/>
      <c r="G6" s="27" t="n"/>
      <c r="H6" s="29" t="n"/>
      <c r="I6" s="27" t="n"/>
      <c r="J6" s="29" t="n"/>
      <c r="K6" s="27" t="n"/>
      <c r="L6" s="29" t="n"/>
      <c r="M6" s="27" t="n"/>
      <c r="N6" s="29" t="n"/>
      <c r="O6" s="27" t="n"/>
      <c r="P6" s="29" t="n"/>
      <c r="Q6" s="27" t="n"/>
      <c r="R6" s="29" t="n"/>
      <c r="S6" s="27" t="n"/>
      <c r="T6" s="29" t="n"/>
      <c r="U6" s="27" t="n"/>
      <c r="V6" s="29" t="n"/>
      <c r="W6" s="27" t="n"/>
      <c r="X6" s="29" t="n"/>
      <c r="Y6" s="27" t="n"/>
      <c r="Z6" s="29" t="n"/>
      <c r="AA6" s="27" t="n"/>
      <c r="AB6" s="29" t="n"/>
      <c r="AC6" s="27" t="n"/>
      <c r="AD6" s="29" t="n"/>
      <c r="AE6" s="27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</row>
    <row r="7">
      <c r="A7" s="25" t="inlineStr">
        <is>
          <t>Tower A</t>
        </is>
      </c>
      <c r="B7" s="25" t="inlineStr">
        <is>
          <t>L07</t>
        </is>
      </c>
      <c r="C7" s="25" t="inlineStr">
        <is>
          <t>AL07</t>
        </is>
      </c>
      <c r="D7" s="29" t="n"/>
      <c r="E7" s="27" t="n"/>
      <c r="F7" s="29" t="n"/>
      <c r="G7" s="27" t="n"/>
      <c r="H7" s="29" t="n"/>
      <c r="I7" s="27" t="n"/>
      <c r="J7" s="29" t="n"/>
      <c r="K7" s="27" t="n"/>
      <c r="L7" s="29" t="n"/>
      <c r="M7" s="27" t="n"/>
      <c r="N7" s="29" t="n"/>
      <c r="O7" s="27" t="n"/>
      <c r="P7" s="29" t="n"/>
      <c r="Q7" s="27" t="n"/>
      <c r="R7" s="29" t="n"/>
      <c r="S7" s="27" t="n"/>
      <c r="T7" s="29" t="n"/>
      <c r="U7" s="27" t="n"/>
      <c r="V7" s="29" t="n"/>
      <c r="W7" s="27" t="n"/>
      <c r="X7" s="29" t="n"/>
      <c r="Y7" s="27" t="n"/>
      <c r="Z7" s="29" t="n"/>
      <c r="AA7" s="27" t="n"/>
      <c r="AB7" s="29" t="n"/>
      <c r="AC7" s="27" t="n"/>
      <c r="AD7" s="29" t="n"/>
      <c r="AE7" s="27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0" t="n"/>
    </row>
    <row r="8">
      <c r="A8" s="25" t="inlineStr">
        <is>
          <t>Tower A</t>
        </is>
      </c>
      <c r="B8" s="25" t="inlineStr">
        <is>
          <t>L08</t>
        </is>
      </c>
      <c r="C8" s="25" t="inlineStr">
        <is>
          <t>AL08</t>
        </is>
      </c>
      <c r="D8" s="29" t="n"/>
      <c r="E8" s="27" t="n"/>
      <c r="F8" s="29" t="n"/>
      <c r="G8" s="27" t="n"/>
      <c r="H8" s="29" t="n"/>
      <c r="I8" s="27" t="n"/>
      <c r="J8" s="29" t="n"/>
      <c r="K8" s="27" t="n"/>
      <c r="L8" s="29" t="n"/>
      <c r="M8" s="27" t="n"/>
      <c r="N8" s="29" t="n"/>
      <c r="O8" s="27" t="n"/>
      <c r="P8" s="29" t="n"/>
      <c r="Q8" s="27" t="n"/>
      <c r="R8" s="29" t="n"/>
      <c r="S8" s="27" t="n"/>
      <c r="T8" s="29" t="n"/>
      <c r="U8" s="27" t="n"/>
      <c r="V8" s="29" t="n"/>
      <c r="W8" s="27" t="n"/>
      <c r="X8" s="29" t="n"/>
      <c r="Y8" s="27" t="n"/>
      <c r="Z8" s="29" t="n"/>
      <c r="AA8" s="27" t="n"/>
      <c r="AB8" s="29" t="n"/>
      <c r="AC8" s="27" t="n"/>
      <c r="AD8" s="29" t="n"/>
      <c r="AE8" s="27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</row>
    <row r="9">
      <c r="A9" s="25" t="inlineStr">
        <is>
          <t>Tower A</t>
        </is>
      </c>
      <c r="B9" s="25" t="inlineStr">
        <is>
          <t>L09</t>
        </is>
      </c>
      <c r="C9" s="25" t="inlineStr">
        <is>
          <t>AL09</t>
        </is>
      </c>
      <c r="D9" s="29" t="n"/>
      <c r="E9" s="27" t="n"/>
      <c r="F9" s="29" t="n"/>
      <c r="G9" s="27" t="n"/>
      <c r="H9" s="29" t="n"/>
      <c r="I9" s="27" t="n"/>
      <c r="J9" s="29" t="n"/>
      <c r="K9" s="27" t="n"/>
      <c r="L9" s="29" t="n"/>
      <c r="M9" s="27" t="n"/>
      <c r="N9" s="29" t="n"/>
      <c r="O9" s="27" t="n"/>
      <c r="P9" s="29" t="n"/>
      <c r="Q9" s="27" t="n"/>
      <c r="R9" s="29" t="n"/>
      <c r="S9" s="27" t="n"/>
      <c r="T9" s="29" t="n"/>
      <c r="U9" s="27" t="n"/>
      <c r="V9" s="29" t="n"/>
      <c r="W9" s="27" t="n"/>
      <c r="X9" s="29" t="n"/>
      <c r="Y9" s="27" t="n"/>
      <c r="Z9" s="29" t="n"/>
      <c r="AA9" s="27" t="n"/>
      <c r="AB9" s="29" t="n"/>
      <c r="AC9" s="27" t="n"/>
      <c r="AD9" s="29" t="n"/>
      <c r="AE9" s="27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0" t="n"/>
    </row>
    <row r="10">
      <c r="A10" s="25" t="inlineStr">
        <is>
          <t>Tower B</t>
        </is>
      </c>
      <c r="B10" s="25" t="inlineStr">
        <is>
          <t>L01</t>
        </is>
      </c>
      <c r="C10" s="25" t="inlineStr">
        <is>
          <t>BL01</t>
        </is>
      </c>
      <c r="D10" s="29" t="n"/>
      <c r="E10" s="27" t="n"/>
      <c r="F10" s="29" t="n"/>
      <c r="G10" s="27" t="n"/>
      <c r="H10" s="29" t="n"/>
      <c r="I10" s="27" t="n"/>
      <c r="J10" s="29" t="n"/>
      <c r="K10" s="27" t="n"/>
      <c r="L10" s="29" t="n"/>
      <c r="M10" s="27" t="n"/>
      <c r="N10" s="29" t="n"/>
      <c r="O10" s="27" t="n"/>
      <c r="P10" s="29" t="n"/>
      <c r="Q10" s="27" t="n"/>
      <c r="R10" s="29" t="n"/>
      <c r="S10" s="27" t="n"/>
      <c r="T10" s="29" t="n"/>
      <c r="U10" s="27" t="n"/>
      <c r="V10" s="29" t="n"/>
      <c r="W10" s="27" t="n"/>
      <c r="X10" s="29" t="n"/>
      <c r="Y10" s="27" t="n"/>
      <c r="Z10" s="29" t="n"/>
      <c r="AA10" s="27" t="n"/>
      <c r="AB10" s="29" t="n"/>
      <c r="AC10" s="27" t="n"/>
      <c r="AD10" s="29" t="n"/>
      <c r="AE10" s="27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</row>
    <row r="11">
      <c r="A11" s="25" t="inlineStr">
        <is>
          <t>Tower B</t>
        </is>
      </c>
      <c r="B11" s="25" t="inlineStr">
        <is>
          <t>L02</t>
        </is>
      </c>
      <c r="C11" s="25" t="inlineStr">
        <is>
          <t>BL02</t>
        </is>
      </c>
      <c r="D11" s="29" t="n"/>
      <c r="E11" s="27" t="n"/>
      <c r="F11" s="29" t="n"/>
      <c r="G11" s="27" t="n"/>
      <c r="H11" s="29" t="n"/>
      <c r="I11" s="27" t="n"/>
      <c r="J11" s="29" t="n"/>
      <c r="K11" s="27" t="n"/>
      <c r="L11" s="29" t="n"/>
      <c r="M11" s="27" t="n"/>
      <c r="N11" s="29" t="n"/>
      <c r="O11" s="27" t="n"/>
      <c r="P11" s="29" t="n"/>
      <c r="Q11" s="27" t="n"/>
      <c r="R11" s="29" t="n"/>
      <c r="S11" s="27" t="n"/>
      <c r="T11" s="29" t="n"/>
      <c r="U11" s="27" t="n"/>
      <c r="V11" s="29" t="n"/>
      <c r="W11" s="27" t="n"/>
      <c r="X11" s="29" t="n"/>
      <c r="Y11" s="27" t="n"/>
      <c r="Z11" s="29" t="n"/>
      <c r="AA11" s="27" t="n"/>
      <c r="AB11" s="29" t="n"/>
      <c r="AC11" s="27" t="n"/>
      <c r="AD11" s="29" t="n"/>
      <c r="AE11" s="27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</row>
    <row r="12">
      <c r="A12" s="25" t="inlineStr">
        <is>
          <t>Tower B</t>
        </is>
      </c>
      <c r="B12" s="25" t="inlineStr">
        <is>
          <t>L03</t>
        </is>
      </c>
      <c r="C12" s="25" t="inlineStr">
        <is>
          <t>BL03</t>
        </is>
      </c>
      <c r="D12" s="29" t="n"/>
      <c r="E12" s="27" t="n"/>
      <c r="F12" s="29" t="n"/>
      <c r="G12" s="27" t="n"/>
      <c r="H12" s="29" t="n"/>
      <c r="I12" s="27" t="n"/>
      <c r="J12" s="29" t="n"/>
      <c r="K12" s="27" t="n"/>
      <c r="L12" s="29" t="n"/>
      <c r="M12" s="27" t="n"/>
      <c r="N12" s="29" t="n"/>
      <c r="O12" s="27" t="n"/>
      <c r="P12" s="29" t="n"/>
      <c r="Q12" s="27" t="n"/>
      <c r="R12" s="29" t="n"/>
      <c r="S12" s="27" t="n"/>
      <c r="T12" s="29" t="n"/>
      <c r="U12" s="27" t="n"/>
      <c r="V12" s="29" t="n"/>
      <c r="W12" s="27" t="n"/>
      <c r="X12" s="29" t="n"/>
      <c r="Y12" s="27" t="n"/>
      <c r="Z12" s="29" t="n"/>
      <c r="AA12" s="27" t="n"/>
      <c r="AB12" s="29" t="n"/>
      <c r="AC12" s="27" t="n"/>
      <c r="AD12" s="29" t="n"/>
      <c r="AE12" s="27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</row>
    <row r="13">
      <c r="A13" s="25" t="inlineStr">
        <is>
          <t>Tower B</t>
        </is>
      </c>
      <c r="B13" s="25" t="inlineStr">
        <is>
          <t>L04</t>
        </is>
      </c>
      <c r="C13" s="25" t="inlineStr">
        <is>
          <t>BL04</t>
        </is>
      </c>
      <c r="D13" s="29" t="n"/>
      <c r="E13" s="27" t="n"/>
      <c r="F13" s="29" t="n"/>
      <c r="G13" s="27" t="n"/>
      <c r="H13" s="29" t="n"/>
      <c r="I13" s="27" t="n"/>
      <c r="J13" s="29" t="n"/>
      <c r="K13" s="27" t="n"/>
      <c r="L13" s="29" t="n"/>
      <c r="M13" s="27" t="n"/>
      <c r="N13" s="29" t="n"/>
      <c r="O13" s="27" t="n"/>
      <c r="P13" s="29" t="n"/>
      <c r="Q13" s="27" t="n"/>
      <c r="R13" s="29" t="n"/>
      <c r="S13" s="27" t="n"/>
      <c r="T13" s="29" t="n"/>
      <c r="U13" s="27" t="n"/>
      <c r="V13" s="29" t="n"/>
      <c r="W13" s="27" t="n"/>
      <c r="X13" s="29" t="n"/>
      <c r="Y13" s="27" t="n"/>
      <c r="Z13" s="29" t="n"/>
      <c r="AA13" s="27" t="n"/>
      <c r="AB13" s="29" t="n"/>
      <c r="AC13" s="27" t="n"/>
      <c r="AD13" s="29" t="n"/>
      <c r="AE13" s="27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</row>
    <row r="14">
      <c r="A14" s="25" t="inlineStr">
        <is>
          <t>Tower B</t>
        </is>
      </c>
      <c r="B14" s="25" t="inlineStr">
        <is>
          <t>L05</t>
        </is>
      </c>
      <c r="C14" s="25" t="inlineStr">
        <is>
          <t>BL05</t>
        </is>
      </c>
      <c r="D14" s="29" t="n"/>
      <c r="E14" s="27" t="n"/>
      <c r="F14" s="29" t="n"/>
      <c r="G14" s="27" t="n"/>
      <c r="H14" s="29" t="n"/>
      <c r="I14" s="27" t="n"/>
      <c r="J14" s="29" t="n"/>
      <c r="K14" s="27" t="n"/>
      <c r="L14" s="29" t="n"/>
      <c r="M14" s="27" t="n"/>
      <c r="N14" s="29" t="n"/>
      <c r="O14" s="27" t="n"/>
      <c r="P14" s="29" t="n"/>
      <c r="Q14" s="27" t="n"/>
      <c r="R14" s="29" t="n"/>
      <c r="S14" s="27" t="n"/>
      <c r="T14" s="29" t="n"/>
      <c r="U14" s="27" t="n"/>
      <c r="V14" s="29" t="n"/>
      <c r="W14" s="27" t="n"/>
      <c r="X14" s="29" t="n"/>
      <c r="Y14" s="27" t="n"/>
      <c r="Z14" s="29" t="n"/>
      <c r="AA14" s="27" t="n"/>
      <c r="AB14" s="29" t="n"/>
      <c r="AC14" s="27" t="n"/>
      <c r="AD14" s="29" t="n"/>
      <c r="AE14" s="27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</row>
    <row r="15">
      <c r="A15" s="25" t="inlineStr">
        <is>
          <t>Tower B</t>
        </is>
      </c>
      <c r="B15" s="25" t="inlineStr">
        <is>
          <t>L06</t>
        </is>
      </c>
      <c r="C15" s="25" t="inlineStr">
        <is>
          <t>BL06</t>
        </is>
      </c>
      <c r="D15" s="29" t="n"/>
      <c r="E15" s="27" t="n"/>
      <c r="F15" s="29" t="n"/>
      <c r="G15" s="27" t="n"/>
      <c r="H15" s="29" t="n"/>
      <c r="I15" s="27" t="n"/>
      <c r="J15" s="29" t="n"/>
      <c r="K15" s="27" t="n"/>
      <c r="L15" s="29" t="n"/>
      <c r="M15" s="27" t="n"/>
      <c r="N15" s="29" t="n"/>
      <c r="O15" s="27" t="n"/>
      <c r="P15" s="29" t="n"/>
      <c r="Q15" s="27" t="n"/>
      <c r="R15" s="29" t="n"/>
      <c r="S15" s="27" t="n"/>
      <c r="T15" s="29" t="n"/>
      <c r="U15" s="27" t="n"/>
      <c r="V15" s="29" t="n"/>
      <c r="W15" s="27" t="n"/>
      <c r="X15" s="29" t="n"/>
      <c r="Y15" s="27" t="n"/>
      <c r="Z15" s="29" t="n"/>
      <c r="AA15" s="27" t="n"/>
      <c r="AB15" s="29" t="n"/>
      <c r="AC15" s="27" t="n"/>
      <c r="AD15" s="29" t="n"/>
      <c r="AE15" s="27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0" t="n"/>
    </row>
    <row r="16">
      <c r="A16" s="25" t="inlineStr">
        <is>
          <t>Tower B</t>
        </is>
      </c>
      <c r="B16" s="25" t="inlineStr">
        <is>
          <t>L07</t>
        </is>
      </c>
      <c r="C16" s="25" t="inlineStr">
        <is>
          <t>BL07</t>
        </is>
      </c>
      <c r="D16" s="29" t="n"/>
      <c r="E16" s="27" t="n"/>
      <c r="F16" s="29" t="n"/>
      <c r="G16" s="27" t="n"/>
      <c r="H16" s="29" t="n"/>
      <c r="I16" s="27" t="n"/>
      <c r="J16" s="29" t="n"/>
      <c r="K16" s="27" t="n"/>
      <c r="L16" s="29" t="n"/>
      <c r="M16" s="27" t="n"/>
      <c r="N16" s="29" t="n"/>
      <c r="O16" s="27" t="n"/>
      <c r="P16" s="29" t="n"/>
      <c r="Q16" s="27" t="n"/>
      <c r="R16" s="29" t="n"/>
      <c r="S16" s="27" t="n"/>
      <c r="T16" s="29" t="n"/>
      <c r="U16" s="27" t="n"/>
      <c r="V16" s="29" t="n"/>
      <c r="W16" s="27" t="n"/>
      <c r="X16" s="29" t="n"/>
      <c r="Y16" s="27" t="n"/>
      <c r="Z16" s="29" t="n"/>
      <c r="AA16" s="27" t="n"/>
      <c r="AB16" s="29" t="n"/>
      <c r="AC16" s="27" t="n"/>
      <c r="AD16" s="29" t="n"/>
      <c r="AE16" s="27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</row>
    <row r="17">
      <c r="A17" s="25" t="inlineStr">
        <is>
          <t>Tower B</t>
        </is>
      </c>
      <c r="B17" s="25" t="inlineStr">
        <is>
          <t>L08</t>
        </is>
      </c>
      <c r="C17" s="25" t="inlineStr">
        <is>
          <t>BL08</t>
        </is>
      </c>
      <c r="D17" s="29" t="n"/>
      <c r="E17" s="27" t="n"/>
      <c r="F17" s="29" t="n"/>
      <c r="G17" s="27" t="n"/>
      <c r="H17" s="29" t="n"/>
      <c r="I17" s="27" t="n"/>
      <c r="J17" s="29" t="n"/>
      <c r="K17" s="27" t="n"/>
      <c r="L17" s="29" t="n"/>
      <c r="M17" s="27" t="n"/>
      <c r="N17" s="29" t="n"/>
      <c r="O17" s="27" t="n"/>
      <c r="P17" s="29" t="n"/>
      <c r="Q17" s="27" t="n"/>
      <c r="R17" s="29" t="n"/>
      <c r="S17" s="27" t="n"/>
      <c r="T17" s="29" t="n"/>
      <c r="U17" s="27" t="n"/>
      <c r="V17" s="29" t="n"/>
      <c r="W17" s="27" t="n"/>
      <c r="X17" s="29" t="n"/>
      <c r="Y17" s="27" t="n"/>
      <c r="Z17" s="29" t="n"/>
      <c r="AA17" s="27" t="n"/>
      <c r="AB17" s="29" t="n"/>
      <c r="AC17" s="27" t="n"/>
      <c r="AD17" s="29" t="n"/>
      <c r="AE17" s="27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</row>
    <row r="18">
      <c r="A18" s="25" t="inlineStr">
        <is>
          <t>Tower B</t>
        </is>
      </c>
      <c r="B18" s="25" t="inlineStr">
        <is>
          <t>L09</t>
        </is>
      </c>
      <c r="C18" s="25" t="inlineStr">
        <is>
          <t>BL09</t>
        </is>
      </c>
      <c r="D18" s="29" t="n"/>
      <c r="E18" s="27" t="n"/>
      <c r="F18" s="29" t="n"/>
      <c r="G18" s="27" t="n"/>
      <c r="H18" s="29" t="n"/>
      <c r="I18" s="27" t="n"/>
      <c r="J18" s="29" t="n"/>
      <c r="K18" s="27" t="n"/>
      <c r="L18" s="29" t="n"/>
      <c r="M18" s="27" t="n"/>
      <c r="N18" s="29" t="n"/>
      <c r="O18" s="27" t="n"/>
      <c r="P18" s="29" t="n"/>
      <c r="Q18" s="27" t="n"/>
      <c r="R18" s="29" t="n"/>
      <c r="S18" s="27" t="n"/>
      <c r="T18" s="29" t="n"/>
      <c r="U18" s="27" t="n"/>
      <c r="V18" s="29" t="n"/>
      <c r="W18" s="27" t="n"/>
      <c r="X18" s="29" t="n"/>
      <c r="Y18" s="27" t="n"/>
      <c r="Z18" s="29" t="n"/>
      <c r="AA18" s="27" t="n"/>
      <c r="AB18" s="29" t="n"/>
      <c r="AC18" s="27" t="n"/>
      <c r="AD18" s="29" t="n"/>
      <c r="AE18" s="27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D2:D18">
    <cfRule type="expression" priority="1" dxfId="5" stopIfTrue="1">
      <formula>TRIM(UPPER(D2))="A"</formula>
    </cfRule>
    <cfRule type="expression" priority="2" dxfId="5" stopIfTrue="1">
      <formula>TRIM(UPPER(D2))="B"</formula>
    </cfRule>
    <cfRule type="expression" priority="3" dxfId="3" stopIfTrue="1">
      <formula>TRIM(UPPER(D2))="UR"</formula>
    </cfRule>
    <cfRule type="expression" priority="4" dxfId="2" stopIfTrue="1">
      <formula>TRIM(UPPER(D2))="C"</formula>
    </cfRule>
    <cfRule type="expression" priority="5" dxfId="1" stopIfTrue="1">
      <formula>TRIM(UPPER(D2))="TBS"</formula>
    </cfRule>
  </conditionalFormatting>
  <conditionalFormatting sqref="F2:F18">
    <cfRule type="expression" priority="6" dxfId="5" stopIfTrue="1">
      <formula>TRIM(UPPER(F2))="A"</formula>
    </cfRule>
    <cfRule type="expression" priority="7" dxfId="5" stopIfTrue="1">
      <formula>TRIM(UPPER(F2))="B"</formula>
    </cfRule>
    <cfRule type="expression" priority="8" dxfId="3" stopIfTrue="1">
      <formula>TRIM(UPPER(F2))="UR"</formula>
    </cfRule>
    <cfRule type="expression" priority="9" dxfId="2" stopIfTrue="1">
      <formula>TRIM(UPPER(F2))="C"</formula>
    </cfRule>
    <cfRule type="expression" priority="10" dxfId="1" stopIfTrue="1">
      <formula>TRIM(UPPER(F2))="TBS"</formula>
    </cfRule>
  </conditionalFormatting>
  <conditionalFormatting sqref="H2:H18">
    <cfRule type="expression" priority="11" dxfId="5" stopIfTrue="1">
      <formula>TRIM(UPPER(H2))="A"</formula>
    </cfRule>
    <cfRule type="expression" priority="12" dxfId="5" stopIfTrue="1">
      <formula>TRIM(UPPER(H2))="B"</formula>
    </cfRule>
    <cfRule type="expression" priority="13" dxfId="3" stopIfTrue="1">
      <formula>TRIM(UPPER(H2))="UR"</formula>
    </cfRule>
    <cfRule type="expression" priority="14" dxfId="2" stopIfTrue="1">
      <formula>TRIM(UPPER(H2))="C"</formula>
    </cfRule>
    <cfRule type="expression" priority="15" dxfId="1" stopIfTrue="1">
      <formula>TRIM(UPPER(H2))="TBS"</formula>
    </cfRule>
  </conditionalFormatting>
  <conditionalFormatting sqref="J2:J18">
    <cfRule type="expression" priority="16" dxfId="5" stopIfTrue="1">
      <formula>TRIM(UPPER(J2))="A"</formula>
    </cfRule>
    <cfRule type="expression" priority="17" dxfId="5" stopIfTrue="1">
      <formula>TRIM(UPPER(J2))="B"</formula>
    </cfRule>
    <cfRule type="expression" priority="18" dxfId="3" stopIfTrue="1">
      <formula>TRIM(UPPER(J2))="UR"</formula>
    </cfRule>
    <cfRule type="expression" priority="19" dxfId="2" stopIfTrue="1">
      <formula>TRIM(UPPER(J2))="C"</formula>
    </cfRule>
    <cfRule type="expression" priority="20" dxfId="1" stopIfTrue="1">
      <formula>TRIM(UPPER(J2))="TBS"</formula>
    </cfRule>
  </conditionalFormatting>
  <conditionalFormatting sqref="L2:L18">
    <cfRule type="expression" priority="21" dxfId="5" stopIfTrue="1">
      <formula>TRIM(UPPER(L2))="A"</formula>
    </cfRule>
    <cfRule type="expression" priority="22" dxfId="5" stopIfTrue="1">
      <formula>TRIM(UPPER(L2))="B"</formula>
    </cfRule>
    <cfRule type="expression" priority="23" dxfId="3" stopIfTrue="1">
      <formula>TRIM(UPPER(L2))="UR"</formula>
    </cfRule>
    <cfRule type="expression" priority="24" dxfId="2" stopIfTrue="1">
      <formula>TRIM(UPPER(L2))="C"</formula>
    </cfRule>
    <cfRule type="expression" priority="25" dxfId="1" stopIfTrue="1">
      <formula>TRIM(UPPER(L2))="TBS"</formula>
    </cfRule>
  </conditionalFormatting>
  <conditionalFormatting sqref="N2:N18">
    <cfRule type="expression" priority="26" dxfId="5" stopIfTrue="1">
      <formula>TRIM(UPPER(N2))="A"</formula>
    </cfRule>
    <cfRule type="expression" priority="27" dxfId="5" stopIfTrue="1">
      <formula>TRIM(UPPER(N2))="B"</formula>
    </cfRule>
    <cfRule type="expression" priority="28" dxfId="3" stopIfTrue="1">
      <formula>TRIM(UPPER(N2))="UR"</formula>
    </cfRule>
    <cfRule type="expression" priority="29" dxfId="2" stopIfTrue="1">
      <formula>TRIM(UPPER(N2))="C"</formula>
    </cfRule>
    <cfRule type="expression" priority="30" dxfId="1" stopIfTrue="1">
      <formula>TRIM(UPPER(N2))="TBS"</formula>
    </cfRule>
  </conditionalFormatting>
  <conditionalFormatting sqref="P2:P18">
    <cfRule type="expression" priority="31" dxfId="5" stopIfTrue="1">
      <formula>TRIM(UPPER(P2))="A"</formula>
    </cfRule>
    <cfRule type="expression" priority="32" dxfId="5" stopIfTrue="1">
      <formula>TRIM(UPPER(P2))="B"</formula>
    </cfRule>
    <cfRule type="expression" priority="33" dxfId="3" stopIfTrue="1">
      <formula>TRIM(UPPER(P2))="UR"</formula>
    </cfRule>
    <cfRule type="expression" priority="34" dxfId="2" stopIfTrue="1">
      <formula>TRIM(UPPER(P2))="C"</formula>
    </cfRule>
    <cfRule type="expression" priority="35" dxfId="1" stopIfTrue="1">
      <formula>TRIM(UPPER(P2))="TBS"</formula>
    </cfRule>
  </conditionalFormatting>
  <conditionalFormatting sqref="R2:R18">
    <cfRule type="expression" priority="36" dxfId="5" stopIfTrue="1">
      <formula>TRIM(UPPER(R2))="A"</formula>
    </cfRule>
    <cfRule type="expression" priority="37" dxfId="5" stopIfTrue="1">
      <formula>TRIM(UPPER(R2))="B"</formula>
    </cfRule>
    <cfRule type="expression" priority="38" dxfId="3" stopIfTrue="1">
      <formula>TRIM(UPPER(R2))="UR"</formula>
    </cfRule>
    <cfRule type="expression" priority="39" dxfId="2" stopIfTrue="1">
      <formula>TRIM(UPPER(R2))="C"</formula>
    </cfRule>
    <cfRule type="expression" priority="40" dxfId="1" stopIfTrue="1">
      <formula>TRIM(UPPER(R2))="TBS"</formula>
    </cfRule>
  </conditionalFormatting>
  <conditionalFormatting sqref="T2:T18">
    <cfRule type="expression" priority="41" dxfId="5" stopIfTrue="1">
      <formula>TRIM(UPPER(T2))="A"</formula>
    </cfRule>
    <cfRule type="expression" priority="42" dxfId="5" stopIfTrue="1">
      <formula>TRIM(UPPER(T2))="B"</formula>
    </cfRule>
    <cfRule type="expression" priority="43" dxfId="3" stopIfTrue="1">
      <formula>TRIM(UPPER(T2))="UR"</formula>
    </cfRule>
    <cfRule type="expression" priority="44" dxfId="2" stopIfTrue="1">
      <formula>TRIM(UPPER(T2))="C"</formula>
    </cfRule>
    <cfRule type="expression" priority="45" dxfId="1" stopIfTrue="1">
      <formula>TRIM(UPPER(T2))="TBS"</formula>
    </cfRule>
  </conditionalFormatting>
  <conditionalFormatting sqref="V2:V18">
    <cfRule type="expression" priority="46" dxfId="5" stopIfTrue="1">
      <formula>TRIM(UPPER(V2))="A"</formula>
    </cfRule>
    <cfRule type="expression" priority="47" dxfId="5" stopIfTrue="1">
      <formula>TRIM(UPPER(V2))="B"</formula>
    </cfRule>
    <cfRule type="expression" priority="48" dxfId="3" stopIfTrue="1">
      <formula>TRIM(UPPER(V2))="UR"</formula>
    </cfRule>
    <cfRule type="expression" priority="49" dxfId="2" stopIfTrue="1">
      <formula>TRIM(UPPER(V2))="C"</formula>
    </cfRule>
    <cfRule type="expression" priority="50" dxfId="1" stopIfTrue="1">
      <formula>TRIM(UPPER(V2))="TBS"</formula>
    </cfRule>
  </conditionalFormatting>
  <conditionalFormatting sqref="X2:X18">
    <cfRule type="expression" priority="51" dxfId="5" stopIfTrue="1">
      <formula>TRIM(UPPER(X2))="A"</formula>
    </cfRule>
    <cfRule type="expression" priority="52" dxfId="5" stopIfTrue="1">
      <formula>TRIM(UPPER(X2))="B"</formula>
    </cfRule>
    <cfRule type="expression" priority="53" dxfId="3" stopIfTrue="1">
      <formula>TRIM(UPPER(X2))="UR"</formula>
    </cfRule>
    <cfRule type="expression" priority="54" dxfId="2" stopIfTrue="1">
      <formula>TRIM(UPPER(X2))="C"</formula>
    </cfRule>
    <cfRule type="expression" priority="55" dxfId="1" stopIfTrue="1">
      <formula>TRIM(UPPER(X2))="TBS"</formula>
    </cfRule>
  </conditionalFormatting>
  <conditionalFormatting sqref="Z2:Z18">
    <cfRule type="expression" priority="56" dxfId="5" stopIfTrue="1">
      <formula>TRIM(UPPER(Z2))="A"</formula>
    </cfRule>
    <cfRule type="expression" priority="57" dxfId="5" stopIfTrue="1">
      <formula>TRIM(UPPER(Z2))="B"</formula>
    </cfRule>
    <cfRule type="expression" priority="58" dxfId="3" stopIfTrue="1">
      <formula>TRIM(UPPER(Z2))="UR"</formula>
    </cfRule>
    <cfRule type="expression" priority="59" dxfId="2" stopIfTrue="1">
      <formula>TRIM(UPPER(Z2))="C"</formula>
    </cfRule>
    <cfRule type="expression" priority="60" dxfId="1" stopIfTrue="1">
      <formula>TRIM(UPPER(Z2))="TBS"</formula>
    </cfRule>
  </conditionalFormatting>
  <conditionalFormatting sqref="AB2:AB18">
    <cfRule type="expression" priority="61" dxfId="5" stopIfTrue="1">
      <formula>TRIM(UPPER(AB2))="A"</formula>
    </cfRule>
    <cfRule type="expression" priority="62" dxfId="5" stopIfTrue="1">
      <formula>TRIM(UPPER(AB2))="B"</formula>
    </cfRule>
    <cfRule type="expression" priority="63" dxfId="3" stopIfTrue="1">
      <formula>TRIM(UPPER(AB2))="UR"</formula>
    </cfRule>
    <cfRule type="expression" priority="64" dxfId="2" stopIfTrue="1">
      <formula>TRIM(UPPER(AB2))="C"</formula>
    </cfRule>
    <cfRule type="expression" priority="65" dxfId="1" stopIfTrue="1">
      <formula>TRIM(UPPER(AB2))="TBS"</formula>
    </cfRule>
  </conditionalFormatting>
  <conditionalFormatting sqref="AD2:AD18">
    <cfRule type="expression" priority="66" dxfId="5" stopIfTrue="1">
      <formula>TRIM(UPPER(AD2))="A"</formula>
    </cfRule>
    <cfRule type="expression" priority="67" dxfId="5" stopIfTrue="1">
      <formula>TRIM(UPPER(AD2))="B"</formula>
    </cfRule>
    <cfRule type="expression" priority="68" dxfId="3" stopIfTrue="1">
      <formula>TRIM(UPPER(AD2))="UR"</formula>
    </cfRule>
    <cfRule type="expression" priority="69" dxfId="2" stopIfTrue="1">
      <formula>TRIM(UPPER(AD2))="C"</formula>
    </cfRule>
    <cfRule type="expression" priority="70" dxfId="1" stopIfTrue="1">
      <formula>TRIM(UPPER(AD2))="TBS"</formula>
    </cfRule>
  </conditionalFormatting>
  <dataValidations count="2">
    <dataValidation sqref="D2:D18 F2:F18 H2:H18 J2:J18 L2:L18 N2:N18 P2:P18 R2:R18 T2:T18 V2:V18 X2:X18 Z2:Z18 AB2:AB18 AD2:AD18" showDropDown="0" showInputMessage="0" showErrorMessage="1" allowBlank="1" error="Use A, B, UR, C or TBS" type="list">
      <formula1>Lists!$A$2:$A$6</formula1>
    </dataValidation>
    <dataValidation sqref="E2:E18 G2:G18 I2:I18 K2:K18 M2:M18 O2:O18 Q2:Q18 S2:S18 U2:U18 W2:W18 Y2:Y18 AA2:AA18 AC2:AC18 AE2:AE18" showDropDown="0" showInputMessage="0" showErrorMessage="0" allowBlank="1" type="date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4" customWidth="1" min="1" max="1"/>
    <col width="32" customWidth="1" min="2" max="2"/>
    <col width="30" customWidth="1" min="3" max="3"/>
    <col width="8" customWidth="1" min="4" max="5"/>
    <col width="10" customWidth="1" min="6" max="6"/>
  </cols>
  <sheetData>
    <row r="1" ht="33.75" customHeight="1">
      <c r="A1" s="4" t="inlineStr">
        <is>
          <t>Column</t>
        </is>
      </c>
      <c r="B1" s="4" t="inlineStr">
        <is>
          <t>Label</t>
        </is>
      </c>
      <c r="C1" s="4" t="inlineStr">
        <is>
          <t>Section</t>
        </is>
      </c>
      <c r="D1" s="4" t="inlineStr">
        <is>
          <t>Order</t>
        </is>
      </c>
      <c r="E1" s="4" t="inlineStr">
        <is>
          <t>Show</t>
        </is>
      </c>
      <c r="F1" s="4" t="inlineStr">
        <is>
          <t>Format</t>
        </is>
      </c>
    </row>
    <row r="2" ht="15" customHeight="1">
      <c r="A2" t="inlineStr">
        <is>
          <t>Room Category</t>
        </is>
      </c>
      <c r="B2" t="inlineStr">
        <is>
          <t>Category</t>
        </is>
      </c>
      <c r="C2" t="inlineStr">
        <is>
          <t>Room</t>
        </is>
      </c>
      <c r="D2" t="n">
        <v>1</v>
      </c>
      <c r="E2" t="inlineStr">
        <is>
          <t>Y</t>
        </is>
      </c>
      <c r="F2" t="inlineStr">
        <is>
          <t>text</t>
        </is>
      </c>
    </row>
    <row r="3" ht="15" customHeight="1">
      <c r="A3" t="inlineStr">
        <is>
          <t>_TypeCountTower</t>
        </is>
      </c>
      <c r="B3" t="inlineStr">
        <is>
          <t>Rooms of this type in tower</t>
        </is>
      </c>
      <c r="C3" t="inlineStr">
        <is>
          <t>Room type quantity</t>
        </is>
      </c>
      <c r="D3" t="n">
        <v>10</v>
      </c>
      <c r="E3" t="inlineStr">
        <is>
          <t>Y</t>
        </is>
      </c>
      <c r="F3" t="inlineStr">
        <is>
          <t>text</t>
        </is>
      </c>
    </row>
    <row r="4" ht="15" customHeight="1">
      <c r="A4" t="inlineStr">
        <is>
          <t>_TypePctTower</t>
        </is>
      </c>
      <c r="B4" t="inlineStr">
        <is>
          <t>Share of tower rooms</t>
        </is>
      </c>
      <c r="C4" t="inlineStr">
        <is>
          <t>Room type quantity</t>
        </is>
      </c>
      <c r="D4" t="n">
        <v>11</v>
      </c>
      <c r="E4" t="inlineStr">
        <is>
          <t>Y</t>
        </is>
      </c>
      <c r="F4" t="inlineStr">
        <is>
          <t>text</t>
        </is>
      </c>
    </row>
    <row r="5" ht="15" customHeight="1">
      <c r="A5" t="inlineStr">
        <is>
          <t>_TypeCountAll</t>
        </is>
      </c>
      <c r="B5" t="inlineStr">
        <is>
          <t>Rooms of this type – Towers A &amp; B</t>
        </is>
      </c>
      <c r="C5" t="inlineStr">
        <is>
          <t>Room type quantity</t>
        </is>
      </c>
      <c r="D5" t="n">
        <v>12</v>
      </c>
      <c r="E5" t="inlineStr">
        <is>
          <t>Y</t>
        </is>
      </c>
      <c r="F5" t="inlineStr">
        <is>
          <t>text</t>
        </is>
      </c>
    </row>
    <row r="6" ht="15" customHeight="1">
      <c r="A6" t="inlineStr">
        <is>
          <t>_TypePctAll</t>
        </is>
      </c>
      <c r="B6" t="inlineStr">
        <is>
          <t>Share of all rooms (A &amp; B)</t>
        </is>
      </c>
      <c r="C6" t="inlineStr">
        <is>
          <t>Room type quantity</t>
        </is>
      </c>
      <c r="D6" t="n">
        <v>13</v>
      </c>
      <c r="E6" t="inlineStr">
        <is>
          <t>Y</t>
        </is>
      </c>
      <c r="F6" t="inlineStr">
        <is>
          <t>text</t>
        </is>
      </c>
    </row>
    <row r="7" ht="15" customHeight="1">
      <c r="A7" t="inlineStr">
        <is>
          <t>MEP Clearance</t>
        </is>
      </c>
      <c r="B7" t="inlineStr">
        <is>
          <t>MEP clearance</t>
        </is>
      </c>
      <c r="C7" t="inlineStr">
        <is>
          <t>4. Clearances</t>
        </is>
      </c>
      <c r="D7" t="n">
        <v>60</v>
      </c>
      <c r="E7" t="inlineStr">
        <is>
          <t>Y</t>
        </is>
      </c>
      <c r="F7" t="inlineStr">
        <is>
          <t>status</t>
        </is>
      </c>
    </row>
    <row r="8" ht="15" customHeight="1">
      <c r="A8" t="inlineStr">
        <is>
          <t>MEP Clearance Date</t>
        </is>
      </c>
      <c r="B8" t="inlineStr">
        <is>
          <t>MEP clearance date</t>
        </is>
      </c>
      <c r="C8" t="inlineStr">
        <is>
          <t>4. Clearances</t>
        </is>
      </c>
      <c r="D8" t="n">
        <v>61</v>
      </c>
      <c r="E8" t="inlineStr">
        <is>
          <t>Y</t>
        </is>
      </c>
      <c r="F8" t="inlineStr">
        <is>
          <t>date</t>
        </is>
      </c>
    </row>
    <row r="9" ht="15" customHeight="1">
      <c r="A9" t="inlineStr">
        <is>
          <t>ELV Clearance</t>
        </is>
      </c>
      <c r="B9" t="inlineStr">
        <is>
          <t>ELV clearance</t>
        </is>
      </c>
      <c r="C9" t="inlineStr">
        <is>
          <t>4. Clearances</t>
        </is>
      </c>
      <c r="D9" t="n">
        <v>62</v>
      </c>
      <c r="E9" t="inlineStr">
        <is>
          <t>Y</t>
        </is>
      </c>
      <c r="F9" t="inlineStr">
        <is>
          <t>status</t>
        </is>
      </c>
    </row>
    <row r="10" ht="15" customHeight="1">
      <c r="A10" t="inlineStr">
        <is>
          <t>ELV Clearance Date</t>
        </is>
      </c>
      <c r="B10" t="inlineStr">
        <is>
          <t>ELV clearance date</t>
        </is>
      </c>
      <c r="C10" t="inlineStr">
        <is>
          <t>4. Clearances</t>
        </is>
      </c>
      <c r="D10" t="n">
        <v>63</v>
      </c>
      <c r="E10" t="inlineStr">
        <is>
          <t>Y</t>
        </is>
      </c>
      <c r="F10" t="inlineStr">
        <is>
          <t>date</t>
        </is>
      </c>
    </row>
    <row r="11" ht="15" customHeight="1">
      <c r="A11" t="inlineStr">
        <is>
          <t>Remarks</t>
        </is>
      </c>
      <c r="B11" t="inlineStr">
        <is>
          <t>Remarks</t>
        </is>
      </c>
      <c r="C11" t="inlineStr">
        <is>
          <t>Notes</t>
        </is>
      </c>
      <c r="D11" t="n">
        <v>90</v>
      </c>
      <c r="E11" t="inlineStr">
        <is>
          <t>Y</t>
        </is>
      </c>
      <c r="F11" t="inlineStr">
        <is>
          <t>text</t>
        </is>
      </c>
    </row>
    <row r="12" ht="15" customHeight="1">
      <c r="A12" t="inlineStr">
        <is>
          <t>QR URL</t>
        </is>
      </c>
      <c r="D12" t="n">
        <v>99</v>
      </c>
      <c r="E12" t="inlineStr">
        <is>
          <t>N</t>
        </is>
      </c>
      <c r="F12" t="inlineStr">
        <is>
          <t>text</t>
        </is>
      </c>
    </row>
    <row r="13" ht="15" customHeight="1">
      <c r="A13" t="inlineStr">
        <is>
          <t>ID Source</t>
        </is>
      </c>
      <c r="D13" t="n">
        <v>99</v>
      </c>
      <c r="E13" t="inlineStr">
        <is>
          <t>N</t>
        </is>
      </c>
      <c r="F13" t="inlineStr">
        <is>
          <t>text</t>
        </is>
      </c>
    </row>
    <row r="14" ht="15" customHeight="1">
      <c r="A14" t="inlineStr">
        <is>
          <t>QR ID</t>
        </is>
      </c>
      <c r="D14" t="n">
        <v>99</v>
      </c>
      <c r="E14" t="inlineStr">
        <is>
          <t>N</t>
        </is>
      </c>
      <c r="F14" t="inlineStr">
        <is>
          <t>text</t>
        </is>
      </c>
    </row>
    <row r="15" ht="15" customHeight="1">
      <c r="A15" t="inlineStr">
        <is>
          <t>Tower</t>
        </is>
      </c>
      <c r="D15" t="n">
        <v>99</v>
      </c>
      <c r="E15" t="inlineStr">
        <is>
          <t>N</t>
        </is>
      </c>
      <c r="F15" t="inlineStr">
        <is>
          <t>text</t>
        </is>
      </c>
    </row>
    <row r="16" ht="15" customHeight="1">
      <c r="A16" t="inlineStr">
        <is>
          <t>Level</t>
        </is>
      </c>
      <c r="D16" t="n">
        <v>99</v>
      </c>
      <c r="E16" t="inlineStr">
        <is>
          <t>N</t>
        </is>
      </c>
      <c r="F16" t="inlineStr">
        <is>
          <t>text</t>
        </is>
      </c>
    </row>
    <row r="17" ht="15" customHeight="1">
      <c r="A17" t="inlineStr">
        <is>
          <t>Design Room Tag</t>
        </is>
      </c>
      <c r="B17" t="inlineStr">
        <is>
          <t>Design room tag</t>
        </is>
      </c>
      <c r="C17" t="inlineStr">
        <is>
          <t>Room</t>
        </is>
      </c>
      <c r="D17" t="n">
        <v>2</v>
      </c>
      <c r="E17" t="inlineStr">
        <is>
          <t>Y</t>
        </is>
      </c>
      <c r="F17" t="inlineStr">
        <is>
          <t>text</t>
        </is>
      </c>
    </row>
    <row r="18" ht="15" customHeight="1">
      <c r="A18" t="inlineStr">
        <is>
          <t>Room Type</t>
        </is>
      </c>
      <c r="D18" t="n">
        <v>99</v>
      </c>
      <c r="E18" t="inlineStr">
        <is>
          <t>N</t>
        </is>
      </c>
      <c r="F18" t="inlineStr">
        <is>
          <t>text</t>
        </is>
      </c>
    </row>
    <row r="19" ht="15" customHeight="1">
      <c r="A19" t="inlineStr">
        <is>
          <t>Coordination Sketch</t>
        </is>
      </c>
      <c r="B19" t="inlineStr">
        <is>
          <t>Sketch</t>
        </is>
      </c>
      <c r="C19" t="inlineStr">
        <is>
          <t>Shop drawings</t>
        </is>
      </c>
      <c r="D19" t="n">
        <v>20</v>
      </c>
      <c r="E19" t="inlineStr">
        <is>
          <t>Y</t>
        </is>
      </c>
      <c r="F19" t="inlineStr">
        <is>
          <t>sketch</t>
        </is>
      </c>
    </row>
    <row r="20" ht="15" customHeight="1">
      <c r="A20" t="inlineStr">
        <is>
          <t>ID SD Status</t>
        </is>
      </c>
      <c r="B20" t="inlineStr">
        <is>
          <t>ID</t>
        </is>
      </c>
      <c r="C20" t="inlineStr">
        <is>
          <t>Shop drawings</t>
        </is>
      </c>
      <c r="D20" t="n">
        <v>21</v>
      </c>
      <c r="E20" t="inlineStr">
        <is>
          <t>Y</t>
        </is>
      </c>
      <c r="F20" t="inlineStr">
        <is>
          <t>sd</t>
        </is>
      </c>
    </row>
    <row r="21" ht="15" customHeight="1">
      <c r="A21" t="inlineStr">
        <is>
          <t>MEP SD - Drainage Network</t>
        </is>
      </c>
      <c r="B21" t="inlineStr">
        <is>
          <t>Drainage Network</t>
        </is>
      </c>
      <c r="C21" t="inlineStr">
        <is>
          <t>Shop drawings</t>
        </is>
      </c>
      <c r="D21" t="n">
        <v>22</v>
      </c>
      <c r="E21" t="inlineStr">
        <is>
          <t>Y</t>
        </is>
      </c>
      <c r="F21" t="inlineStr">
        <is>
          <t>sd</t>
        </is>
      </c>
    </row>
    <row r="22" ht="15" customHeight="1">
      <c r="A22" t="inlineStr">
        <is>
          <t>MEP SD - Water Supply Network</t>
        </is>
      </c>
      <c r="B22" t="inlineStr">
        <is>
          <t>Water Supply Network</t>
        </is>
      </c>
      <c r="C22" t="inlineStr">
        <is>
          <t>Shop drawings</t>
        </is>
      </c>
      <c r="D22" t="n">
        <v>23</v>
      </c>
      <c r="E22" t="inlineStr">
        <is>
          <t>Y</t>
        </is>
      </c>
      <c r="F22" t="inlineStr">
        <is>
          <t>sd</t>
        </is>
      </c>
    </row>
    <row r="23" ht="15" customHeight="1">
      <c r="A23" t="inlineStr">
        <is>
          <t>MEP SD - Chilled Water Network</t>
        </is>
      </c>
      <c r="B23" t="inlineStr">
        <is>
          <t>Chilled Water Network</t>
        </is>
      </c>
      <c r="C23" t="inlineStr">
        <is>
          <t>Shop drawings</t>
        </is>
      </c>
      <c r="D23" t="n">
        <v>24</v>
      </c>
      <c r="E23" t="inlineStr">
        <is>
          <t>Y</t>
        </is>
      </c>
      <c r="F23" t="inlineStr">
        <is>
          <t>sd</t>
        </is>
      </c>
    </row>
    <row r="24" ht="15" customHeight="1">
      <c r="A24" t="inlineStr">
        <is>
          <t>MEP SD - Fire Fighting Network</t>
        </is>
      </c>
      <c r="B24" t="inlineStr">
        <is>
          <t>Fire Fighting Network</t>
        </is>
      </c>
      <c r="C24" t="inlineStr">
        <is>
          <t>Shop drawings</t>
        </is>
      </c>
      <c r="D24" t="n">
        <v>25</v>
      </c>
      <c r="E24" t="inlineStr">
        <is>
          <t>Y</t>
        </is>
      </c>
      <c r="F24" t="inlineStr">
        <is>
          <t>sd</t>
        </is>
      </c>
    </row>
    <row r="25" ht="15" customHeight="1">
      <c r="A25" t="inlineStr">
        <is>
          <t>MEP SD - AC System</t>
        </is>
      </c>
      <c r="B25" t="inlineStr">
        <is>
          <t>AC System</t>
        </is>
      </c>
      <c r="C25" t="inlineStr">
        <is>
          <t>Shop drawings</t>
        </is>
      </c>
      <c r="D25" t="n">
        <v>26</v>
      </c>
      <c r="E25" t="inlineStr">
        <is>
          <t>Y</t>
        </is>
      </c>
      <c r="F25" t="inlineStr">
        <is>
          <t>sd</t>
        </is>
      </c>
    </row>
    <row r="26" ht="15" customHeight="1">
      <c r="A26" t="inlineStr">
        <is>
          <t>MEP SD - Ventilation System</t>
        </is>
      </c>
      <c r="B26" t="inlineStr">
        <is>
          <t>Ventilation System</t>
        </is>
      </c>
      <c r="C26" t="inlineStr">
        <is>
          <t>Shop drawings</t>
        </is>
      </c>
      <c r="D26" t="n">
        <v>27</v>
      </c>
      <c r="E26" t="inlineStr">
        <is>
          <t>Y</t>
        </is>
      </c>
      <c r="F26" t="inlineStr">
        <is>
          <t>sd</t>
        </is>
      </c>
    </row>
    <row r="27" ht="15" customHeight="1">
      <c r="A27" t="inlineStr">
        <is>
          <t>MEP SD - CDP System</t>
        </is>
      </c>
      <c r="B27" t="inlineStr">
        <is>
          <t>CDP System</t>
        </is>
      </c>
      <c r="C27" t="inlineStr">
        <is>
          <t>Shop drawings</t>
        </is>
      </c>
      <c r="D27" t="n">
        <v>28</v>
      </c>
      <c r="E27" t="inlineStr">
        <is>
          <t>Y</t>
        </is>
      </c>
      <c r="F27" t="inlineStr">
        <is>
          <t>sd</t>
        </is>
      </c>
    </row>
    <row r="28" ht="15" customHeight="1">
      <c r="A28" t="inlineStr">
        <is>
          <t>MEP SD - Small Power</t>
        </is>
      </c>
      <c r="B28" t="inlineStr">
        <is>
          <t>Small Power</t>
        </is>
      </c>
      <c r="C28" t="inlineStr">
        <is>
          <t>Shop drawings</t>
        </is>
      </c>
      <c r="D28" t="n">
        <v>29</v>
      </c>
      <c r="E28" t="inlineStr">
        <is>
          <t>Y</t>
        </is>
      </c>
      <c r="F28" t="inlineStr">
        <is>
          <t>sd</t>
        </is>
      </c>
    </row>
    <row r="29" ht="15" customHeight="1">
      <c r="A29" t="inlineStr">
        <is>
          <t>MEP SD - Lighting</t>
        </is>
      </c>
      <c r="B29" t="inlineStr">
        <is>
          <t>Lighting</t>
        </is>
      </c>
      <c r="C29" t="inlineStr">
        <is>
          <t>Shop drawings</t>
        </is>
      </c>
      <c r="D29" t="n">
        <v>30</v>
      </c>
      <c r="E29" t="inlineStr">
        <is>
          <t>Y</t>
        </is>
      </c>
      <c r="F29" t="inlineStr">
        <is>
          <t>sd</t>
        </is>
      </c>
    </row>
    <row r="30" ht="15" customHeight="1">
      <c r="A30" t="inlineStr">
        <is>
          <t>ELV SD - ICT System GRMS</t>
        </is>
      </c>
      <c r="B30" t="inlineStr">
        <is>
          <t>ICT System GRMS</t>
        </is>
      </c>
      <c r="C30" t="inlineStr">
        <is>
          <t>Shop drawings</t>
        </is>
      </c>
      <c r="D30" t="n">
        <v>31</v>
      </c>
      <c r="E30" t="inlineStr">
        <is>
          <t>Y</t>
        </is>
      </c>
      <c r="F30" t="inlineStr">
        <is>
          <t>sd</t>
        </is>
      </c>
    </row>
    <row r="31" ht="15" customHeight="1">
      <c r="A31" t="inlineStr">
        <is>
          <t>ELV SD - ICT GRMS Lighting Control</t>
        </is>
      </c>
      <c r="B31" t="inlineStr">
        <is>
          <t>ICT GRMS Lighting Control</t>
        </is>
      </c>
      <c r="C31" t="inlineStr">
        <is>
          <t>Shop drawings</t>
        </is>
      </c>
      <c r="D31" t="n">
        <v>32</v>
      </c>
      <c r="E31" t="inlineStr">
        <is>
          <t>Y</t>
        </is>
      </c>
      <c r="F31" t="inlineStr">
        <is>
          <t>sd</t>
        </is>
      </c>
    </row>
    <row r="32" ht="15" customHeight="1">
      <c r="A32" t="inlineStr">
        <is>
          <t>ID SD Reference</t>
        </is>
      </c>
      <c r="D32" t="n">
        <v>99</v>
      </c>
      <c r="E32" t="inlineStr">
        <is>
          <t>N</t>
        </is>
      </c>
      <c r="F32" t="inlineStr">
        <is>
          <t>text</t>
        </is>
      </c>
    </row>
    <row r="33" ht="15" customHeight="1">
      <c r="A33" t="inlineStr">
        <is>
          <t>ID SD Revision</t>
        </is>
      </c>
      <c r="D33" t="n">
        <v>99</v>
      </c>
      <c r="E33" t="inlineStr">
        <is>
          <t>N</t>
        </is>
      </c>
      <c r="F33" t="inlineStr">
        <is>
          <t>text</t>
        </is>
      </c>
    </row>
    <row r="34" ht="15" customHeight="1">
      <c r="A34" t="inlineStr">
        <is>
          <t>ID SD Status Date</t>
        </is>
      </c>
      <c r="D34" t="n">
        <v>99</v>
      </c>
      <c r="E34" t="inlineStr">
        <is>
          <t>N</t>
        </is>
      </c>
      <c r="F34" t="inlineStr">
        <is>
          <t>text</t>
        </is>
      </c>
    </row>
    <row r="35" ht="15" customHeight="1">
      <c r="A35" t="inlineStr">
        <is>
          <t>Coordination Sketch Date</t>
        </is>
      </c>
      <c r="D35" t="n">
        <v>99</v>
      </c>
      <c r="E35" t="inlineStr">
        <is>
          <t>N</t>
        </is>
      </c>
      <c r="F35" t="inlineStr">
        <is>
          <t>text</t>
        </is>
      </c>
    </row>
    <row r="36" ht="15" customHeight="1">
      <c r="A36" t="inlineStr">
        <is>
          <t>MEP SD - Drainage Network Rev</t>
        </is>
      </c>
      <c r="D36" t="n">
        <v>99</v>
      </c>
      <c r="E36" t="inlineStr">
        <is>
          <t>N</t>
        </is>
      </c>
      <c r="F36" t="inlineStr">
        <is>
          <t>text</t>
        </is>
      </c>
    </row>
    <row r="37" ht="15" customHeight="1">
      <c r="A37" t="inlineStr">
        <is>
          <t>MEP SD - Water Supply Network Rev</t>
        </is>
      </c>
      <c r="D37" t="n">
        <v>99</v>
      </c>
      <c r="E37" t="inlineStr">
        <is>
          <t>N</t>
        </is>
      </c>
      <c r="F37" t="inlineStr">
        <is>
          <t>text</t>
        </is>
      </c>
    </row>
    <row r="38" ht="15" customHeight="1">
      <c r="A38" t="inlineStr">
        <is>
          <t>MEP SD - Chilled Water Network Rev</t>
        </is>
      </c>
      <c r="D38" t="n">
        <v>99</v>
      </c>
      <c r="E38" t="inlineStr">
        <is>
          <t>N</t>
        </is>
      </c>
      <c r="F38" t="inlineStr">
        <is>
          <t>text</t>
        </is>
      </c>
    </row>
    <row r="39" ht="15" customHeight="1">
      <c r="A39" t="inlineStr">
        <is>
          <t>MEP SD - Fire Fighting Network Rev</t>
        </is>
      </c>
      <c r="D39" t="n">
        <v>99</v>
      </c>
      <c r="E39" t="inlineStr">
        <is>
          <t>N</t>
        </is>
      </c>
      <c r="F39" t="inlineStr">
        <is>
          <t>text</t>
        </is>
      </c>
    </row>
    <row r="40" ht="15" customHeight="1">
      <c r="A40" t="inlineStr">
        <is>
          <t>MEP SD - AC System Rev</t>
        </is>
      </c>
      <c r="D40" t="n">
        <v>99</v>
      </c>
      <c r="E40" t="inlineStr">
        <is>
          <t>N</t>
        </is>
      </c>
      <c r="F40" t="inlineStr">
        <is>
          <t>text</t>
        </is>
      </c>
    </row>
    <row r="41" ht="15" customHeight="1">
      <c r="A41" t="inlineStr">
        <is>
          <t>MEP SD - Ventilation System Rev</t>
        </is>
      </c>
      <c r="D41" t="n">
        <v>99</v>
      </c>
      <c r="E41" t="inlineStr">
        <is>
          <t>N</t>
        </is>
      </c>
      <c r="F41" t="inlineStr">
        <is>
          <t>text</t>
        </is>
      </c>
    </row>
    <row r="42" ht="15" customHeight="1">
      <c r="A42" t="inlineStr">
        <is>
          <t>MEP SD - CDP System Rev</t>
        </is>
      </c>
      <c r="D42" t="n">
        <v>99</v>
      </c>
      <c r="E42" t="inlineStr">
        <is>
          <t>N</t>
        </is>
      </c>
      <c r="F42" t="inlineStr">
        <is>
          <t>text</t>
        </is>
      </c>
    </row>
    <row r="43" ht="15" customHeight="1">
      <c r="A43" t="inlineStr">
        <is>
          <t>MEP SD - Small Power Rev</t>
        </is>
      </c>
      <c r="D43" t="n">
        <v>99</v>
      </c>
      <c r="E43" t="inlineStr">
        <is>
          <t>N</t>
        </is>
      </c>
      <c r="F43" t="inlineStr">
        <is>
          <t>text</t>
        </is>
      </c>
    </row>
    <row r="44" ht="15" customHeight="1">
      <c r="A44" t="inlineStr">
        <is>
          <t>MEP SD - Lighting Rev</t>
        </is>
      </c>
      <c r="D44" t="n">
        <v>99</v>
      </c>
      <c r="E44" t="inlineStr">
        <is>
          <t>N</t>
        </is>
      </c>
      <c r="F44" t="inlineStr">
        <is>
          <t>text</t>
        </is>
      </c>
    </row>
    <row r="45" ht="15" customHeight="1">
      <c r="A45" t="inlineStr">
        <is>
          <t>ELV SD - ICT System GRMS Rev</t>
        </is>
      </c>
      <c r="D45" t="n">
        <v>99</v>
      </c>
      <c r="E45" t="inlineStr">
        <is>
          <t>N</t>
        </is>
      </c>
      <c r="F45" t="inlineStr">
        <is>
          <t>text</t>
        </is>
      </c>
    </row>
    <row r="46" ht="15" customHeight="1">
      <c r="A46" t="inlineStr">
        <is>
          <t>ELV SD - ICT GRMS Lighting Control Rev</t>
        </is>
      </c>
      <c r="D46" t="n">
        <v>99</v>
      </c>
      <c r="E46" t="inlineStr">
        <is>
          <t>N</t>
        </is>
      </c>
      <c r="F46" t="inlineStr">
        <is>
          <t>text</t>
        </is>
      </c>
    </row>
    <row r="47" ht="15" customHeight="1">
      <c r="A47" s="10" t="n"/>
      <c r="B47" s="10" t="n"/>
      <c r="C47" s="10" t="n"/>
      <c r="D47" s="10" t="n"/>
      <c r="E47" s="10" t="n"/>
      <c r="F47" s="10" t="n"/>
    </row>
    <row r="48" ht="15" customHeight="1">
      <c r="A48" s="10" t="n"/>
      <c r="B48" s="10" t="n"/>
      <c r="C48" s="10" t="n"/>
      <c r="D48" s="10" t="n"/>
      <c r="E48" s="10" t="n"/>
      <c r="F48" s="10" t="n"/>
    </row>
    <row r="49" ht="15" customHeight="1">
      <c r="A49" s="10" t="n"/>
      <c r="B49" s="10" t="n"/>
      <c r="C49" s="10" t="n"/>
      <c r="D49" s="10" t="n"/>
      <c r="E49" s="10" t="n"/>
      <c r="F49" s="10" t="n"/>
    </row>
    <row r="50" ht="15" customHeight="1">
      <c r="A50" s="10" t="n"/>
      <c r="B50" s="10" t="n"/>
      <c r="C50" s="10" t="n"/>
      <c r="D50" s="10" t="n"/>
      <c r="E50" s="10" t="n"/>
      <c r="F50" s="10" t="n"/>
    </row>
    <row r="51" ht="15" customHeight="1">
      <c r="A51" s="10" t="n"/>
      <c r="B51" s="10" t="n"/>
      <c r="C51" s="10" t="n"/>
      <c r="D51" s="10" t="n"/>
      <c r="E51" s="10" t="n"/>
      <c r="F51" s="10" t="n"/>
    </row>
    <row r="52" ht="15" customHeight="1">
      <c r="A52" s="10" t="n"/>
      <c r="B52" s="10" t="n"/>
      <c r="C52" s="10" t="n"/>
      <c r="D52" s="10" t="n"/>
      <c r="E52" s="10" t="n"/>
      <c r="F52" s="10" t="n"/>
    </row>
    <row r="53" ht="15" customHeight="1">
      <c r="A53" s="10" t="n"/>
      <c r="B53" s="10" t="n"/>
      <c r="C53" s="10" t="n"/>
      <c r="D53" s="10" t="n"/>
      <c r="E53" s="10" t="n"/>
      <c r="F53" s="10" t="n"/>
    </row>
    <row r="54" ht="15" customHeight="1">
      <c r="A54" s="10" t="n"/>
      <c r="B54" s="10" t="n"/>
      <c r="C54" s="10" t="n"/>
      <c r="D54" s="10" t="n"/>
      <c r="E54" s="10" t="n"/>
      <c r="F54" s="10" t="n"/>
    </row>
    <row r="55" ht="15" customHeight="1">
      <c r="A55" s="10" t="n"/>
      <c r="B55" s="10" t="n"/>
      <c r="C55" s="10" t="n"/>
      <c r="D55" s="10" t="n"/>
      <c r="E55" s="10" t="n"/>
      <c r="F55" s="10" t="n"/>
    </row>
    <row r="56" ht="15" customHeight="1">
      <c r="A56" s="10" t="n"/>
      <c r="B56" s="10" t="n"/>
      <c r="C56" s="10" t="n"/>
      <c r="D56" s="10" t="n"/>
      <c r="E56" s="10" t="n"/>
      <c r="F56" s="10" t="n"/>
    </row>
    <row r="57" ht="15" customHeight="1">
      <c r="A57" s="10" t="n"/>
      <c r="B57" s="10" t="n"/>
      <c r="C57" s="10" t="n"/>
      <c r="D57" s="10" t="n"/>
      <c r="E57" s="10" t="n"/>
      <c r="F57" s="10" t="n"/>
    </row>
    <row r="58" ht="15" customHeight="1">
      <c r="A58" s="10" t="n"/>
      <c r="B58" s="10" t="n"/>
      <c r="C58" s="10" t="n"/>
      <c r="D58" s="10" t="n"/>
      <c r="E58" s="10" t="n"/>
      <c r="F58" s="10" t="n"/>
    </row>
    <row r="59" ht="15" customHeight="1">
      <c r="A59" s="10" t="n"/>
      <c r="B59" s="10" t="n"/>
      <c r="C59" s="10" t="n"/>
      <c r="D59" s="10" t="n"/>
      <c r="E59" s="10" t="n"/>
      <c r="F59" s="10" t="n"/>
    </row>
    <row r="60" ht="15" customHeight="1">
      <c r="A60" s="10" t="n"/>
      <c r="B60" s="10" t="n"/>
      <c r="C60" s="10" t="n"/>
      <c r="D60" s="10" t="n"/>
      <c r="E60" s="10" t="n"/>
      <c r="F60" s="10" t="n"/>
    </row>
    <row r="61" ht="15" customHeight="1">
      <c r="A61" s="10" t="n"/>
      <c r="B61" s="10" t="n"/>
      <c r="C61" s="10" t="n"/>
      <c r="D61" s="10" t="n"/>
      <c r="E61" s="10" t="n"/>
      <c r="F61" s="10" t="n"/>
    </row>
    <row r="62" ht="15" customHeight="1">
      <c r="A62" s="10" t="n"/>
      <c r="B62" s="10" t="n"/>
      <c r="C62" s="10" t="n"/>
      <c r="D62" s="10" t="n"/>
      <c r="E62" s="10" t="n"/>
      <c r="F62" s="10" t="n"/>
    </row>
    <row r="63" ht="15" customHeight="1">
      <c r="A63" s="10" t="n"/>
      <c r="B63" s="10" t="n"/>
      <c r="C63" s="10" t="n"/>
      <c r="D63" s="10" t="n"/>
      <c r="E63" s="10" t="n"/>
      <c r="F63" s="10" t="n"/>
    </row>
    <row r="64" ht="15" customHeight="1">
      <c r="A64" s="10" t="n"/>
      <c r="B64" s="10" t="n"/>
      <c r="C64" s="10" t="n"/>
      <c r="D64" s="10" t="n"/>
      <c r="E64" s="10" t="n"/>
      <c r="F64" s="10" t="n"/>
    </row>
    <row r="65" ht="15" customHeight="1">
      <c r="A65" s="10" t="n"/>
      <c r="B65" s="10" t="n"/>
      <c r="C65" s="10" t="n"/>
      <c r="D65" s="10" t="n"/>
      <c r="E65" s="10" t="n"/>
      <c r="F65" s="10" t="n"/>
    </row>
    <row r="66" ht="15" customHeight="1">
      <c r="A66" s="10" t="n"/>
      <c r="B66" s="10" t="n"/>
      <c r="C66" s="10" t="n"/>
      <c r="D66" s="10" t="n"/>
      <c r="E66" s="10" t="n"/>
      <c r="F66" s="10" t="n"/>
    </row>
    <row r="67" ht="15" customHeight="1">
      <c r="A67" s="10" t="n"/>
      <c r="B67" s="10" t="n"/>
      <c r="C67" s="10" t="n"/>
      <c r="D67" s="10" t="n"/>
      <c r="E67" s="10" t="n"/>
      <c r="F67" s="10" t="n"/>
    </row>
    <row r="68" ht="15" customHeight="1">
      <c r="A68" s="10" t="n"/>
      <c r="B68" s="10" t="n"/>
      <c r="C68" s="10" t="n"/>
      <c r="D68" s="10" t="n"/>
      <c r="E68" s="10" t="n"/>
      <c r="F68" s="10" t="n"/>
    </row>
    <row r="69" ht="15" customHeight="1">
      <c r="A69" s="10" t="n"/>
      <c r="B69" s="10" t="n"/>
      <c r="C69" s="10" t="n"/>
      <c r="D69" s="10" t="n"/>
      <c r="E69" s="10" t="n"/>
      <c r="F69" s="10" t="n"/>
    </row>
    <row r="70" ht="15" customHeight="1">
      <c r="A70" s="10" t="n"/>
      <c r="B70" s="10" t="n"/>
      <c r="C70" s="10" t="n"/>
      <c r="D70" s="10" t="n"/>
      <c r="E70" s="10" t="n"/>
      <c r="F70" s="10" t="n"/>
    </row>
    <row r="71" ht="15" customHeight="1">
      <c r="A71" s="10" t="n"/>
      <c r="B71" s="10" t="n"/>
      <c r="C71" s="10" t="n"/>
      <c r="D71" s="10" t="n"/>
      <c r="E71" s="10" t="n"/>
      <c r="F71" s="10" t="n"/>
    </row>
    <row r="72" ht="15" customHeight="1">
      <c r="A72" s="10" t="n"/>
      <c r="B72" s="10" t="n"/>
      <c r="C72" s="10" t="n"/>
      <c r="D72" s="10" t="n"/>
      <c r="E72" s="10" t="n"/>
      <c r="F72" s="10" t="n"/>
    </row>
    <row r="73" ht="15" customHeight="1">
      <c r="A73" s="10" t="n"/>
      <c r="B73" s="10" t="n"/>
      <c r="C73" s="10" t="n"/>
      <c r="D73" s="10" t="n"/>
      <c r="E73" s="10" t="n"/>
      <c r="F73" s="10" t="n"/>
    </row>
    <row r="74" ht="15" customHeight="1">
      <c r="A74" s="10" t="n"/>
      <c r="B74" s="10" t="n"/>
      <c r="C74" s="10" t="n"/>
      <c r="D74" s="10" t="n"/>
      <c r="E74" s="10" t="n"/>
      <c r="F74" s="10" t="n"/>
    </row>
    <row r="75" ht="15" customHeight="1">
      <c r="A75" s="10" t="n"/>
      <c r="B75" s="10" t="n"/>
      <c r="C75" s="10" t="n"/>
      <c r="D75" s="10" t="n"/>
      <c r="E75" s="10" t="n"/>
      <c r="F75" s="10" t="n"/>
    </row>
    <row r="76" ht="15" customHeight="1">
      <c r="A76" s="10" t="n"/>
      <c r="B76" s="10" t="n"/>
      <c r="C76" s="10" t="n"/>
      <c r="D76" s="10" t="n"/>
      <c r="E76" s="10" t="n"/>
      <c r="F76" s="10" t="n"/>
    </row>
    <row r="77" ht="15" customHeight="1">
      <c r="A77" s="10" t="n"/>
      <c r="B77" s="10" t="n"/>
      <c r="C77" s="10" t="n"/>
      <c r="D77" s="10" t="n"/>
      <c r="E77" s="10" t="n"/>
      <c r="F77" s="10" t="n"/>
    </row>
    <row r="78" ht="15" customHeight="1">
      <c r="A78" s="10" t="n"/>
      <c r="B78" s="10" t="n"/>
      <c r="C78" s="10" t="n"/>
      <c r="D78" s="10" t="n"/>
      <c r="E78" s="10" t="n"/>
      <c r="F78" s="10" t="n"/>
    </row>
    <row r="79" ht="15" customHeight="1">
      <c r="A79" s="10" t="n"/>
      <c r="B79" s="10" t="n"/>
      <c r="C79" s="10" t="n"/>
      <c r="D79" s="10" t="n"/>
      <c r="E79" s="10" t="n"/>
      <c r="F79" s="10" t="n"/>
    </row>
    <row r="80" ht="15" customHeight="1">
      <c r="A80" s="10" t="n"/>
      <c r="B80" s="10" t="n"/>
      <c r="C80" s="10" t="n"/>
      <c r="D80" s="10" t="n"/>
      <c r="E80" s="10" t="n"/>
      <c r="F80" s="10" t="n"/>
    </row>
    <row r="81" ht="15" customHeight="1">
      <c r="A81" s="10" t="n"/>
      <c r="B81" s="10" t="n"/>
      <c r="C81" s="10" t="n"/>
      <c r="D81" s="10" t="n"/>
      <c r="E81" s="10" t="n"/>
      <c r="F81" s="10" t="n"/>
    </row>
    <row r="82" ht="15" customHeight="1">
      <c r="A82" s="10" t="n"/>
      <c r="B82" s="10" t="n"/>
      <c r="C82" s="10" t="n"/>
      <c r="D82" s="10" t="n"/>
      <c r="E82" s="10" t="n"/>
      <c r="F82" s="10" t="n"/>
    </row>
    <row r="83" ht="15" customHeight="1">
      <c r="A83" s="10" t="n"/>
      <c r="B83" s="10" t="n"/>
      <c r="C83" s="10" t="n"/>
      <c r="D83" s="10" t="n"/>
      <c r="E83" s="10" t="n"/>
      <c r="F83" s="10" t="n"/>
    </row>
    <row r="84" ht="15" customHeight="1">
      <c r="A84" s="10" t="n"/>
      <c r="B84" s="10" t="n"/>
      <c r="C84" s="10" t="n"/>
      <c r="D84" s="10" t="n"/>
      <c r="E84" s="10" t="n"/>
      <c r="F84" s="10" t="n"/>
    </row>
    <row r="85" ht="15" customHeight="1">
      <c r="A85" s="10" t="n"/>
      <c r="B85" s="10" t="n"/>
      <c r="C85" s="10" t="n"/>
      <c r="D85" s="10" t="n"/>
      <c r="E85" s="10" t="n"/>
      <c r="F85" s="10" t="n"/>
    </row>
    <row r="86" ht="15" customHeight="1">
      <c r="A86" s="10" t="n"/>
      <c r="B86" s="10" t="n"/>
      <c r="C86" s="10" t="n"/>
      <c r="D86" s="10" t="n"/>
      <c r="E86" s="10" t="n"/>
      <c r="F86" s="10" t="n"/>
    </row>
    <row r="87" ht="15" customHeight="1">
      <c r="A87" s="10" t="n"/>
      <c r="B87" s="10" t="n"/>
      <c r="C87" s="10" t="n"/>
      <c r="D87" s="10" t="n"/>
      <c r="E87" s="10" t="n"/>
      <c r="F87" s="10" t="n"/>
    </row>
    <row r="88" ht="15" customHeight="1">
      <c r="A88" s="10" t="n"/>
      <c r="B88" s="10" t="n"/>
      <c r="C88" s="10" t="n"/>
      <c r="D88" s="10" t="n"/>
      <c r="E88" s="10" t="n"/>
      <c r="F88" s="10" t="n"/>
    </row>
    <row r="89" ht="15" customHeight="1">
      <c r="A89" s="10" t="n"/>
      <c r="B89" s="10" t="n"/>
      <c r="C89" s="10" t="n"/>
      <c r="D89" s="10" t="n"/>
      <c r="E89" s="10" t="n"/>
      <c r="F89" s="10" t="n"/>
    </row>
    <row r="90" ht="15" customHeight="1">
      <c r="A90" s="10" t="n"/>
      <c r="B90" s="10" t="n"/>
      <c r="C90" s="10" t="n"/>
      <c r="D90" s="10" t="n"/>
      <c r="E90" s="10" t="n"/>
      <c r="F90" s="10" t="n"/>
    </row>
    <row r="91" ht="15" customHeight="1">
      <c r="A91" s="10" t="n"/>
      <c r="B91" s="10" t="n"/>
      <c r="C91" s="10" t="n"/>
      <c r="D91" s="10" t="n"/>
      <c r="E91" s="10" t="n"/>
      <c r="F91" s="10" t="n"/>
    </row>
    <row r="92" ht="15" customHeight="1">
      <c r="A92" s="10" t="n"/>
      <c r="B92" s="10" t="n"/>
      <c r="C92" s="10" t="n"/>
      <c r="D92" s="10" t="n"/>
      <c r="E92" s="10" t="n"/>
      <c r="F92" s="10" t="n"/>
    </row>
    <row r="93" ht="15" customHeight="1">
      <c r="A93" s="10" t="n"/>
      <c r="B93" s="10" t="n"/>
      <c r="C93" s="10" t="n"/>
      <c r="D93" s="10" t="n"/>
      <c r="E93" s="10" t="n"/>
      <c r="F93" s="10" t="n"/>
    </row>
    <row r="94" ht="15" customHeight="1">
      <c r="A94" s="10" t="n"/>
      <c r="B94" s="10" t="n"/>
      <c r="C94" s="10" t="n"/>
      <c r="D94" s="10" t="n"/>
      <c r="E94" s="10" t="n"/>
      <c r="F94" s="10" t="n"/>
    </row>
    <row r="95" ht="15" customHeight="1">
      <c r="A95" s="10" t="n"/>
      <c r="B95" s="10" t="n"/>
      <c r="C95" s="10" t="n"/>
      <c r="D95" s="10" t="n"/>
      <c r="E95" s="10" t="n"/>
      <c r="F95" s="10" t="n"/>
    </row>
    <row r="96" ht="15" customHeight="1">
      <c r="A96" s="10" t="n"/>
      <c r="B96" s="10" t="n"/>
      <c r="C96" s="10" t="n"/>
      <c r="D96" s="10" t="n"/>
      <c r="E96" s="10" t="n"/>
      <c r="F96" s="10" t="n"/>
    </row>
    <row r="97" ht="15" customHeight="1">
      <c r="A97" s="10" t="n"/>
      <c r="B97" s="10" t="n"/>
      <c r="C97" s="10" t="n"/>
      <c r="D97" s="10" t="n"/>
      <c r="E97" s="10" t="n"/>
      <c r="F97" s="10" t="n"/>
    </row>
    <row r="98" ht="15" customHeight="1">
      <c r="A98" s="10" t="n"/>
      <c r="B98" s="10" t="n"/>
      <c r="C98" s="10" t="n"/>
      <c r="D98" s="10" t="n"/>
      <c r="E98" s="10" t="n"/>
      <c r="F98" s="10" t="n"/>
    </row>
    <row r="99" ht="15" customHeight="1">
      <c r="A99" s="10" t="n"/>
      <c r="B99" s="10" t="n"/>
      <c r="C99" s="10" t="n"/>
      <c r="D99" s="10" t="n"/>
      <c r="E99" s="10" t="n"/>
      <c r="F99" s="10" t="n"/>
    </row>
    <row r="100" ht="15" customHeight="1">
      <c r="A100" s="10" t="n"/>
      <c r="B100" s="10" t="n"/>
      <c r="C100" s="10" t="n"/>
      <c r="D100" s="10" t="n"/>
      <c r="E100" s="10" t="n"/>
      <c r="F100" s="10" t="n"/>
    </row>
    <row r="101" ht="15" customHeight="1">
      <c r="A101" s="10" t="n"/>
      <c r="B101" s="10" t="n"/>
      <c r="C101" s="10" t="n"/>
      <c r="D101" s="10" t="n"/>
      <c r="E101" s="10" t="n"/>
      <c r="F101" s="10" t="n"/>
    </row>
    <row r="102" ht="15" customHeight="1">
      <c r="A102" s="10" t="n"/>
      <c r="B102" s="10" t="n"/>
      <c r="C102" s="10" t="n"/>
      <c r="D102" s="10" t="n"/>
      <c r="E102" s="10" t="n"/>
      <c r="F102" s="10" t="n"/>
    </row>
    <row r="103" ht="15" customHeight="1">
      <c r="A103" s="10" t="n"/>
      <c r="B103" s="10" t="n"/>
      <c r="C103" s="10" t="n"/>
      <c r="D103" s="10" t="n"/>
      <c r="E103" s="10" t="n"/>
      <c r="F103" s="10" t="n"/>
    </row>
    <row r="104" ht="15" customHeight="1">
      <c r="A104" s="10" t="n"/>
      <c r="B104" s="10" t="n"/>
      <c r="C104" s="10" t="n"/>
      <c r="D104" s="10" t="n"/>
      <c r="E104" s="10" t="n"/>
      <c r="F104" s="10" t="n"/>
    </row>
    <row r="105" ht="15" customHeight="1">
      <c r="A105" s="10" t="n"/>
      <c r="B105" s="10" t="n"/>
      <c r="C105" s="10" t="n"/>
      <c r="D105" s="10" t="n"/>
      <c r="E105" s="10" t="n"/>
      <c r="F105" s="10" t="n"/>
    </row>
    <row r="106" ht="15" customHeight="1">
      <c r="A106" s="10" t="n"/>
      <c r="B106" s="10" t="n"/>
      <c r="C106" s="10" t="n"/>
      <c r="D106" s="10" t="n"/>
      <c r="E106" s="10" t="n"/>
      <c r="F106" s="10" t="n"/>
    </row>
    <row r="107" ht="15" customHeight="1">
      <c r="A107" s="10" t="n"/>
      <c r="B107" s="10" t="n"/>
      <c r="C107" s="10" t="n"/>
      <c r="D107" s="10" t="n"/>
      <c r="E107" s="10" t="n"/>
      <c r="F107" s="10" t="n"/>
    </row>
    <row r="108" ht="15" customHeight="1">
      <c r="A108" s="10" t="n"/>
      <c r="B108" s="10" t="n"/>
      <c r="C108" s="10" t="n"/>
      <c r="D108" s="10" t="n"/>
      <c r="E108" s="10" t="n"/>
      <c r="F108" s="10" t="n"/>
    </row>
    <row r="109" ht="15" customHeight="1">
      <c r="A109" s="10" t="n"/>
      <c r="B109" s="10" t="n"/>
      <c r="C109" s="10" t="n"/>
      <c r="D109" s="10" t="n"/>
      <c r="E109" s="10" t="n"/>
      <c r="F109" s="10" t="n"/>
    </row>
    <row r="110" ht="15" customHeight="1">
      <c r="A110" s="10" t="n"/>
      <c r="B110" s="10" t="n"/>
      <c r="C110" s="10" t="n"/>
      <c r="D110" s="10" t="n"/>
      <c r="E110" s="10" t="n"/>
      <c r="F110" s="10" t="n"/>
    </row>
    <row r="111" ht="15" customHeight="1">
      <c r="A111" s="10" t="n"/>
      <c r="B111" s="10" t="n"/>
      <c r="C111" s="10" t="n"/>
      <c r="D111" s="10" t="n"/>
      <c r="E111" s="10" t="n"/>
      <c r="F111" s="10" t="n"/>
    </row>
    <row r="112" ht="15" customHeight="1">
      <c r="A112" s="10" t="n"/>
      <c r="B112" s="10" t="n"/>
      <c r="C112" s="10" t="n"/>
      <c r="D112" s="10" t="n"/>
      <c r="E112" s="10" t="n"/>
      <c r="F112" s="10" t="n"/>
    </row>
    <row r="113" ht="15" customHeight="1">
      <c r="A113" s="10" t="n"/>
      <c r="B113" s="10" t="n"/>
      <c r="C113" s="10" t="n"/>
      <c r="D113" s="10" t="n"/>
      <c r="E113" s="10" t="n"/>
      <c r="F113" s="10" t="n"/>
    </row>
    <row r="114" ht="15" customHeight="1">
      <c r="A114" s="10" t="n"/>
      <c r="B114" s="10" t="n"/>
      <c r="C114" s="10" t="n"/>
      <c r="D114" s="10" t="n"/>
      <c r="E114" s="10" t="n"/>
      <c r="F114" s="10" t="n"/>
    </row>
    <row r="115" ht="15" customHeight="1">
      <c r="A115" s="10" t="n"/>
      <c r="B115" s="10" t="n"/>
      <c r="C115" s="10" t="n"/>
      <c r="D115" s="10" t="n"/>
      <c r="E115" s="10" t="n"/>
      <c r="F115" s="10" t="n"/>
    </row>
    <row r="116" ht="15" customHeight="1">
      <c r="A116" s="10" t="n"/>
      <c r="B116" s="10" t="n"/>
      <c r="C116" s="10" t="n"/>
      <c r="D116" s="10" t="n"/>
      <c r="E116" s="10" t="n"/>
      <c r="F116" s="10" t="n"/>
    </row>
    <row r="117" ht="15" customHeight="1">
      <c r="A117" s="10" t="n"/>
      <c r="B117" s="10" t="n"/>
      <c r="C117" s="10" t="n"/>
      <c r="D117" s="10" t="n"/>
      <c r="E117" s="10" t="n"/>
      <c r="F117" s="10" t="n"/>
    </row>
    <row r="118" ht="15" customHeight="1">
      <c r="A118" s="10" t="n"/>
      <c r="B118" s="10" t="n"/>
      <c r="C118" s="10" t="n"/>
      <c r="D118" s="10" t="n"/>
      <c r="E118" s="10" t="n"/>
      <c r="F118" s="10" t="n"/>
    </row>
    <row r="119" ht="15" customHeight="1">
      <c r="A119" s="10" t="n"/>
      <c r="B119" s="10" t="n"/>
      <c r="C119" s="10" t="n"/>
      <c r="D119" s="10" t="n"/>
      <c r="E119" s="10" t="n"/>
      <c r="F119" s="10" t="n"/>
    </row>
    <row r="120" ht="15" customHeight="1">
      <c r="A120" s="10" t="n"/>
      <c r="B120" s="10" t="n"/>
      <c r="C120" s="10" t="n"/>
      <c r="D120" s="10" t="n"/>
      <c r="E120" s="10" t="n"/>
      <c r="F120" s="10" t="n"/>
    </row>
    <row r="121" ht="15" customHeight="1">
      <c r="A121" s="10" t="n"/>
      <c r="B121" s="10" t="n"/>
      <c r="C121" s="10" t="n"/>
      <c r="D121" s="10" t="n"/>
      <c r="E121" s="10" t="n"/>
      <c r="F121" s="10" t="n"/>
    </row>
    <row r="122" ht="15" customHeight="1">
      <c r="A122" s="10" t="n"/>
      <c r="B122" s="10" t="n"/>
      <c r="C122" s="10" t="n"/>
      <c r="D122" s="10" t="n"/>
      <c r="E122" s="10" t="n"/>
      <c r="F122" s="10" t="n"/>
    </row>
    <row r="123" ht="15" customHeight="1">
      <c r="A123" s="10" t="n"/>
      <c r="B123" s="10" t="n"/>
      <c r="C123" s="10" t="n"/>
      <c r="D123" s="10" t="n"/>
      <c r="E123" s="10" t="n"/>
      <c r="F123" s="10" t="n"/>
    </row>
    <row r="124" ht="15" customHeight="1">
      <c r="A124" s="10" t="n"/>
      <c r="B124" s="10" t="n"/>
      <c r="C124" s="10" t="n"/>
      <c r="D124" s="10" t="n"/>
      <c r="E124" s="10" t="n"/>
      <c r="F124" s="10" t="n"/>
    </row>
    <row r="125" ht="15" customHeight="1">
      <c r="A125" s="10" t="n"/>
      <c r="B125" s="10" t="n"/>
      <c r="C125" s="10" t="n"/>
      <c r="D125" s="10" t="n"/>
      <c r="E125" s="10" t="n"/>
      <c r="F125" s="10" t="n"/>
    </row>
    <row r="126" ht="15" customHeight="1">
      <c r="A126" s="10" t="n"/>
      <c r="B126" s="10" t="n"/>
      <c r="C126" s="10" t="n"/>
      <c r="D126" s="10" t="n"/>
      <c r="E126" s="10" t="n"/>
      <c r="F126" s="10" t="n"/>
    </row>
    <row r="127" ht="15" customHeight="1">
      <c r="A127" s="10" t="n"/>
      <c r="B127" s="10" t="n"/>
      <c r="C127" s="10" t="n"/>
      <c r="D127" s="10" t="n"/>
      <c r="E127" s="10" t="n"/>
      <c r="F127" s="10" t="n"/>
    </row>
    <row r="128" ht="15" customHeight="1">
      <c r="A128" s="10" t="n"/>
      <c r="B128" s="10" t="n"/>
      <c r="C128" s="10" t="n"/>
      <c r="D128" s="10" t="n"/>
      <c r="E128" s="10" t="n"/>
      <c r="F128" s="10" t="n"/>
    </row>
    <row r="129" ht="15" customHeight="1">
      <c r="A129" s="10" t="n"/>
      <c r="B129" s="10" t="n"/>
      <c r="C129" s="10" t="n"/>
      <c r="D129" s="10" t="n"/>
      <c r="E129" s="10" t="n"/>
      <c r="F129" s="10" t="n"/>
    </row>
    <row r="130" ht="15" customHeight="1">
      <c r="A130" s="10" t="n"/>
      <c r="B130" s="10" t="n"/>
      <c r="C130" s="10" t="n"/>
      <c r="D130" s="10" t="n"/>
      <c r="E130" s="10" t="n"/>
      <c r="F130" s="10" t="n"/>
    </row>
    <row r="131" ht="15" customHeight="1">
      <c r="A131" s="10" t="n"/>
      <c r="B131" s="10" t="n"/>
      <c r="C131" s="10" t="n"/>
      <c r="D131" s="10" t="n"/>
      <c r="E131" s="10" t="n"/>
      <c r="F131" s="10" t="n"/>
    </row>
    <row r="132" ht="15" customHeight="1">
      <c r="A132" s="10" t="n"/>
      <c r="B132" s="10" t="n"/>
      <c r="C132" s="10" t="n"/>
      <c r="D132" s="10" t="n"/>
      <c r="E132" s="10" t="n"/>
      <c r="F132" s="10" t="n"/>
    </row>
    <row r="133" ht="15" customHeight="1">
      <c r="A133" s="10" t="n"/>
      <c r="B133" s="10" t="n"/>
      <c r="C133" s="10" t="n"/>
      <c r="D133" s="10" t="n"/>
      <c r="E133" s="10" t="n"/>
      <c r="F133" s="10" t="n"/>
    </row>
    <row r="134" ht="15" customHeight="1">
      <c r="A134" s="10" t="n"/>
      <c r="B134" s="10" t="n"/>
      <c r="C134" s="10" t="n"/>
      <c r="D134" s="10" t="n"/>
      <c r="E134" s="10" t="n"/>
      <c r="F134" s="10" t="n"/>
    </row>
    <row r="135" ht="15" customHeight="1">
      <c r="A135" s="10" t="n"/>
      <c r="B135" s="10" t="n"/>
      <c r="C135" s="10" t="n"/>
      <c r="D135" s="10" t="n"/>
      <c r="E135" s="10" t="n"/>
      <c r="F135" s="10" t="n"/>
    </row>
    <row r="136" ht="15" customHeight="1">
      <c r="A136" s="10" t="n"/>
      <c r="B136" s="10" t="n"/>
      <c r="C136" s="10" t="n"/>
      <c r="D136" s="10" t="n"/>
      <c r="E136" s="10" t="n"/>
      <c r="F136" s="10" t="n"/>
    </row>
    <row r="137" ht="15" customHeight="1">
      <c r="A137" s="10" t="n"/>
      <c r="B137" s="10" t="n"/>
      <c r="C137" s="10" t="n"/>
      <c r="D137" s="10" t="n"/>
      <c r="E137" s="10" t="n"/>
      <c r="F137" s="10" t="n"/>
    </row>
    <row r="138" ht="15" customHeight="1">
      <c r="A138" s="10" t="n"/>
      <c r="B138" s="10" t="n"/>
      <c r="C138" s="10" t="n"/>
      <c r="D138" s="10" t="n"/>
      <c r="E138" s="10" t="n"/>
      <c r="F138" s="10" t="n"/>
    </row>
    <row r="139" ht="15" customHeight="1">
      <c r="A139" s="10" t="n"/>
      <c r="B139" s="10" t="n"/>
      <c r="C139" s="10" t="n"/>
      <c r="D139" s="10" t="n"/>
      <c r="E139" s="10" t="n"/>
      <c r="F139" s="10" t="n"/>
    </row>
    <row r="140" ht="15" customHeight="1">
      <c r="A140" s="10" t="n"/>
      <c r="B140" s="10" t="n"/>
      <c r="C140" s="10" t="n"/>
      <c r="D140" s="10" t="n"/>
      <c r="E140" s="10" t="n"/>
      <c r="F140" s="10" t="n"/>
    </row>
    <row r="141" ht="15" customHeight="1">
      <c r="A141" s="10" t="n"/>
      <c r="B141" s="10" t="n"/>
      <c r="C141" s="10" t="n"/>
      <c r="D141" s="10" t="n"/>
      <c r="E141" s="10" t="n"/>
      <c r="F141" s="10" t="n"/>
    </row>
    <row r="142" ht="15" customHeight="1">
      <c r="A142" s="10" t="n"/>
      <c r="B142" s="10" t="n"/>
      <c r="C142" s="10" t="n"/>
      <c r="D142" s="10" t="n"/>
      <c r="E142" s="10" t="n"/>
      <c r="F142" s="10" t="n"/>
    </row>
    <row r="143" ht="15" customHeight="1">
      <c r="A143" s="10" t="n"/>
      <c r="B143" s="10" t="n"/>
      <c r="C143" s="10" t="n"/>
      <c r="D143" s="10" t="n"/>
      <c r="E143" s="10" t="n"/>
      <c r="F143" s="10" t="n"/>
    </row>
    <row r="144" ht="15" customHeight="1">
      <c r="A144" s="10" t="n"/>
      <c r="B144" s="10" t="n"/>
      <c r="C144" s="10" t="n"/>
      <c r="D144" s="10" t="n"/>
      <c r="E144" s="10" t="n"/>
      <c r="F144" s="10" t="n"/>
    </row>
    <row r="145" ht="15" customHeight="1">
      <c r="A145" s="10" t="n"/>
      <c r="B145" s="10" t="n"/>
      <c r="C145" s="10" t="n"/>
      <c r="D145" s="10" t="n"/>
      <c r="E145" s="10" t="n"/>
      <c r="F145" s="10" t="n"/>
    </row>
    <row r="146" ht="15" customHeight="1">
      <c r="A146" s="10" t="n"/>
      <c r="B146" s="10" t="n"/>
      <c r="C146" s="10" t="n"/>
      <c r="D146" s="10" t="n"/>
      <c r="E146" s="10" t="n"/>
      <c r="F146" s="10" t="n"/>
    </row>
    <row r="147" ht="15" customHeight="1">
      <c r="A147" s="10" t="n"/>
      <c r="B147" s="10" t="n"/>
      <c r="C147" s="10" t="n"/>
      <c r="D147" s="10" t="n"/>
      <c r="E147" s="10" t="n"/>
      <c r="F147" s="10" t="n"/>
    </row>
    <row r="148" ht="15" customHeight="1">
      <c r="A148" s="10" t="n"/>
      <c r="B148" s="10" t="n"/>
      <c r="C148" s="10" t="n"/>
      <c r="D148" s="10" t="n"/>
      <c r="E148" s="10" t="n"/>
      <c r="F148" s="10" t="n"/>
    </row>
    <row r="149" ht="15" customHeight="1">
      <c r="A149" s="10" t="n"/>
      <c r="B149" s="10" t="n"/>
      <c r="C149" s="10" t="n"/>
      <c r="D149" s="10" t="n"/>
      <c r="E149" s="10" t="n"/>
      <c r="F149" s="10" t="n"/>
    </row>
    <row r="150" ht="15" customHeight="1">
      <c r="A150" s="10" t="n"/>
      <c r="B150" s="10" t="n"/>
      <c r="C150" s="10" t="n"/>
      <c r="D150" s="10" t="n"/>
      <c r="E150" s="10" t="n"/>
      <c r="F150" s="10" t="n"/>
    </row>
    <row r="151" ht="15" customHeight="1">
      <c r="A151" s="10" t="n"/>
      <c r="B151" s="10" t="n"/>
      <c r="C151" s="10" t="n"/>
      <c r="D151" s="10" t="n"/>
      <c r="E151" s="10" t="n"/>
      <c r="F151" s="10" t="n"/>
    </row>
    <row r="152" ht="15" customHeight="1">
      <c r="A152" s="10" t="n"/>
      <c r="B152" s="10" t="n"/>
      <c r="C152" s="10" t="n"/>
      <c r="D152" s="10" t="n"/>
      <c r="E152" s="10" t="n"/>
      <c r="F152" s="10" t="n"/>
    </row>
    <row r="153" ht="15" customHeight="1">
      <c r="A153" s="10" t="n"/>
      <c r="B153" s="10" t="n"/>
      <c r="C153" s="10" t="n"/>
      <c r="D153" s="10" t="n"/>
      <c r="E153" s="10" t="n"/>
      <c r="F153" s="10" t="n"/>
    </row>
    <row r="154" ht="15" customHeight="1">
      <c r="A154" s="10" t="n"/>
      <c r="B154" s="10" t="n"/>
      <c r="C154" s="10" t="n"/>
      <c r="D154" s="10" t="n"/>
      <c r="E154" s="10" t="n"/>
      <c r="F154" s="10" t="n"/>
    </row>
    <row r="155" ht="15" customHeight="1">
      <c r="A155" s="10" t="n"/>
      <c r="B155" s="10" t="n"/>
      <c r="C155" s="10" t="n"/>
      <c r="D155" s="10" t="n"/>
      <c r="E155" s="10" t="n"/>
      <c r="F155" s="10" t="n"/>
    </row>
    <row r="156" ht="15" customHeight="1">
      <c r="A156" s="10" t="n"/>
      <c r="B156" s="10" t="n"/>
      <c r="C156" s="10" t="n"/>
      <c r="D156" s="10" t="n"/>
      <c r="E156" s="10" t="n"/>
      <c r="F156" s="10" t="n"/>
    </row>
    <row r="157" ht="15" customHeight="1">
      <c r="A157" s="10" t="n"/>
      <c r="B157" s="10" t="n"/>
      <c r="C157" s="10" t="n"/>
      <c r="D157" s="10" t="n"/>
      <c r="E157" s="10" t="n"/>
      <c r="F157" s="10" t="n"/>
    </row>
    <row r="158" ht="15" customHeight="1">
      <c r="A158" s="10" t="n"/>
      <c r="B158" s="10" t="n"/>
      <c r="C158" s="10" t="n"/>
      <c r="D158" s="10" t="n"/>
      <c r="E158" s="10" t="n"/>
      <c r="F158" s="10" t="n"/>
    </row>
    <row r="159" ht="15" customHeight="1">
      <c r="A159" s="10" t="n"/>
      <c r="B159" s="10" t="n"/>
      <c r="C159" s="10" t="n"/>
      <c r="D159" s="10" t="n"/>
      <c r="E159" s="10" t="n"/>
      <c r="F159" s="10" t="n"/>
    </row>
    <row r="160" ht="15" customHeight="1">
      <c r="A160" s="10" t="n"/>
      <c r="B160" s="10" t="n"/>
      <c r="C160" s="10" t="n"/>
      <c r="D160" s="10" t="n"/>
      <c r="E160" s="10" t="n"/>
      <c r="F160" s="10" t="n"/>
    </row>
    <row r="161" ht="15" customHeight="1">
      <c r="A161" s="10" t="n"/>
      <c r="B161" s="10" t="n"/>
      <c r="C161" s="10" t="n"/>
      <c r="D161" s="10" t="n"/>
      <c r="E161" s="10" t="n"/>
      <c r="F161" s="10" t="n"/>
    </row>
    <row r="162" ht="15" customHeight="1">
      <c r="A162" s="10" t="n"/>
      <c r="B162" s="10" t="n"/>
      <c r="C162" s="10" t="n"/>
      <c r="D162" s="10" t="n"/>
      <c r="E162" s="10" t="n"/>
      <c r="F162" s="10" t="n"/>
    </row>
    <row r="163" ht="15" customHeight="1">
      <c r="A163" s="10" t="n"/>
      <c r="B163" s="10" t="n"/>
      <c r="C163" s="10" t="n"/>
      <c r="D163" s="10" t="n"/>
      <c r="E163" s="10" t="n"/>
      <c r="F163" s="10" t="n"/>
    </row>
    <row r="164" ht="15" customHeight="1">
      <c r="A164" s="10" t="n"/>
      <c r="B164" s="10" t="n"/>
      <c r="C164" s="10" t="n"/>
      <c r="D164" s="10" t="n"/>
      <c r="E164" s="10" t="n"/>
      <c r="F164" s="10" t="n"/>
    </row>
    <row r="165" ht="15" customHeight="1">
      <c r="A165" s="10" t="n"/>
      <c r="B165" s="10" t="n"/>
      <c r="C165" s="10" t="n"/>
      <c r="D165" s="10" t="n"/>
      <c r="E165" s="10" t="n"/>
      <c r="F165" s="10" t="n"/>
    </row>
    <row r="166" ht="15" customHeight="1">
      <c r="A166" s="10" t="n"/>
      <c r="B166" s="10" t="n"/>
      <c r="C166" s="10" t="n"/>
      <c r="D166" s="10" t="n"/>
      <c r="E166" s="10" t="n"/>
      <c r="F166" s="10" t="n"/>
    </row>
    <row r="167" ht="15" customHeight="1">
      <c r="A167" s="10" t="n"/>
      <c r="B167" s="10" t="n"/>
      <c r="C167" s="10" t="n"/>
      <c r="D167" s="10" t="n"/>
      <c r="E167" s="10" t="n"/>
      <c r="F167" s="10" t="n"/>
    </row>
    <row r="168" ht="15" customHeight="1">
      <c r="A168" s="10" t="n"/>
      <c r="B168" s="10" t="n"/>
      <c r="C168" s="10" t="n"/>
      <c r="D168" s="10" t="n"/>
      <c r="E168" s="10" t="n"/>
      <c r="F168" s="10" t="n"/>
    </row>
    <row r="169" ht="15" customHeight="1">
      <c r="A169" s="10" t="n"/>
      <c r="B169" s="10" t="n"/>
      <c r="C169" s="10" t="n"/>
      <c r="D169" s="10" t="n"/>
      <c r="E169" s="10" t="n"/>
      <c r="F169" s="10" t="n"/>
    </row>
    <row r="170" ht="15" customHeight="1">
      <c r="A170" s="10" t="n"/>
      <c r="B170" s="10" t="n"/>
      <c r="C170" s="10" t="n"/>
      <c r="D170" s="10" t="n"/>
      <c r="E170" s="10" t="n"/>
      <c r="F170" s="10" t="n"/>
    </row>
    <row r="171" ht="15" customHeight="1">
      <c r="A171" s="10" t="n"/>
      <c r="B171" s="10" t="n"/>
      <c r="C171" s="10" t="n"/>
      <c r="D171" s="10" t="n"/>
      <c r="E171" s="10" t="n"/>
      <c r="F171" s="10" t="n"/>
    </row>
    <row r="172" ht="15" customHeight="1">
      <c r="A172" s="10" t="n"/>
      <c r="B172" s="10" t="n"/>
      <c r="C172" s="10" t="n"/>
      <c r="D172" s="10" t="n"/>
      <c r="E172" s="10" t="n"/>
      <c r="F172" s="10" t="n"/>
    </row>
    <row r="173" ht="15" customHeight="1">
      <c r="A173" s="10" t="n"/>
      <c r="B173" s="10" t="n"/>
      <c r="C173" s="10" t="n"/>
      <c r="D173" s="10" t="n"/>
      <c r="E173" s="10" t="n"/>
      <c r="F173" s="10" t="n"/>
    </row>
    <row r="174" ht="15" customHeight="1">
      <c r="A174" s="10" t="n"/>
      <c r="B174" s="10" t="n"/>
      <c r="C174" s="10" t="n"/>
      <c r="D174" s="10" t="n"/>
      <c r="E174" s="10" t="n"/>
      <c r="F174" s="10" t="n"/>
    </row>
    <row r="175" ht="15" customHeight="1">
      <c r="A175" s="10" t="n"/>
      <c r="B175" s="10" t="n"/>
      <c r="C175" s="10" t="n"/>
      <c r="D175" s="10" t="n"/>
      <c r="E175" s="10" t="n"/>
      <c r="F175" s="10" t="n"/>
    </row>
    <row r="176" ht="15" customHeight="1">
      <c r="A176" s="10" t="n"/>
      <c r="B176" s="10" t="n"/>
      <c r="C176" s="10" t="n"/>
      <c r="D176" s="10" t="n"/>
      <c r="E176" s="10" t="n"/>
      <c r="F176" s="10" t="n"/>
    </row>
    <row r="177" ht="15" customHeight="1">
      <c r="A177" s="10" t="n"/>
      <c r="B177" s="10" t="n"/>
      <c r="C177" s="10" t="n"/>
      <c r="D177" s="10" t="n"/>
      <c r="E177" s="10" t="n"/>
      <c r="F177" s="10" t="n"/>
    </row>
    <row r="178" ht="15" customHeight="1">
      <c r="A178" s="10" t="n"/>
      <c r="B178" s="10" t="n"/>
      <c r="C178" s="10" t="n"/>
      <c r="D178" s="10" t="n"/>
      <c r="E178" s="10" t="n"/>
      <c r="F178" s="10" t="n"/>
    </row>
    <row r="179" ht="15" customHeight="1">
      <c r="A179" s="10" t="n"/>
      <c r="B179" s="10" t="n"/>
      <c r="C179" s="10" t="n"/>
      <c r="D179" s="10" t="n"/>
      <c r="E179" s="10" t="n"/>
      <c r="F179" s="10" t="n"/>
    </row>
    <row r="180" ht="15" customHeight="1">
      <c r="A180" s="10" t="n"/>
      <c r="B180" s="10" t="n"/>
      <c r="C180" s="10" t="n"/>
      <c r="D180" s="10" t="n"/>
      <c r="E180" s="10" t="n"/>
      <c r="F180" s="10" t="n"/>
    </row>
    <row r="181" ht="15" customHeight="1">
      <c r="A181" s="10" t="n"/>
      <c r="B181" s="10" t="n"/>
      <c r="C181" s="10" t="n"/>
      <c r="D181" s="10" t="n"/>
      <c r="E181" s="10" t="n"/>
      <c r="F181" s="10" t="n"/>
    </row>
    <row r="182" ht="15" customHeight="1">
      <c r="A182" s="10" t="n"/>
      <c r="B182" s="10" t="n"/>
      <c r="C182" s="10" t="n"/>
      <c r="D182" s="10" t="n"/>
      <c r="E182" s="10" t="n"/>
      <c r="F182" s="10" t="n"/>
    </row>
    <row r="183" ht="15" customHeight="1">
      <c r="A183" s="10" t="n"/>
      <c r="B183" s="10" t="n"/>
      <c r="C183" s="10" t="n"/>
      <c r="D183" s="10" t="n"/>
      <c r="E183" s="10" t="n"/>
      <c r="F183" s="10" t="n"/>
    </row>
    <row r="184" ht="15" customHeight="1">
      <c r="A184" s="10" t="n"/>
      <c r="B184" s="10" t="n"/>
      <c r="C184" s="10" t="n"/>
      <c r="D184" s="10" t="n"/>
      <c r="E184" s="10" t="n"/>
      <c r="F184" s="10" t="n"/>
    </row>
    <row r="185" ht="15" customHeight="1">
      <c r="A185" s="10" t="n"/>
      <c r="B185" s="10" t="n"/>
      <c r="C185" s="10" t="n"/>
      <c r="D185" s="10" t="n"/>
      <c r="E185" s="10" t="n"/>
      <c r="F185" s="10" t="n"/>
    </row>
    <row r="186" ht="15" customHeight="1">
      <c r="A186" s="10" t="n"/>
      <c r="B186" s="10" t="n"/>
      <c r="C186" s="10" t="n"/>
      <c r="D186" s="10" t="n"/>
      <c r="E186" s="10" t="n"/>
      <c r="F186" s="10" t="n"/>
    </row>
    <row r="187" ht="15" customHeight="1">
      <c r="A187" s="10" t="n"/>
      <c r="B187" s="10" t="n"/>
      <c r="C187" s="10" t="n"/>
      <c r="D187" s="10" t="n"/>
      <c r="E187" s="10" t="n"/>
      <c r="F187" s="10" t="n"/>
    </row>
    <row r="188" ht="15" customHeight="1">
      <c r="A188" s="10" t="n"/>
      <c r="B188" s="10" t="n"/>
      <c r="C188" s="10" t="n"/>
      <c r="D188" s="10" t="n"/>
      <c r="E188" s="10" t="n"/>
      <c r="F188" s="10" t="n"/>
    </row>
    <row r="189" ht="15" customHeight="1">
      <c r="A189" s="10" t="n"/>
      <c r="B189" s="10" t="n"/>
      <c r="C189" s="10" t="n"/>
      <c r="D189" s="10" t="n"/>
      <c r="E189" s="10" t="n"/>
      <c r="F189" s="10" t="n"/>
    </row>
    <row r="190" ht="15" customHeight="1">
      <c r="A190" s="10" t="n"/>
      <c r="B190" s="10" t="n"/>
      <c r="C190" s="10" t="n"/>
      <c r="D190" s="10" t="n"/>
      <c r="E190" s="10" t="n"/>
      <c r="F190" s="10" t="n"/>
    </row>
    <row r="191" ht="15" customHeight="1">
      <c r="A191" s="10" t="n"/>
      <c r="B191" s="10" t="n"/>
      <c r="C191" s="10" t="n"/>
      <c r="D191" s="10" t="n"/>
      <c r="E191" s="10" t="n"/>
      <c r="F191" s="10" t="n"/>
    </row>
    <row r="192" ht="15" customHeight="1">
      <c r="A192" s="10" t="n"/>
      <c r="B192" s="10" t="n"/>
      <c r="C192" s="10" t="n"/>
      <c r="D192" s="10" t="n"/>
      <c r="E192" s="10" t="n"/>
      <c r="F192" s="10" t="n"/>
    </row>
    <row r="193" ht="15" customHeight="1">
      <c r="A193" s="10" t="n"/>
      <c r="B193" s="10" t="n"/>
      <c r="C193" s="10" t="n"/>
      <c r="D193" s="10" t="n"/>
      <c r="E193" s="10" t="n"/>
      <c r="F193" s="10" t="n"/>
    </row>
    <row r="194" ht="15" customHeight="1">
      <c r="A194" s="10" t="n"/>
      <c r="B194" s="10" t="n"/>
      <c r="C194" s="10" t="n"/>
      <c r="D194" s="10" t="n"/>
      <c r="E194" s="10" t="n"/>
      <c r="F194" s="10" t="n"/>
    </row>
    <row r="195" ht="15" customHeight="1">
      <c r="A195" s="10" t="n"/>
      <c r="B195" s="10" t="n"/>
      <c r="C195" s="10" t="n"/>
      <c r="D195" s="10" t="n"/>
      <c r="E195" s="10" t="n"/>
      <c r="F195" s="10" t="n"/>
    </row>
    <row r="196" ht="15" customHeight="1">
      <c r="A196" s="10" t="n"/>
      <c r="B196" s="10" t="n"/>
      <c r="C196" s="10" t="n"/>
      <c r="D196" s="10" t="n"/>
      <c r="E196" s="10" t="n"/>
      <c r="F196" s="10" t="n"/>
    </row>
    <row r="197" ht="15" customHeight="1">
      <c r="A197" s="10" t="n"/>
      <c r="B197" s="10" t="n"/>
      <c r="C197" s="10" t="n"/>
      <c r="D197" s="10" t="n"/>
      <c r="E197" s="10" t="n"/>
      <c r="F197" s="10" t="n"/>
    </row>
    <row r="198" ht="15" customHeight="1">
      <c r="A198" s="10" t="n"/>
      <c r="B198" s="10" t="n"/>
      <c r="C198" s="10" t="n"/>
      <c r="D198" s="10" t="n"/>
      <c r="E198" s="10" t="n"/>
      <c r="F198" s="10" t="n"/>
    </row>
    <row r="199" ht="15" customHeight="1">
      <c r="A199" s="10" t="n"/>
      <c r="B199" s="10" t="n"/>
      <c r="C199" s="10" t="n"/>
      <c r="D199" s="10" t="n"/>
      <c r="E199" s="10" t="n"/>
      <c r="F199" s="10" t="n"/>
    </row>
    <row r="200" ht="15" customHeight="1">
      <c r="A200" s="10" t="n"/>
      <c r="B200" s="10" t="n"/>
      <c r="C200" s="10" t="n"/>
      <c r="D200" s="10" t="n"/>
      <c r="E200" s="10" t="n"/>
      <c r="F200" s="10" t="n"/>
    </row>
    <row r="201">
      <c r="A201" s="10" t="n"/>
      <c r="B201" s="10" t="n"/>
      <c r="C201" s="10" t="n"/>
      <c r="D201" s="10" t="n"/>
      <c r="E201" s="10" t="n"/>
      <c r="F201" s="10" t="n"/>
    </row>
    <row r="202">
      <c r="A202" s="10" t="n"/>
      <c r="B202" s="10" t="n"/>
      <c r="C202" s="10" t="n"/>
      <c r="D202" s="10" t="n"/>
      <c r="E202" s="10" t="n"/>
      <c r="F202" s="10" t="n"/>
    </row>
    <row r="203">
      <c r="A203" s="10" t="n"/>
      <c r="B203" s="10" t="n"/>
      <c r="C203" s="10" t="n"/>
      <c r="D203" s="10" t="n"/>
      <c r="E203" s="10" t="n"/>
      <c r="F203" s="10" t="n"/>
    </row>
    <row r="204">
      <c r="A204" s="10" t="n"/>
      <c r="B204" s="10" t="n"/>
      <c r="C204" s="10" t="n"/>
      <c r="D204" s="10" t="n"/>
      <c r="E204" s="10" t="n"/>
      <c r="F204" s="10" t="n"/>
    </row>
    <row r="205">
      <c r="A205" s="10" t="n"/>
      <c r="B205" s="10" t="n"/>
      <c r="C205" s="10" t="n"/>
      <c r="D205" s="10" t="n"/>
      <c r="E205" s="10" t="n"/>
      <c r="F205" s="10" t="n"/>
    </row>
    <row r="206">
      <c r="A206" s="10" t="n"/>
      <c r="B206" s="10" t="n"/>
      <c r="C206" s="10" t="n"/>
      <c r="D206" s="10" t="n"/>
      <c r="E206" s="10" t="n"/>
      <c r="F206" s="10" t="n"/>
    </row>
    <row r="207">
      <c r="A207" s="10" t="n"/>
      <c r="B207" s="10" t="n"/>
      <c r="C207" s="10" t="n"/>
      <c r="D207" s="10" t="n"/>
      <c r="E207" s="10" t="n"/>
      <c r="F207" s="10" t="n"/>
    </row>
    <row r="208">
      <c r="A208" s="10" t="n"/>
      <c r="B208" s="10" t="n"/>
      <c r="C208" s="10" t="n"/>
      <c r="D208" s="10" t="n"/>
      <c r="E208" s="10" t="n"/>
      <c r="F208" s="10" t="n"/>
    </row>
    <row r="209">
      <c r="A209" s="10" t="n"/>
      <c r="B209" s="10" t="n"/>
      <c r="C209" s="10" t="n"/>
      <c r="D209" s="10" t="n"/>
      <c r="E209" s="10" t="n"/>
      <c r="F209" s="10" t="n"/>
    </row>
    <row r="210">
      <c r="A210" s="10" t="n"/>
      <c r="B210" s="10" t="n"/>
      <c r="C210" s="10" t="n"/>
      <c r="D210" s="10" t="n"/>
      <c r="E210" s="10" t="n"/>
      <c r="F210" s="10" t="n"/>
    </row>
    <row r="211">
      <c r="A211" s="10" t="n"/>
      <c r="B211" s="10" t="n"/>
      <c r="C211" s="10" t="n"/>
      <c r="D211" s="10" t="n"/>
      <c r="E211" s="10" t="n"/>
      <c r="F211" s="10" t="n"/>
    </row>
    <row r="212">
      <c r="A212" s="10" t="n"/>
      <c r="B212" s="10" t="n"/>
      <c r="C212" s="10" t="n"/>
      <c r="D212" s="10" t="n"/>
      <c r="E212" s="10" t="n"/>
      <c r="F212" s="10" t="n"/>
    </row>
    <row r="213">
      <c r="A213" s="10" t="n"/>
      <c r="B213" s="10" t="n"/>
      <c r="C213" s="10" t="n"/>
      <c r="D213" s="10" t="n"/>
      <c r="E213" s="10" t="n"/>
      <c r="F213" s="10" t="n"/>
    </row>
    <row r="214">
      <c r="A214" s="10" t="n"/>
      <c r="B214" s="10" t="n"/>
      <c r="C214" s="10" t="n"/>
      <c r="D214" s="10" t="n"/>
      <c r="E214" s="10" t="n"/>
      <c r="F214" s="10" t="n"/>
    </row>
    <row r="215">
      <c r="A215" s="10" t="n"/>
      <c r="B215" s="10" t="n"/>
      <c r="C215" s="10" t="n"/>
      <c r="D215" s="10" t="n"/>
      <c r="E215" s="10" t="n"/>
      <c r="F215" s="10" t="n"/>
    </row>
    <row r="216">
      <c r="A216" s="10" t="n"/>
      <c r="B216" s="10" t="n"/>
      <c r="C216" s="10" t="n"/>
      <c r="D216" s="10" t="n"/>
      <c r="E216" s="10" t="n"/>
      <c r="F216" s="10" t="n"/>
    </row>
    <row r="217">
      <c r="A217" s="10" t="n"/>
      <c r="B217" s="10" t="n"/>
      <c r="C217" s="10" t="n"/>
      <c r="D217" s="10" t="n"/>
      <c r="E217" s="10" t="n"/>
      <c r="F217" s="10" t="n"/>
    </row>
    <row r="218">
      <c r="A218" s="10" t="n"/>
      <c r="B218" s="10" t="n"/>
      <c r="C218" s="10" t="n"/>
      <c r="D218" s="10" t="n"/>
      <c r="E218" s="10" t="n"/>
      <c r="F218" s="10" t="n"/>
    </row>
    <row r="219">
      <c r="A219" s="10" t="n"/>
      <c r="B219" s="10" t="n"/>
      <c r="C219" s="10" t="n"/>
      <c r="D219" s="10" t="n"/>
      <c r="E219" s="10" t="n"/>
      <c r="F219" s="10" t="n"/>
    </row>
    <row r="220">
      <c r="A220" s="10" t="n"/>
      <c r="B220" s="10" t="n"/>
      <c r="C220" s="10" t="n"/>
      <c r="D220" s="10" t="n"/>
      <c r="E220" s="10" t="n"/>
      <c r="F220" s="10" t="n"/>
    </row>
    <row r="221">
      <c r="A221" s="10" t="n"/>
      <c r="B221" s="10" t="n"/>
      <c r="C221" s="10" t="n"/>
      <c r="D221" s="10" t="n"/>
      <c r="E221" s="10" t="n"/>
      <c r="F221" s="10" t="n"/>
    </row>
    <row r="222">
      <c r="A222" s="10" t="n"/>
      <c r="B222" s="10" t="n"/>
      <c r="C222" s="10" t="n"/>
      <c r="D222" s="10" t="n"/>
      <c r="E222" s="10" t="n"/>
      <c r="F222" s="10" t="n"/>
    </row>
    <row r="223">
      <c r="A223" s="10" t="n"/>
      <c r="B223" s="10" t="n"/>
      <c r="C223" s="10" t="n"/>
      <c r="D223" s="10" t="n"/>
      <c r="E223" s="10" t="n"/>
      <c r="F223" s="10" t="n"/>
    </row>
    <row r="224">
      <c r="A224" s="10" t="n"/>
      <c r="B224" s="10" t="n"/>
      <c r="C224" s="10" t="n"/>
      <c r="D224" s="10" t="n"/>
      <c r="E224" s="10" t="n"/>
      <c r="F224" s="10" t="n"/>
    </row>
    <row r="225">
      <c r="A225" s="10" t="n"/>
      <c r="B225" s="10" t="n"/>
      <c r="C225" s="10" t="n"/>
      <c r="D225" s="10" t="n"/>
      <c r="E225" s="10" t="n"/>
      <c r="F225" s="10" t="n"/>
    </row>
    <row r="226">
      <c r="A226" s="10" t="n"/>
      <c r="B226" s="10" t="n"/>
      <c r="C226" s="10" t="n"/>
      <c r="D226" s="10" t="n"/>
      <c r="E226" s="10" t="n"/>
      <c r="F226" s="10" t="n"/>
    </row>
    <row r="227">
      <c r="A227" s="10" t="n"/>
      <c r="B227" s="10" t="n"/>
      <c r="C227" s="10" t="n"/>
      <c r="D227" s="10" t="n"/>
      <c r="E227" s="10" t="n"/>
      <c r="F227" s="10" t="n"/>
    </row>
    <row r="228">
      <c r="A228" s="10" t="n"/>
      <c r="B228" s="10" t="n"/>
      <c r="C228" s="10" t="n"/>
      <c r="D228" s="10" t="n"/>
      <c r="E228" s="10" t="n"/>
      <c r="F228" s="10" t="n"/>
    </row>
    <row r="229">
      <c r="A229" s="10" t="n"/>
      <c r="B229" s="10" t="n"/>
      <c r="C229" s="10" t="n"/>
      <c r="D229" s="10" t="n"/>
      <c r="E229" s="10" t="n"/>
      <c r="F229" s="10" t="n"/>
    </row>
    <row r="230">
      <c r="A230" s="10" t="n"/>
      <c r="B230" s="10" t="n"/>
      <c r="C230" s="10" t="n"/>
      <c r="D230" s="10" t="n"/>
      <c r="E230" s="10" t="n"/>
      <c r="F230" s="10" t="n"/>
    </row>
    <row r="231">
      <c r="A231" s="10" t="n"/>
      <c r="B231" s="10" t="n"/>
      <c r="C231" s="10" t="n"/>
      <c r="D231" s="10" t="n"/>
      <c r="E231" s="10" t="n"/>
      <c r="F231" s="10" t="n"/>
    </row>
    <row r="232">
      <c r="A232" s="10" t="n"/>
      <c r="B232" s="10" t="n"/>
      <c r="C232" s="10" t="n"/>
      <c r="D232" s="10" t="n"/>
      <c r="E232" s="10" t="n"/>
      <c r="F232" s="10" t="n"/>
    </row>
    <row r="233">
      <c r="A233" s="10" t="n"/>
      <c r="B233" s="10" t="n"/>
      <c r="C233" s="10" t="n"/>
      <c r="D233" s="10" t="n"/>
      <c r="E233" s="10" t="n"/>
      <c r="F233" s="10" t="n"/>
    </row>
    <row r="234">
      <c r="A234" s="10" t="n"/>
      <c r="B234" s="10" t="n"/>
      <c r="C234" s="10" t="n"/>
      <c r="D234" s="10" t="n"/>
      <c r="E234" s="10" t="n"/>
      <c r="F234" s="10" t="n"/>
    </row>
    <row r="235">
      <c r="A235" s="10" t="n"/>
      <c r="B235" s="10" t="n"/>
      <c r="C235" s="10" t="n"/>
      <c r="D235" s="10" t="n"/>
      <c r="E235" s="10" t="n"/>
      <c r="F235" s="10" t="n"/>
    </row>
    <row r="236">
      <c r="A236" s="10" t="n"/>
      <c r="B236" s="10" t="n"/>
      <c r="C236" s="10" t="n"/>
      <c r="D236" s="10" t="n"/>
      <c r="E236" s="10" t="n"/>
      <c r="F236" s="10" t="n"/>
    </row>
    <row r="237">
      <c r="A237" s="10" t="n"/>
      <c r="B237" s="10" t="n"/>
      <c r="C237" s="10" t="n"/>
      <c r="D237" s="10" t="n"/>
      <c r="E237" s="10" t="n"/>
      <c r="F237" s="10" t="n"/>
    </row>
    <row r="238">
      <c r="A238" s="10" t="n"/>
      <c r="B238" s="10" t="n"/>
      <c r="C238" s="10" t="n"/>
      <c r="D238" s="10" t="n"/>
      <c r="E238" s="10" t="n"/>
      <c r="F238" s="10" t="n"/>
    </row>
    <row r="239">
      <c r="A239" s="10" t="n"/>
      <c r="B239" s="10" t="n"/>
      <c r="C239" s="10" t="n"/>
      <c r="D239" s="10" t="n"/>
      <c r="E239" s="10" t="n"/>
      <c r="F239" s="10" t="n"/>
    </row>
    <row r="240">
      <c r="A240" s="10" t="n"/>
      <c r="B240" s="10" t="n"/>
      <c r="C240" s="10" t="n"/>
      <c r="D240" s="10" t="n"/>
      <c r="E240" s="10" t="n"/>
      <c r="F240" s="10" t="n"/>
    </row>
    <row r="241">
      <c r="A241" s="10" t="n"/>
      <c r="B241" s="10" t="n"/>
      <c r="C241" s="10" t="n"/>
      <c r="D241" s="10" t="n"/>
      <c r="E241" s="10" t="n"/>
      <c r="F241" s="10" t="n"/>
    </row>
    <row r="242">
      <c r="A242" s="10" t="n"/>
      <c r="B242" s="10" t="n"/>
      <c r="C242" s="10" t="n"/>
      <c r="D242" s="10" t="n"/>
      <c r="E242" s="10" t="n"/>
      <c r="F242" s="10" t="n"/>
    </row>
    <row r="243">
      <c r="A243" s="10" t="n"/>
      <c r="B243" s="10" t="n"/>
      <c r="C243" s="10" t="n"/>
      <c r="D243" s="10" t="n"/>
      <c r="E243" s="10" t="n"/>
      <c r="F243" s="10" t="n"/>
    </row>
    <row r="244">
      <c r="A244" s="10" t="n"/>
      <c r="B244" s="10" t="n"/>
      <c r="C244" s="10" t="n"/>
      <c r="D244" s="10" t="n"/>
      <c r="E244" s="10" t="n"/>
      <c r="F244" s="10" t="n"/>
    </row>
    <row r="245">
      <c r="A245" s="10" t="n"/>
      <c r="B245" s="10" t="n"/>
      <c r="C245" s="10" t="n"/>
      <c r="D245" s="10" t="n"/>
      <c r="E245" s="10" t="n"/>
      <c r="F245" s="10" t="n"/>
    </row>
    <row r="246">
      <c r="A246" s="10" t="n"/>
      <c r="B246" s="10" t="n"/>
      <c r="C246" s="10" t="n"/>
      <c r="D246" s="10" t="n"/>
      <c r="E246" s="10" t="n"/>
      <c r="F246" s="10" t="n"/>
    </row>
    <row r="247">
      <c r="A247" s="10" t="n"/>
      <c r="B247" s="10" t="n"/>
      <c r="C247" s="10" t="n"/>
      <c r="D247" s="10" t="n"/>
      <c r="E247" s="10" t="n"/>
      <c r="F247" s="10" t="n"/>
    </row>
    <row r="248">
      <c r="A248" s="10" t="n"/>
      <c r="B248" s="10" t="n"/>
      <c r="C248" s="10" t="n"/>
      <c r="D248" s="10" t="n"/>
      <c r="E248" s="10" t="n"/>
      <c r="F248" s="10" t="n"/>
    </row>
    <row r="249">
      <c r="A249" s="10" t="n"/>
      <c r="B249" s="10" t="n"/>
      <c r="C249" s="10" t="n"/>
      <c r="D249" s="10" t="n"/>
      <c r="E249" s="10" t="n"/>
      <c r="F249" s="10" t="n"/>
    </row>
    <row r="250">
      <c r="A250" s="10" t="n"/>
      <c r="B250" s="10" t="n"/>
      <c r="C250" s="10" t="n"/>
      <c r="D250" s="10" t="n"/>
      <c r="E250" s="10" t="n"/>
      <c r="F250" s="10" t="n"/>
    </row>
    <row r="251">
      <c r="A251" s="10" t="n"/>
      <c r="B251" s="10" t="n"/>
      <c r="C251" s="10" t="n"/>
      <c r="D251" s="10" t="n"/>
      <c r="E251" s="10" t="n"/>
      <c r="F251" s="10" t="n"/>
    </row>
    <row r="252">
      <c r="A252" s="10" t="n"/>
      <c r="B252" s="10" t="n"/>
      <c r="C252" s="10" t="n"/>
      <c r="D252" s="10" t="n"/>
      <c r="E252" s="10" t="n"/>
      <c r="F252" s="10" t="n"/>
    </row>
    <row r="253">
      <c r="A253" s="10" t="n"/>
      <c r="B253" s="10" t="n"/>
      <c r="C253" s="10" t="n"/>
      <c r="D253" s="10" t="n"/>
      <c r="E253" s="10" t="n"/>
      <c r="F253" s="10" t="n"/>
    </row>
    <row r="254">
      <c r="A254" s="10" t="n"/>
      <c r="B254" s="10" t="n"/>
      <c r="C254" s="10" t="n"/>
      <c r="D254" s="10" t="n"/>
      <c r="E254" s="10" t="n"/>
      <c r="F254" s="10" t="n"/>
    </row>
    <row r="255">
      <c r="A255" s="10" t="n"/>
      <c r="B255" s="10" t="n"/>
      <c r="C255" s="10" t="n"/>
      <c r="D255" s="10" t="n"/>
      <c r="E255" s="10" t="n"/>
      <c r="F255" s="10" t="n"/>
    </row>
    <row r="256">
      <c r="A256" s="10" t="n"/>
      <c r="B256" s="10" t="n"/>
      <c r="C256" s="10" t="n"/>
      <c r="D256" s="10" t="n"/>
      <c r="E256" s="10" t="n"/>
      <c r="F256" s="10" t="n"/>
    </row>
    <row r="257">
      <c r="A257" s="10" t="n"/>
      <c r="B257" s="10" t="n"/>
      <c r="C257" s="10" t="n"/>
      <c r="D257" s="10" t="n"/>
      <c r="E257" s="10" t="n"/>
      <c r="F257" s="10" t="n"/>
    </row>
    <row r="258">
      <c r="A258" s="10" t="n"/>
      <c r="B258" s="10" t="n"/>
      <c r="C258" s="10" t="n"/>
      <c r="D258" s="10" t="n"/>
      <c r="E258" s="10" t="n"/>
      <c r="F258" s="10" t="n"/>
    </row>
    <row r="259">
      <c r="A259" s="10" t="n"/>
      <c r="B259" s="10" t="n"/>
      <c r="C259" s="10" t="n"/>
      <c r="D259" s="10" t="n"/>
      <c r="E259" s="10" t="n"/>
      <c r="F259" s="10" t="n"/>
    </row>
    <row r="260">
      <c r="A260" s="10" t="n"/>
      <c r="B260" s="10" t="n"/>
      <c r="C260" s="10" t="n"/>
      <c r="D260" s="10" t="n"/>
      <c r="E260" s="10" t="n"/>
      <c r="F260" s="10" t="n"/>
    </row>
    <row r="261">
      <c r="A261" s="10" t="n"/>
      <c r="B261" s="10" t="n"/>
      <c r="C261" s="10" t="n"/>
      <c r="D261" s="10" t="n"/>
      <c r="E261" s="10" t="n"/>
      <c r="F261" s="10" t="n"/>
    </row>
    <row r="262">
      <c r="A262" s="10" t="n"/>
      <c r="B262" s="10" t="n"/>
      <c r="C262" s="10" t="n"/>
      <c r="D262" s="10" t="n"/>
      <c r="E262" s="10" t="n"/>
      <c r="F262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>
      <formula1>"Y,N"</formula1>
      <formula2>0</formula2>
    </dataValidation>
    <dataValidation sqref="F2:F200" showDropDown="0" showInputMessage="0" showErrorMessage="0" allowBlank="0" type="list">
      <formula1>"status,date,text,sd,sketch"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 ht="33.75" customHeight="1">
      <c r="A1" s="4" t="inlineStr">
        <is>
          <t>Room Type</t>
        </is>
      </c>
      <c r="B1" s="4" t="inlineStr">
        <is>
          <t>Category</t>
        </is>
      </c>
      <c r="C1" s="4" t="inlineStr">
        <is>
          <t>Tower A</t>
        </is>
      </c>
      <c r="D1" s="4" t="inlineStr">
        <is>
          <t>% of Tower A</t>
        </is>
      </c>
      <c r="E1" s="4" t="inlineStr">
        <is>
          <t>Tower B</t>
        </is>
      </c>
      <c r="F1" s="4" t="inlineStr">
        <is>
          <t>% of Tower B</t>
        </is>
      </c>
      <c r="G1" s="4" t="inlineStr">
        <is>
          <t>A &amp; B</t>
        </is>
      </c>
      <c r="H1" s="4" t="inlineStr">
        <is>
          <t>% of A &amp; B</t>
        </is>
      </c>
    </row>
    <row r="2" ht="15" customHeight="1">
      <c r="A2" t="inlineStr">
        <is>
          <t>F01</t>
        </is>
      </c>
      <c r="B2" t="inlineStr">
        <is>
          <t>Family</t>
        </is>
      </c>
      <c r="C2">
        <f>COUNTIFS(Clearances!$E:$E,$A2,Clearances!$B:$B,"Tower A")</f>
        <v/>
      </c>
      <c r="D2" s="30">
        <f>C2/COUNTIF(Clearances!$B:$B,"Tower A")</f>
        <v/>
      </c>
      <c r="E2">
        <f>COUNTIFS(Clearances!$E:$E,$A2,Clearances!$B:$B,"Tower B")</f>
        <v/>
      </c>
      <c r="F2" s="30">
        <f>E2/COUNTIF(Clearances!$B:$B,"Tower B")</f>
        <v/>
      </c>
      <c r="G2">
        <f>C2+E2</f>
        <v/>
      </c>
      <c r="H2" s="30">
        <f>G2/(COUNTA(Clearances!$A:$A)-1)</f>
        <v/>
      </c>
    </row>
    <row r="3" ht="15" customHeight="1">
      <c r="A3" t="inlineStr">
        <is>
          <t>F02</t>
        </is>
      </c>
      <c r="B3" t="inlineStr">
        <is>
          <t>Family</t>
        </is>
      </c>
      <c r="C3">
        <f>COUNTIFS(Clearances!$E:$E,$A3,Clearances!$B:$B,"Tower A")</f>
        <v/>
      </c>
      <c r="D3" s="30">
        <f>C3/COUNTIF(Clearances!$B:$B,"Tower A")</f>
        <v/>
      </c>
      <c r="E3">
        <f>COUNTIFS(Clearances!$E:$E,$A3,Clearances!$B:$B,"Tower B")</f>
        <v/>
      </c>
      <c r="F3" s="30">
        <f>E3/COUNTIF(Clearances!$B:$B,"Tower B")</f>
        <v/>
      </c>
      <c r="G3">
        <f>C3+E3</f>
        <v/>
      </c>
      <c r="H3" s="30">
        <f>G3/(COUNTA(Clearances!$A:$A)-1)</f>
        <v/>
      </c>
    </row>
    <row r="4" ht="15" customHeight="1">
      <c r="A4" t="inlineStr">
        <is>
          <t>F03</t>
        </is>
      </c>
      <c r="B4" t="inlineStr">
        <is>
          <t>Family</t>
        </is>
      </c>
      <c r="C4">
        <f>COUNTIFS(Clearances!$E:$E,$A4,Clearances!$B:$B,"Tower A")</f>
        <v/>
      </c>
      <c r="D4" s="30">
        <f>C4/COUNTIF(Clearances!$B:$B,"Tower A")</f>
        <v/>
      </c>
      <c r="E4">
        <f>COUNTIFS(Clearances!$E:$E,$A4,Clearances!$B:$B,"Tower B")</f>
        <v/>
      </c>
      <c r="F4" s="30">
        <f>E4/COUNTIF(Clearances!$B:$B,"Tower B")</f>
        <v/>
      </c>
      <c r="G4">
        <f>C4+E4</f>
        <v/>
      </c>
      <c r="H4" s="30">
        <f>G4/(COUNTA(Clearances!$A:$A)-1)</f>
        <v/>
      </c>
    </row>
    <row r="5" ht="15" customHeight="1">
      <c r="A5" t="inlineStr">
        <is>
          <t>F03A</t>
        </is>
      </c>
      <c r="B5" t="inlineStr">
        <is>
          <t>Family</t>
        </is>
      </c>
      <c r="C5">
        <f>COUNTIFS(Clearances!$E:$E,$A5,Clearances!$B:$B,"Tower A")</f>
        <v/>
      </c>
      <c r="D5" s="30">
        <f>C5/COUNTIF(Clearances!$B:$B,"Tower A")</f>
        <v/>
      </c>
      <c r="E5">
        <f>COUNTIFS(Clearances!$E:$E,$A5,Clearances!$B:$B,"Tower B")</f>
        <v/>
      </c>
      <c r="F5" s="30">
        <f>E5/COUNTIF(Clearances!$B:$B,"Tower B")</f>
        <v/>
      </c>
      <c r="G5">
        <f>C5+E5</f>
        <v/>
      </c>
      <c r="H5" s="30">
        <f>G5/(COUNTA(Clearances!$A:$A)-1)</f>
        <v/>
      </c>
    </row>
    <row r="6" ht="15" customHeight="1">
      <c r="A6" t="inlineStr">
        <is>
          <t>F03B</t>
        </is>
      </c>
      <c r="B6" t="inlineStr">
        <is>
          <t>Family</t>
        </is>
      </c>
      <c r="C6">
        <f>COUNTIFS(Clearances!$E:$E,$A6,Clearances!$B:$B,"Tower A")</f>
        <v/>
      </c>
      <c r="D6" s="30">
        <f>C6/COUNTIF(Clearances!$B:$B,"Tower A")</f>
        <v/>
      </c>
      <c r="E6">
        <f>COUNTIFS(Clearances!$E:$E,$A6,Clearances!$B:$B,"Tower B")</f>
        <v/>
      </c>
      <c r="F6" s="30">
        <f>E6/COUNTIF(Clearances!$B:$B,"Tower B")</f>
        <v/>
      </c>
      <c r="G6">
        <f>C6+E6</f>
        <v/>
      </c>
      <c r="H6" s="30">
        <f>G6/(COUNTA(Clearances!$A:$A)-1)</f>
        <v/>
      </c>
    </row>
    <row r="7" ht="15" customHeight="1">
      <c r="A7" t="inlineStr">
        <is>
          <t>F04</t>
        </is>
      </c>
      <c r="B7" t="inlineStr">
        <is>
          <t>Family</t>
        </is>
      </c>
      <c r="C7">
        <f>COUNTIFS(Clearances!$E:$E,$A7,Clearances!$B:$B,"Tower A")</f>
        <v/>
      </c>
      <c r="D7" s="30">
        <f>C7/COUNTIF(Clearances!$B:$B,"Tower A")</f>
        <v/>
      </c>
      <c r="E7">
        <f>COUNTIFS(Clearances!$E:$E,$A7,Clearances!$B:$B,"Tower B")</f>
        <v/>
      </c>
      <c r="F7" s="30">
        <f>E7/COUNTIF(Clearances!$B:$B,"Tower B")</f>
        <v/>
      </c>
      <c r="G7">
        <f>C7+E7</f>
        <v/>
      </c>
      <c r="H7" s="30">
        <f>G7/(COUNTA(Clearances!$A:$A)-1)</f>
        <v/>
      </c>
    </row>
    <row r="8" ht="15" customHeight="1">
      <c r="A8" t="inlineStr">
        <is>
          <t>F05</t>
        </is>
      </c>
      <c r="B8" t="inlineStr">
        <is>
          <t>Family</t>
        </is>
      </c>
      <c r="C8">
        <f>COUNTIFS(Clearances!$E:$E,$A8,Clearances!$B:$B,"Tower A")</f>
        <v/>
      </c>
      <c r="D8" s="30">
        <f>C8/COUNTIF(Clearances!$B:$B,"Tower A")</f>
        <v/>
      </c>
      <c r="E8">
        <f>COUNTIFS(Clearances!$E:$E,$A8,Clearances!$B:$B,"Tower B")</f>
        <v/>
      </c>
      <c r="F8" s="30">
        <f>E8/COUNTIF(Clearances!$B:$B,"Tower B")</f>
        <v/>
      </c>
      <c r="G8">
        <f>C8+E8</f>
        <v/>
      </c>
      <c r="H8" s="30">
        <f>G8/(COUNTA(Clearances!$A:$A)-1)</f>
        <v/>
      </c>
    </row>
    <row r="9" ht="15" customHeight="1">
      <c r="A9" t="inlineStr">
        <is>
          <t>F06</t>
        </is>
      </c>
      <c r="B9" t="inlineStr">
        <is>
          <t>Family</t>
        </is>
      </c>
      <c r="C9">
        <f>COUNTIFS(Clearances!$E:$E,$A9,Clearances!$B:$B,"Tower A")</f>
        <v/>
      </c>
      <c r="D9" s="30">
        <f>C9/COUNTIF(Clearances!$B:$B,"Tower A")</f>
        <v/>
      </c>
      <c r="E9">
        <f>COUNTIFS(Clearances!$E:$E,$A9,Clearances!$B:$B,"Tower B")</f>
        <v/>
      </c>
      <c r="F9" s="30">
        <f>E9/COUNTIF(Clearances!$B:$B,"Tower B")</f>
        <v/>
      </c>
      <c r="G9">
        <f>C9+E9</f>
        <v/>
      </c>
      <c r="H9" s="30">
        <f>G9/(COUNTA(Clearances!$A:$A)-1)</f>
        <v/>
      </c>
    </row>
    <row r="10" ht="15" customHeight="1">
      <c r="A10" t="inlineStr">
        <is>
          <t>F07</t>
        </is>
      </c>
      <c r="B10" t="inlineStr">
        <is>
          <t>Family</t>
        </is>
      </c>
      <c r="C10">
        <f>COUNTIFS(Clearances!$E:$E,$A10,Clearances!$B:$B,"Tower A")</f>
        <v/>
      </c>
      <c r="D10" s="30">
        <f>C10/COUNTIF(Clearances!$B:$B,"Tower A")</f>
        <v/>
      </c>
      <c r="E10">
        <f>COUNTIFS(Clearances!$E:$E,$A10,Clearances!$B:$B,"Tower B")</f>
        <v/>
      </c>
      <c r="F10" s="30">
        <f>E10/COUNTIF(Clearances!$B:$B,"Tower B")</f>
        <v/>
      </c>
      <c r="G10">
        <f>C10+E10</f>
        <v/>
      </c>
      <c r="H10" s="30">
        <f>G10/(COUNTA(Clearances!$A:$A)-1)</f>
        <v/>
      </c>
    </row>
    <row r="11" ht="15" customHeight="1">
      <c r="A11" t="inlineStr">
        <is>
          <t>F08</t>
        </is>
      </c>
      <c r="B11" t="inlineStr">
        <is>
          <t>Family</t>
        </is>
      </c>
      <c r="C11">
        <f>COUNTIFS(Clearances!$E:$E,$A11,Clearances!$B:$B,"Tower A")</f>
        <v/>
      </c>
      <c r="D11" s="30">
        <f>C11/COUNTIF(Clearances!$B:$B,"Tower A")</f>
        <v/>
      </c>
      <c r="E11">
        <f>COUNTIFS(Clearances!$E:$E,$A11,Clearances!$B:$B,"Tower B")</f>
        <v/>
      </c>
      <c r="F11" s="30">
        <f>E11/COUNTIF(Clearances!$B:$B,"Tower B")</f>
        <v/>
      </c>
      <c r="G11">
        <f>C11+E11</f>
        <v/>
      </c>
      <c r="H11" s="30">
        <f>G11/(COUNTA(Clearances!$A:$A)-1)</f>
        <v/>
      </c>
    </row>
    <row r="12" ht="15" customHeight="1">
      <c r="A12" t="inlineStr">
        <is>
          <t>FADA</t>
        </is>
      </c>
      <c r="B12" t="inlineStr">
        <is>
          <t>Family ADA</t>
        </is>
      </c>
      <c r="C12">
        <f>COUNTIFS(Clearances!$E:$E,$A12,Clearances!$B:$B,"Tower A")</f>
        <v/>
      </c>
      <c r="D12" s="30">
        <f>C12/COUNTIF(Clearances!$B:$B,"Tower A")</f>
        <v/>
      </c>
      <c r="E12">
        <f>COUNTIFS(Clearances!$E:$E,$A12,Clearances!$B:$B,"Tower B")</f>
        <v/>
      </c>
      <c r="F12" s="30">
        <f>E12/COUNTIF(Clearances!$B:$B,"Tower B")</f>
        <v/>
      </c>
      <c r="G12">
        <f>C12+E12</f>
        <v/>
      </c>
      <c r="H12" s="30">
        <f>G12/(COUNTA(Clearances!$A:$A)-1)</f>
        <v/>
      </c>
    </row>
    <row r="13" ht="15" customHeight="1">
      <c r="A13" t="inlineStr">
        <is>
          <t>K01</t>
        </is>
      </c>
      <c r="B13" t="inlineStr">
        <is>
          <t>King</t>
        </is>
      </c>
      <c r="C13">
        <f>COUNTIFS(Clearances!$E:$E,$A13,Clearances!$B:$B,"Tower A")</f>
        <v/>
      </c>
      <c r="D13" s="30">
        <f>C13/COUNTIF(Clearances!$B:$B,"Tower A")</f>
        <v/>
      </c>
      <c r="E13">
        <f>COUNTIFS(Clearances!$E:$E,$A13,Clearances!$B:$B,"Tower B")</f>
        <v/>
      </c>
      <c r="F13" s="30">
        <f>E13/COUNTIF(Clearances!$B:$B,"Tower B")</f>
        <v/>
      </c>
      <c r="G13">
        <f>C13+E13</f>
        <v/>
      </c>
      <c r="H13" s="30">
        <f>G13/(COUNTA(Clearances!$A:$A)-1)</f>
        <v/>
      </c>
    </row>
    <row r="14" ht="15" customHeight="1">
      <c r="A14" t="inlineStr">
        <is>
          <t>K01A</t>
        </is>
      </c>
      <c r="B14" t="inlineStr">
        <is>
          <t>King</t>
        </is>
      </c>
      <c r="C14">
        <f>COUNTIFS(Clearances!$E:$E,$A14,Clearances!$B:$B,"Tower A")</f>
        <v/>
      </c>
      <c r="D14" s="30">
        <f>C14/COUNTIF(Clearances!$B:$B,"Tower A")</f>
        <v/>
      </c>
      <c r="E14">
        <f>COUNTIFS(Clearances!$E:$E,$A14,Clearances!$B:$B,"Tower B")</f>
        <v/>
      </c>
      <c r="F14" s="30">
        <f>E14/COUNTIF(Clearances!$B:$B,"Tower B")</f>
        <v/>
      </c>
      <c r="G14">
        <f>C14+E14</f>
        <v/>
      </c>
      <c r="H14" s="30">
        <f>G14/(COUNTA(Clearances!$A:$A)-1)</f>
        <v/>
      </c>
    </row>
    <row r="15" ht="15" customHeight="1">
      <c r="A15" t="inlineStr">
        <is>
          <t>K01B</t>
        </is>
      </c>
      <c r="B15" t="inlineStr">
        <is>
          <t>King</t>
        </is>
      </c>
      <c r="C15">
        <f>COUNTIFS(Clearances!$E:$E,$A15,Clearances!$B:$B,"Tower A")</f>
        <v/>
      </c>
      <c r="D15" s="30">
        <f>C15/COUNTIF(Clearances!$B:$B,"Tower A")</f>
        <v/>
      </c>
      <c r="E15">
        <f>COUNTIFS(Clearances!$E:$E,$A15,Clearances!$B:$B,"Tower B")</f>
        <v/>
      </c>
      <c r="F15" s="30">
        <f>E15/COUNTIF(Clearances!$B:$B,"Tower B")</f>
        <v/>
      </c>
      <c r="G15">
        <f>C15+E15</f>
        <v/>
      </c>
      <c r="H15" s="30">
        <f>G15/(COUNTA(Clearances!$A:$A)-1)</f>
        <v/>
      </c>
    </row>
    <row r="16" ht="15" customHeight="1">
      <c r="A16" t="inlineStr">
        <is>
          <t>K01C</t>
        </is>
      </c>
      <c r="B16" t="inlineStr">
        <is>
          <t>King</t>
        </is>
      </c>
      <c r="C16">
        <f>COUNTIFS(Clearances!$E:$E,$A16,Clearances!$B:$B,"Tower A")</f>
        <v/>
      </c>
      <c r="D16" s="30">
        <f>C16/COUNTIF(Clearances!$B:$B,"Tower A")</f>
        <v/>
      </c>
      <c r="E16">
        <f>COUNTIFS(Clearances!$E:$E,$A16,Clearances!$B:$B,"Tower B")</f>
        <v/>
      </c>
      <c r="F16" s="30">
        <f>E16/COUNTIF(Clearances!$B:$B,"Tower B")</f>
        <v/>
      </c>
      <c r="G16">
        <f>C16+E16</f>
        <v/>
      </c>
      <c r="H16" s="30">
        <f>G16/(COUNTA(Clearances!$A:$A)-1)</f>
        <v/>
      </c>
    </row>
    <row r="17" ht="15" customHeight="1">
      <c r="A17" t="inlineStr">
        <is>
          <t>K01C1</t>
        </is>
      </c>
      <c r="B17" t="inlineStr">
        <is>
          <t>King</t>
        </is>
      </c>
      <c r="C17">
        <f>COUNTIFS(Clearances!$E:$E,$A17,Clearances!$B:$B,"Tower A")</f>
        <v/>
      </c>
      <c r="D17" s="30">
        <f>C17/COUNTIF(Clearances!$B:$B,"Tower A")</f>
        <v/>
      </c>
      <c r="E17">
        <f>COUNTIFS(Clearances!$E:$E,$A17,Clearances!$B:$B,"Tower B")</f>
        <v/>
      </c>
      <c r="F17" s="30">
        <f>E17/COUNTIF(Clearances!$B:$B,"Tower B")</f>
        <v/>
      </c>
      <c r="G17">
        <f>C17+E17</f>
        <v/>
      </c>
      <c r="H17" s="30">
        <f>G17/(COUNTA(Clearances!$A:$A)-1)</f>
        <v/>
      </c>
    </row>
    <row r="18" ht="15" customHeight="1">
      <c r="A18" t="inlineStr">
        <is>
          <t>K01D</t>
        </is>
      </c>
      <c r="B18" t="inlineStr">
        <is>
          <t>King</t>
        </is>
      </c>
      <c r="C18">
        <f>COUNTIFS(Clearances!$E:$E,$A18,Clearances!$B:$B,"Tower A")</f>
        <v/>
      </c>
      <c r="D18" s="30">
        <f>C18/COUNTIF(Clearances!$B:$B,"Tower A")</f>
        <v/>
      </c>
      <c r="E18">
        <f>COUNTIFS(Clearances!$E:$E,$A18,Clearances!$B:$B,"Tower B")</f>
        <v/>
      </c>
      <c r="F18" s="30">
        <f>E18/COUNTIF(Clearances!$B:$B,"Tower B")</f>
        <v/>
      </c>
      <c r="G18">
        <f>C18+E18</f>
        <v/>
      </c>
      <c r="H18" s="30">
        <f>G18/(COUNTA(Clearances!$A:$A)-1)</f>
        <v/>
      </c>
    </row>
    <row r="19" ht="15" customHeight="1">
      <c r="A19" t="inlineStr">
        <is>
          <t>K02</t>
        </is>
      </c>
      <c r="B19" t="inlineStr">
        <is>
          <t>King</t>
        </is>
      </c>
      <c r="C19">
        <f>COUNTIFS(Clearances!$E:$E,$A19,Clearances!$B:$B,"Tower A")</f>
        <v/>
      </c>
      <c r="D19" s="30">
        <f>C19/COUNTIF(Clearances!$B:$B,"Tower A")</f>
        <v/>
      </c>
      <c r="E19">
        <f>COUNTIFS(Clearances!$E:$E,$A19,Clearances!$B:$B,"Tower B")</f>
        <v/>
      </c>
      <c r="F19" s="30">
        <f>E19/COUNTIF(Clearances!$B:$B,"Tower B")</f>
        <v/>
      </c>
      <c r="G19">
        <f>C19+E19</f>
        <v/>
      </c>
      <c r="H19" s="30">
        <f>G19/(COUNTA(Clearances!$A:$A)-1)</f>
        <v/>
      </c>
    </row>
    <row r="20" ht="15" customHeight="1">
      <c r="A20" t="inlineStr">
        <is>
          <t>K02A</t>
        </is>
      </c>
      <c r="B20" t="inlineStr">
        <is>
          <t>King</t>
        </is>
      </c>
      <c r="C20">
        <f>COUNTIFS(Clearances!$E:$E,$A20,Clearances!$B:$B,"Tower A")</f>
        <v/>
      </c>
      <c r="D20" s="30">
        <f>C20/COUNTIF(Clearances!$B:$B,"Tower A")</f>
        <v/>
      </c>
      <c r="E20">
        <f>COUNTIFS(Clearances!$E:$E,$A20,Clearances!$B:$B,"Tower B")</f>
        <v/>
      </c>
      <c r="F20" s="30">
        <f>E20/COUNTIF(Clearances!$B:$B,"Tower B")</f>
        <v/>
      </c>
      <c r="G20">
        <f>C20+E20</f>
        <v/>
      </c>
      <c r="H20" s="30">
        <f>G20/(COUNTA(Clearances!$A:$A)-1)</f>
        <v/>
      </c>
    </row>
    <row r="21" ht="15" customHeight="1">
      <c r="A21" t="inlineStr">
        <is>
          <t>K02B</t>
        </is>
      </c>
      <c r="B21" t="inlineStr">
        <is>
          <t>King</t>
        </is>
      </c>
      <c r="C21">
        <f>COUNTIFS(Clearances!$E:$E,$A21,Clearances!$B:$B,"Tower A")</f>
        <v/>
      </c>
      <c r="D21" s="30">
        <f>C21/COUNTIF(Clearances!$B:$B,"Tower A")</f>
        <v/>
      </c>
      <c r="E21">
        <f>COUNTIFS(Clearances!$E:$E,$A21,Clearances!$B:$B,"Tower B")</f>
        <v/>
      </c>
      <c r="F21" s="30">
        <f>E21/COUNTIF(Clearances!$B:$B,"Tower B")</f>
        <v/>
      </c>
      <c r="G21">
        <f>C21+E21</f>
        <v/>
      </c>
      <c r="H21" s="30">
        <f>G21/(COUNTA(Clearances!$A:$A)-1)</f>
        <v/>
      </c>
    </row>
    <row r="22" ht="15" customHeight="1">
      <c r="A22" t="inlineStr">
        <is>
          <t>K02C</t>
        </is>
      </c>
      <c r="B22" t="inlineStr">
        <is>
          <t>King</t>
        </is>
      </c>
      <c r="C22">
        <f>COUNTIFS(Clearances!$E:$E,$A22,Clearances!$B:$B,"Tower A")</f>
        <v/>
      </c>
      <c r="D22" s="30">
        <f>C22/COUNTIF(Clearances!$B:$B,"Tower A")</f>
        <v/>
      </c>
      <c r="E22">
        <f>COUNTIFS(Clearances!$E:$E,$A22,Clearances!$B:$B,"Tower B")</f>
        <v/>
      </c>
      <c r="F22" s="30">
        <f>E22/COUNTIF(Clearances!$B:$B,"Tower B")</f>
        <v/>
      </c>
      <c r="G22">
        <f>C22+E22</f>
        <v/>
      </c>
      <c r="H22" s="30">
        <f>G22/(COUNTA(Clearances!$A:$A)-1)</f>
        <v/>
      </c>
    </row>
    <row r="23" ht="15" customHeight="1">
      <c r="A23" t="inlineStr">
        <is>
          <t>K02C1</t>
        </is>
      </c>
      <c r="B23" t="inlineStr">
        <is>
          <t>King</t>
        </is>
      </c>
      <c r="C23">
        <f>COUNTIFS(Clearances!$E:$E,$A23,Clearances!$B:$B,"Tower A")</f>
        <v/>
      </c>
      <c r="D23" s="30">
        <f>C23/COUNTIF(Clearances!$B:$B,"Tower A")</f>
        <v/>
      </c>
      <c r="E23">
        <f>COUNTIFS(Clearances!$E:$E,$A23,Clearances!$B:$B,"Tower B")</f>
        <v/>
      </c>
      <c r="F23" s="30">
        <f>E23/COUNTIF(Clearances!$B:$B,"Tower B")</f>
        <v/>
      </c>
      <c r="G23">
        <f>C23+E23</f>
        <v/>
      </c>
      <c r="H23" s="30">
        <f>G23/(COUNTA(Clearances!$A:$A)-1)</f>
        <v/>
      </c>
    </row>
    <row r="24" ht="15" customHeight="1">
      <c r="A24" t="inlineStr">
        <is>
          <t>K02C2</t>
        </is>
      </c>
      <c r="B24" t="inlineStr">
        <is>
          <t>King</t>
        </is>
      </c>
      <c r="C24">
        <f>COUNTIFS(Clearances!$E:$E,$A24,Clearances!$B:$B,"Tower A")</f>
        <v/>
      </c>
      <c r="D24" s="30">
        <f>C24/COUNTIF(Clearances!$B:$B,"Tower A")</f>
        <v/>
      </c>
      <c r="E24">
        <f>COUNTIFS(Clearances!$E:$E,$A24,Clearances!$B:$B,"Tower B")</f>
        <v/>
      </c>
      <c r="F24" s="30">
        <f>E24/COUNTIF(Clearances!$B:$B,"Tower B")</f>
        <v/>
      </c>
      <c r="G24">
        <f>C24+E24</f>
        <v/>
      </c>
      <c r="H24" s="30">
        <f>G24/(COUNTA(Clearances!$A:$A)-1)</f>
        <v/>
      </c>
    </row>
    <row r="25" ht="15" customHeight="1">
      <c r="A25" t="inlineStr">
        <is>
          <t>K02D1</t>
        </is>
      </c>
      <c r="B25" t="inlineStr">
        <is>
          <t>King</t>
        </is>
      </c>
      <c r="C25">
        <f>COUNTIFS(Clearances!$E:$E,$A25,Clearances!$B:$B,"Tower A")</f>
        <v/>
      </c>
      <c r="D25" s="30">
        <f>C25/COUNTIF(Clearances!$B:$B,"Tower A")</f>
        <v/>
      </c>
      <c r="E25">
        <f>COUNTIFS(Clearances!$E:$E,$A25,Clearances!$B:$B,"Tower B")</f>
        <v/>
      </c>
      <c r="F25" s="30">
        <f>E25/COUNTIF(Clearances!$B:$B,"Tower B")</f>
        <v/>
      </c>
      <c r="G25">
        <f>C25+E25</f>
        <v/>
      </c>
      <c r="H25" s="30">
        <f>G25/(COUNTA(Clearances!$A:$A)-1)</f>
        <v/>
      </c>
    </row>
    <row r="26" ht="15" customHeight="1">
      <c r="A26" t="inlineStr">
        <is>
          <t>K03</t>
        </is>
      </c>
      <c r="B26" t="inlineStr">
        <is>
          <t>King</t>
        </is>
      </c>
      <c r="C26">
        <f>COUNTIFS(Clearances!$E:$E,$A26,Clearances!$B:$B,"Tower A")</f>
        <v/>
      </c>
      <c r="D26" s="30">
        <f>C26/COUNTIF(Clearances!$B:$B,"Tower A")</f>
        <v/>
      </c>
      <c r="E26">
        <f>COUNTIFS(Clearances!$E:$E,$A26,Clearances!$B:$B,"Tower B")</f>
        <v/>
      </c>
      <c r="F26" s="30">
        <f>E26/COUNTIF(Clearances!$B:$B,"Tower B")</f>
        <v/>
      </c>
      <c r="G26">
        <f>C26+E26</f>
        <v/>
      </c>
      <c r="H26" s="30">
        <f>G26/(COUNTA(Clearances!$A:$A)-1)</f>
        <v/>
      </c>
    </row>
    <row r="27" ht="15" customHeight="1">
      <c r="A27" t="inlineStr">
        <is>
          <t>KADA1</t>
        </is>
      </c>
      <c r="B27" t="inlineStr">
        <is>
          <t>King ADA</t>
        </is>
      </c>
      <c r="C27">
        <f>COUNTIFS(Clearances!$E:$E,$A27,Clearances!$B:$B,"Tower A")</f>
        <v/>
      </c>
      <c r="D27" s="30">
        <f>C27/COUNTIF(Clearances!$B:$B,"Tower A")</f>
        <v/>
      </c>
      <c r="E27">
        <f>COUNTIFS(Clearances!$E:$E,$A27,Clearances!$B:$B,"Tower B")</f>
        <v/>
      </c>
      <c r="F27" s="30">
        <f>E27/COUNTIF(Clearances!$B:$B,"Tower B")</f>
        <v/>
      </c>
      <c r="G27">
        <f>C27+E27</f>
        <v/>
      </c>
      <c r="H27" s="30">
        <f>G27/(COUNTA(Clearances!$A:$A)-1)</f>
        <v/>
      </c>
    </row>
    <row r="28" ht="15" customHeight="1">
      <c r="A28" t="inlineStr">
        <is>
          <t>KADA2</t>
        </is>
      </c>
      <c r="B28" t="inlineStr">
        <is>
          <t>King ADA</t>
        </is>
      </c>
      <c r="C28">
        <f>COUNTIFS(Clearances!$E:$E,$A28,Clearances!$B:$B,"Tower A")</f>
        <v/>
      </c>
      <c r="D28" s="30">
        <f>C28/COUNTIF(Clearances!$B:$B,"Tower A")</f>
        <v/>
      </c>
      <c r="E28">
        <f>COUNTIFS(Clearances!$E:$E,$A28,Clearances!$B:$B,"Tower B")</f>
        <v/>
      </c>
      <c r="F28" s="30">
        <f>E28/COUNTIF(Clearances!$B:$B,"Tower B")</f>
        <v/>
      </c>
      <c r="G28">
        <f>C28+E28</f>
        <v/>
      </c>
      <c r="H28" s="30">
        <f>G28/(COUNTA(Clearances!$A:$A)-1)</f>
        <v/>
      </c>
    </row>
    <row r="29" ht="15" customHeight="1">
      <c r="A29" t="inlineStr">
        <is>
          <t>Q01</t>
        </is>
      </c>
      <c r="B29" t="inlineStr">
        <is>
          <t>Queen</t>
        </is>
      </c>
      <c r="C29">
        <f>COUNTIFS(Clearances!$E:$E,$A29,Clearances!$B:$B,"Tower A")</f>
        <v/>
      </c>
      <c r="D29" s="30">
        <f>C29/COUNTIF(Clearances!$B:$B,"Tower A")</f>
        <v/>
      </c>
      <c r="E29">
        <f>COUNTIFS(Clearances!$E:$E,$A29,Clearances!$B:$B,"Tower B")</f>
        <v/>
      </c>
      <c r="F29" s="30">
        <f>E29/COUNTIF(Clearances!$B:$B,"Tower B")</f>
        <v/>
      </c>
      <c r="G29">
        <f>C29+E29</f>
        <v/>
      </c>
      <c r="H29" s="30">
        <f>G29/(COUNTA(Clearances!$A:$A)-1)</f>
        <v/>
      </c>
    </row>
    <row r="30" ht="15" customHeight="1">
      <c r="A30" t="inlineStr">
        <is>
          <t>Q01C</t>
        </is>
      </c>
      <c r="B30" t="inlineStr">
        <is>
          <t>Queen</t>
        </is>
      </c>
      <c r="C30">
        <f>COUNTIFS(Clearances!$E:$E,$A30,Clearances!$B:$B,"Tower A")</f>
        <v/>
      </c>
      <c r="D30" s="30">
        <f>C30/COUNTIF(Clearances!$B:$B,"Tower A")</f>
        <v/>
      </c>
      <c r="E30">
        <f>COUNTIFS(Clearances!$E:$E,$A30,Clearances!$B:$B,"Tower B")</f>
        <v/>
      </c>
      <c r="F30" s="30">
        <f>E30/COUNTIF(Clearances!$B:$B,"Tower B")</f>
        <v/>
      </c>
      <c r="G30">
        <f>C30+E30</f>
        <v/>
      </c>
      <c r="H30" s="30">
        <f>G30/(COUNTA(Clearances!$A:$A)-1)</f>
        <v/>
      </c>
    </row>
    <row r="31" ht="15" customHeight="1">
      <c r="A31" t="inlineStr">
        <is>
          <t>Q01C1</t>
        </is>
      </c>
      <c r="B31" t="inlineStr">
        <is>
          <t>Queen</t>
        </is>
      </c>
      <c r="C31">
        <f>COUNTIFS(Clearances!$E:$E,$A31,Clearances!$B:$B,"Tower A")</f>
        <v/>
      </c>
      <c r="D31" s="30">
        <f>C31/COUNTIF(Clearances!$B:$B,"Tower A")</f>
        <v/>
      </c>
      <c r="E31">
        <f>COUNTIFS(Clearances!$E:$E,$A31,Clearances!$B:$B,"Tower B")</f>
        <v/>
      </c>
      <c r="F31" s="30">
        <f>E31/COUNTIF(Clearances!$B:$B,"Tower B")</f>
        <v/>
      </c>
      <c r="G31">
        <f>C31+E31</f>
        <v/>
      </c>
      <c r="H31" s="30">
        <f>G31/(COUNTA(Clearances!$A:$A)-1)</f>
        <v/>
      </c>
    </row>
    <row r="32" ht="15" customHeight="1">
      <c r="A32" t="inlineStr">
        <is>
          <t>Q02A</t>
        </is>
      </c>
      <c r="B32" t="inlineStr">
        <is>
          <t>Queen</t>
        </is>
      </c>
      <c r="C32">
        <f>COUNTIFS(Clearances!$E:$E,$A32,Clearances!$B:$B,"Tower A")</f>
        <v/>
      </c>
      <c r="D32" s="30">
        <f>C32/COUNTIF(Clearances!$B:$B,"Tower A")</f>
        <v/>
      </c>
      <c r="E32">
        <f>COUNTIFS(Clearances!$E:$E,$A32,Clearances!$B:$B,"Tower B")</f>
        <v/>
      </c>
      <c r="F32" s="30">
        <f>E32/COUNTIF(Clearances!$B:$B,"Tower B")</f>
        <v/>
      </c>
      <c r="G32">
        <f>C32+E32</f>
        <v/>
      </c>
      <c r="H32" s="30">
        <f>G32/(COUNTA(Clearances!$A:$A)-1)</f>
        <v/>
      </c>
    </row>
    <row r="33" ht="15" customHeight="1">
      <c r="A33" t="inlineStr">
        <is>
          <t>Q02C</t>
        </is>
      </c>
      <c r="B33" t="inlineStr">
        <is>
          <t>Queen</t>
        </is>
      </c>
      <c r="C33">
        <f>COUNTIFS(Clearances!$E:$E,$A33,Clearances!$B:$B,"Tower A")</f>
        <v/>
      </c>
      <c r="D33" s="30">
        <f>C33/COUNTIF(Clearances!$B:$B,"Tower A")</f>
        <v/>
      </c>
      <c r="E33">
        <f>COUNTIFS(Clearances!$E:$E,$A33,Clearances!$B:$B,"Tower B")</f>
        <v/>
      </c>
      <c r="F33" s="30">
        <f>E33/COUNTIF(Clearances!$B:$B,"Tower B")</f>
        <v/>
      </c>
      <c r="G33">
        <f>C33+E33</f>
        <v/>
      </c>
      <c r="H33" s="30">
        <f>G33/(COUNTA(Clearances!$A:$A)-1)</f>
        <v/>
      </c>
    </row>
    <row r="34" ht="15" customHeight="1">
      <c r="A34" t="inlineStr">
        <is>
          <t>Q02C1</t>
        </is>
      </c>
      <c r="B34" t="inlineStr">
        <is>
          <t>Queen</t>
        </is>
      </c>
      <c r="C34">
        <f>COUNTIFS(Clearances!$E:$E,$A34,Clearances!$B:$B,"Tower A")</f>
        <v/>
      </c>
      <c r="D34" s="30">
        <f>C34/COUNTIF(Clearances!$B:$B,"Tower A")</f>
        <v/>
      </c>
      <c r="E34">
        <f>COUNTIFS(Clearances!$E:$E,$A34,Clearances!$B:$B,"Tower B")</f>
        <v/>
      </c>
      <c r="F34" s="30">
        <f>E34/COUNTIF(Clearances!$B:$B,"Tower B")</f>
        <v/>
      </c>
      <c r="G34">
        <f>C34+E34</f>
        <v/>
      </c>
      <c r="H34" s="30">
        <f>G34/(COUNTA(Clearances!$A:$A)-1)</f>
        <v/>
      </c>
    </row>
    <row r="35" ht="15" customHeight="1">
      <c r="A35" t="inlineStr">
        <is>
          <t>Q02C2</t>
        </is>
      </c>
      <c r="B35" t="inlineStr">
        <is>
          <t>Queen</t>
        </is>
      </c>
      <c r="C35">
        <f>COUNTIFS(Clearances!$E:$E,$A35,Clearances!$B:$B,"Tower A")</f>
        <v/>
      </c>
      <c r="D35" s="30">
        <f>C35/COUNTIF(Clearances!$B:$B,"Tower A")</f>
        <v/>
      </c>
      <c r="E35">
        <f>COUNTIFS(Clearances!$E:$E,$A35,Clearances!$B:$B,"Tower B")</f>
        <v/>
      </c>
      <c r="F35" s="30">
        <f>E35/COUNTIF(Clearances!$B:$B,"Tower B")</f>
        <v/>
      </c>
      <c r="G35">
        <f>C35+E35</f>
        <v/>
      </c>
      <c r="H35" s="30">
        <f>G35/(COUNTA(Clearances!$A:$A)-1)</f>
        <v/>
      </c>
    </row>
    <row r="36" ht="15" customHeight="1">
      <c r="A36" t="inlineStr">
        <is>
          <t>Q02D</t>
        </is>
      </c>
      <c r="B36" t="inlineStr">
        <is>
          <t>Queen</t>
        </is>
      </c>
      <c r="C36">
        <f>COUNTIFS(Clearances!$E:$E,$A36,Clearances!$B:$B,"Tower A")</f>
        <v/>
      </c>
      <c r="D36" s="30">
        <f>C36/COUNTIF(Clearances!$B:$B,"Tower A")</f>
        <v/>
      </c>
      <c r="E36">
        <f>COUNTIFS(Clearances!$E:$E,$A36,Clearances!$B:$B,"Tower B")</f>
        <v/>
      </c>
      <c r="F36" s="30">
        <f>E36/COUNTIF(Clearances!$B:$B,"Tower B")</f>
        <v/>
      </c>
      <c r="G36">
        <f>C36+E36</f>
        <v/>
      </c>
      <c r="H36" s="30">
        <f>G36/(COUNTA(Clearances!$A:$A)-1)</f>
        <v/>
      </c>
    </row>
    <row r="37" ht="15" customHeight="1">
      <c r="A37" t="inlineStr">
        <is>
          <t>Q02E</t>
        </is>
      </c>
      <c r="B37" t="inlineStr">
        <is>
          <t>Queen</t>
        </is>
      </c>
      <c r="C37">
        <f>COUNTIFS(Clearances!$E:$E,$A37,Clearances!$B:$B,"Tower A")</f>
        <v/>
      </c>
      <c r="D37" s="30">
        <f>C37/COUNTIF(Clearances!$B:$B,"Tower A")</f>
        <v/>
      </c>
      <c r="E37">
        <f>COUNTIFS(Clearances!$E:$E,$A37,Clearances!$B:$B,"Tower B")</f>
        <v/>
      </c>
      <c r="F37" s="30">
        <f>E37/COUNTIF(Clearances!$B:$B,"Tower B")</f>
        <v/>
      </c>
      <c r="G37">
        <f>C37+E37</f>
        <v/>
      </c>
      <c r="H37" s="30">
        <f>G37/(COUNTA(Clearances!$A:$A)-1)</f>
        <v/>
      </c>
    </row>
    <row r="38" ht="15" customHeight="1">
      <c r="A38" t="inlineStr">
        <is>
          <t>Q03</t>
        </is>
      </c>
      <c r="B38" t="inlineStr">
        <is>
          <t>Queen</t>
        </is>
      </c>
      <c r="C38">
        <f>COUNTIFS(Clearances!$E:$E,$A38,Clearances!$B:$B,"Tower A")</f>
        <v/>
      </c>
      <c r="D38" s="30">
        <f>C38/COUNTIF(Clearances!$B:$B,"Tower A")</f>
        <v/>
      </c>
      <c r="E38">
        <f>COUNTIFS(Clearances!$E:$E,$A38,Clearances!$B:$B,"Tower B")</f>
        <v/>
      </c>
      <c r="F38" s="30">
        <f>E38/COUNTIF(Clearances!$B:$B,"Tower B")</f>
        <v/>
      </c>
      <c r="G38">
        <f>C38+E38</f>
        <v/>
      </c>
      <c r="H38" s="30">
        <f>G38/(COUNTA(Clearances!$A:$A)-1)</f>
        <v/>
      </c>
    </row>
    <row r="39" ht="15" customHeight="1">
      <c r="A39" t="inlineStr">
        <is>
          <t>Q04</t>
        </is>
      </c>
      <c r="B39" t="inlineStr">
        <is>
          <t>Queen</t>
        </is>
      </c>
      <c r="C39">
        <f>COUNTIFS(Clearances!$E:$E,$A39,Clearances!$B:$B,"Tower A")</f>
        <v/>
      </c>
      <c r="D39" s="30">
        <f>C39/COUNTIF(Clearances!$B:$B,"Tower A")</f>
        <v/>
      </c>
      <c r="E39">
        <f>COUNTIFS(Clearances!$E:$E,$A39,Clearances!$B:$B,"Tower B")</f>
        <v/>
      </c>
      <c r="F39" s="30">
        <f>E39/COUNTIF(Clearances!$B:$B,"Tower B")</f>
        <v/>
      </c>
      <c r="G39">
        <f>C39+E39</f>
        <v/>
      </c>
      <c r="H39" s="30">
        <f>G39/(COUNTA(Clearances!$A:$A)-1)</f>
        <v/>
      </c>
    </row>
    <row r="40" ht="15" customHeight="1">
      <c r="A40" t="inlineStr">
        <is>
          <t>Q04*</t>
        </is>
      </c>
      <c r="B40" t="inlineStr">
        <is>
          <t>Queen</t>
        </is>
      </c>
      <c r="C40">
        <f>COUNTIFS(Clearances!$E:$E,$A40,Clearances!$B:$B,"Tower A")</f>
        <v/>
      </c>
      <c r="D40" s="30">
        <f>C40/COUNTIF(Clearances!$B:$B,"Tower A")</f>
        <v/>
      </c>
      <c r="E40">
        <f>COUNTIFS(Clearances!$E:$E,$A40,Clearances!$B:$B,"Tower B")</f>
        <v/>
      </c>
      <c r="F40" s="30">
        <f>E40/COUNTIF(Clearances!$B:$B,"Tower B")</f>
        <v/>
      </c>
      <c r="G40">
        <f>C40+E40</f>
        <v/>
      </c>
      <c r="H40" s="30">
        <f>G40/(COUNTA(Clearances!$A:$A)-1)</f>
        <v/>
      </c>
    </row>
    <row r="41" ht="15" customHeight="1">
      <c r="A41" t="inlineStr">
        <is>
          <t>Q05</t>
        </is>
      </c>
      <c r="B41" t="inlineStr">
        <is>
          <t>Queen</t>
        </is>
      </c>
      <c r="C41">
        <f>COUNTIFS(Clearances!$E:$E,$A41,Clearances!$B:$B,"Tower A")</f>
        <v/>
      </c>
      <c r="D41" s="30">
        <f>C41/COUNTIF(Clearances!$B:$B,"Tower A")</f>
        <v/>
      </c>
      <c r="E41">
        <f>COUNTIFS(Clearances!$E:$E,$A41,Clearances!$B:$B,"Tower B")</f>
        <v/>
      </c>
      <c r="F41" s="30">
        <f>E41/COUNTIF(Clearances!$B:$B,"Tower B")</f>
        <v/>
      </c>
      <c r="G41">
        <f>C41+E41</f>
        <v/>
      </c>
      <c r="H41" s="30">
        <f>G41/(COUNTA(Clearances!$A:$A)-1)</f>
        <v/>
      </c>
    </row>
    <row r="42" ht="15" customHeight="1">
      <c r="A42" t="inlineStr">
        <is>
          <t>Q06</t>
        </is>
      </c>
      <c r="B42" t="inlineStr">
        <is>
          <t>Queen</t>
        </is>
      </c>
      <c r="C42">
        <f>COUNTIFS(Clearances!$E:$E,$A42,Clearances!$B:$B,"Tower A")</f>
        <v/>
      </c>
      <c r="D42" s="30">
        <f>C42/COUNTIF(Clearances!$B:$B,"Tower A")</f>
        <v/>
      </c>
      <c r="E42">
        <f>COUNTIFS(Clearances!$E:$E,$A42,Clearances!$B:$B,"Tower B")</f>
        <v/>
      </c>
      <c r="F42" s="30">
        <f>E42/COUNTIF(Clearances!$B:$B,"Tower B")</f>
        <v/>
      </c>
      <c r="G42">
        <f>C42+E42</f>
        <v/>
      </c>
      <c r="H42" s="30">
        <f>G42/(COUNTA(Clearances!$A:$A)-1)</f>
        <v/>
      </c>
    </row>
    <row r="43" ht="15" customHeight="1">
      <c r="A43" t="inlineStr">
        <is>
          <t>Q07</t>
        </is>
      </c>
      <c r="B43" t="inlineStr">
        <is>
          <t>Queen</t>
        </is>
      </c>
      <c r="C43">
        <f>COUNTIFS(Clearances!$E:$E,$A43,Clearances!$B:$B,"Tower A")</f>
        <v/>
      </c>
      <c r="D43" s="30">
        <f>C43/COUNTIF(Clearances!$B:$B,"Tower A")</f>
        <v/>
      </c>
      <c r="E43">
        <f>COUNTIFS(Clearances!$E:$E,$A43,Clearances!$B:$B,"Tower B")</f>
        <v/>
      </c>
      <c r="F43" s="30">
        <f>E43/COUNTIF(Clearances!$B:$B,"Tower B")</f>
        <v/>
      </c>
      <c r="G43">
        <f>C43+E43</f>
        <v/>
      </c>
      <c r="H43" s="30">
        <f>G43/(COUNTA(Clearances!$A:$A)-1)</f>
        <v/>
      </c>
    </row>
    <row r="44" ht="15" customHeight="1">
      <c r="A44" t="inlineStr">
        <is>
          <t>Q07*</t>
        </is>
      </c>
      <c r="B44" t="inlineStr">
        <is>
          <t>Queen</t>
        </is>
      </c>
      <c r="C44">
        <f>COUNTIFS(Clearances!$E:$E,$A44,Clearances!$B:$B,"Tower A")</f>
        <v/>
      </c>
      <c r="D44" s="30">
        <f>C44/COUNTIF(Clearances!$B:$B,"Tower A")</f>
        <v/>
      </c>
      <c r="E44">
        <f>COUNTIFS(Clearances!$E:$E,$A44,Clearances!$B:$B,"Tower B")</f>
        <v/>
      </c>
      <c r="F44" s="30">
        <f>E44/COUNTIF(Clearances!$B:$B,"Tower B")</f>
        <v/>
      </c>
      <c r="G44">
        <f>C44+E44</f>
        <v/>
      </c>
      <c r="H44" s="30">
        <f>G44/(COUNTA(Clearances!$A:$A)-1)</f>
        <v/>
      </c>
    </row>
    <row r="45" ht="15" customHeight="1">
      <c r="A45" t="inlineStr">
        <is>
          <t>QADA1</t>
        </is>
      </c>
      <c r="B45" t="inlineStr">
        <is>
          <t>Queen ADA</t>
        </is>
      </c>
      <c r="C45">
        <f>COUNTIFS(Clearances!$E:$E,$A45,Clearances!$B:$B,"Tower A")</f>
        <v/>
      </c>
      <c r="D45" s="30">
        <f>C45/COUNTIF(Clearances!$B:$B,"Tower A")</f>
        <v/>
      </c>
      <c r="E45">
        <f>COUNTIFS(Clearances!$E:$E,$A45,Clearances!$B:$B,"Tower B")</f>
        <v/>
      </c>
      <c r="F45" s="30">
        <f>E45/COUNTIF(Clearances!$B:$B,"Tower B")</f>
        <v/>
      </c>
      <c r="G45">
        <f>C45+E45</f>
        <v/>
      </c>
      <c r="H45" s="30">
        <f>G45/(COUNTA(Clearances!$A:$A)-1)</f>
        <v/>
      </c>
    </row>
    <row r="46" ht="15" customHeight="1">
      <c r="A46" t="inlineStr">
        <is>
          <t>QADA2</t>
        </is>
      </c>
      <c r="B46" t="inlineStr">
        <is>
          <t>Queen ADA</t>
        </is>
      </c>
      <c r="C46">
        <f>COUNTIFS(Clearances!$E:$E,$A46,Clearances!$B:$B,"Tower A")</f>
        <v/>
      </c>
      <c r="D46" s="30">
        <f>C46/COUNTIF(Clearances!$B:$B,"Tower A")</f>
        <v/>
      </c>
      <c r="E46">
        <f>COUNTIFS(Clearances!$E:$E,$A46,Clearances!$B:$B,"Tower B")</f>
        <v/>
      </c>
      <c r="F46" s="30">
        <f>E46/COUNTIF(Clearances!$B:$B,"Tower B")</f>
        <v/>
      </c>
      <c r="G46">
        <f>C46+E46</f>
        <v/>
      </c>
      <c r="H46" s="30">
        <f>G46/(COUNTA(Clearances!$A:$A)-1)</f>
        <v/>
      </c>
    </row>
    <row r="47" ht="15" customHeight="1">
      <c r="A47" t="inlineStr">
        <is>
          <t>S01</t>
        </is>
      </c>
      <c r="B47" t="inlineStr">
        <is>
          <t>Suite</t>
        </is>
      </c>
      <c r="C47">
        <f>COUNTIFS(Clearances!$E:$E,$A47,Clearances!$B:$B,"Tower A")</f>
        <v/>
      </c>
      <c r="D47" s="30">
        <f>C47/COUNTIF(Clearances!$B:$B,"Tower A")</f>
        <v/>
      </c>
      <c r="E47">
        <f>COUNTIFS(Clearances!$E:$E,$A47,Clearances!$B:$B,"Tower B")</f>
        <v/>
      </c>
      <c r="F47" s="30">
        <f>E47/COUNTIF(Clearances!$B:$B,"Tower B")</f>
        <v/>
      </c>
      <c r="G47">
        <f>C47+E47</f>
        <v/>
      </c>
      <c r="H47" s="30">
        <f>G47/(COUNTA(Clearances!$A:$A)-1)</f>
        <v/>
      </c>
    </row>
    <row r="48" ht="15" customHeight="1">
      <c r="A48" t="inlineStr">
        <is>
          <t>S02</t>
        </is>
      </c>
      <c r="B48" t="inlineStr">
        <is>
          <t>Suite</t>
        </is>
      </c>
      <c r="C48">
        <f>COUNTIFS(Clearances!$E:$E,$A48,Clearances!$B:$B,"Tower A")</f>
        <v/>
      </c>
      <c r="D48" s="30">
        <f>C48/COUNTIF(Clearances!$B:$B,"Tower A")</f>
        <v/>
      </c>
      <c r="E48">
        <f>COUNTIFS(Clearances!$E:$E,$A48,Clearances!$B:$B,"Tower B")</f>
        <v/>
      </c>
      <c r="F48" s="30">
        <f>E48/COUNTIF(Clearances!$B:$B,"Tower B")</f>
        <v/>
      </c>
      <c r="G48">
        <f>C48+E48</f>
        <v/>
      </c>
      <c r="H48" s="30">
        <f>G48/(COUNTA(Clearances!$A:$A)-1)</f>
        <v/>
      </c>
    </row>
    <row r="49" ht="15" customHeight="1">
      <c r="A49" t="inlineStr">
        <is>
          <t>S03</t>
        </is>
      </c>
      <c r="B49" t="inlineStr">
        <is>
          <t>Suite</t>
        </is>
      </c>
      <c r="C49">
        <f>COUNTIFS(Clearances!$E:$E,$A49,Clearances!$B:$B,"Tower A")</f>
        <v/>
      </c>
      <c r="D49" s="30">
        <f>C49/COUNTIF(Clearances!$B:$B,"Tower A")</f>
        <v/>
      </c>
      <c r="E49">
        <f>COUNTIFS(Clearances!$E:$E,$A49,Clearances!$B:$B,"Tower B")</f>
        <v/>
      </c>
      <c r="F49" s="30">
        <f>E49/COUNTIF(Clearances!$B:$B,"Tower B")</f>
        <v/>
      </c>
      <c r="G49">
        <f>C49+E49</f>
        <v/>
      </c>
      <c r="H49" s="30">
        <f>G49/(COUNTA(Clearances!$A:$A)-1)</f>
        <v/>
      </c>
    </row>
    <row r="50" ht="15" customHeight="1">
      <c r="A50" t="inlineStr">
        <is>
          <t>S04</t>
        </is>
      </c>
      <c r="B50" t="inlineStr">
        <is>
          <t>Suite</t>
        </is>
      </c>
      <c r="C50">
        <f>COUNTIFS(Clearances!$E:$E,$A50,Clearances!$B:$B,"Tower A")</f>
        <v/>
      </c>
      <c r="D50" s="30">
        <f>C50/COUNTIF(Clearances!$B:$B,"Tower A")</f>
        <v/>
      </c>
      <c r="E50">
        <f>COUNTIFS(Clearances!$E:$E,$A50,Clearances!$B:$B,"Tower B")</f>
        <v/>
      </c>
      <c r="F50" s="30">
        <f>E50/COUNTIF(Clearances!$B:$B,"Tower B")</f>
        <v/>
      </c>
      <c r="G50">
        <f>C50+E50</f>
        <v/>
      </c>
      <c r="H50" s="30">
        <f>G50/(COUNTA(Clearances!$A:$A)-1)</f>
        <v/>
      </c>
    </row>
    <row r="51" ht="15" customHeight="1">
      <c r="A51" t="inlineStr">
        <is>
          <t>S05</t>
        </is>
      </c>
      <c r="B51" t="inlineStr">
        <is>
          <t>Suite</t>
        </is>
      </c>
      <c r="C51">
        <f>COUNTIFS(Clearances!$E:$E,$A51,Clearances!$B:$B,"Tower A")</f>
        <v/>
      </c>
      <c r="D51" s="30">
        <f>C51/COUNTIF(Clearances!$B:$B,"Tower A")</f>
        <v/>
      </c>
      <c r="E51">
        <f>COUNTIFS(Clearances!$E:$E,$A51,Clearances!$B:$B,"Tower B")</f>
        <v/>
      </c>
      <c r="F51" s="30">
        <f>E51/COUNTIF(Clearances!$B:$B,"Tower B")</f>
        <v/>
      </c>
      <c r="G51">
        <f>C51+E51</f>
        <v/>
      </c>
      <c r="H51" s="30">
        <f>G51/(COUNTA(Clearances!$A:$A)-1)</f>
        <v/>
      </c>
    </row>
    <row r="52" ht="15" customHeight="1">
      <c r="A52" t="inlineStr">
        <is>
          <t>S06</t>
        </is>
      </c>
      <c r="B52" t="inlineStr">
        <is>
          <t>Suite</t>
        </is>
      </c>
      <c r="C52">
        <f>COUNTIFS(Clearances!$E:$E,$A52,Clearances!$B:$B,"Tower A")</f>
        <v/>
      </c>
      <c r="D52" s="30">
        <f>C52/COUNTIF(Clearances!$B:$B,"Tower A")</f>
        <v/>
      </c>
      <c r="E52">
        <f>COUNTIFS(Clearances!$E:$E,$A52,Clearances!$B:$B,"Tower B")</f>
        <v/>
      </c>
      <c r="F52" s="30">
        <f>E52/COUNTIF(Clearances!$B:$B,"Tower B")</f>
        <v/>
      </c>
      <c r="G52">
        <f>C52+E52</f>
        <v/>
      </c>
      <c r="H52" s="30">
        <f>G52/(COUNTA(Clearances!$A:$A)-1)</f>
        <v/>
      </c>
    </row>
    <row r="53" ht="15" customHeight="1">
      <c r="A53" t="inlineStr">
        <is>
          <t>S07</t>
        </is>
      </c>
      <c r="B53" t="inlineStr">
        <is>
          <t>Suite</t>
        </is>
      </c>
      <c r="C53">
        <f>COUNTIFS(Clearances!$E:$E,$A53,Clearances!$B:$B,"Tower A")</f>
        <v/>
      </c>
      <c r="D53" s="30">
        <f>C53/COUNTIF(Clearances!$B:$B,"Tower A")</f>
        <v/>
      </c>
      <c r="E53">
        <f>COUNTIFS(Clearances!$E:$E,$A53,Clearances!$B:$B,"Tower B")</f>
        <v/>
      </c>
      <c r="F53" s="30">
        <f>E53/COUNTIF(Clearances!$B:$B,"Tower B")</f>
        <v/>
      </c>
      <c r="G53">
        <f>C53+E53</f>
        <v/>
      </c>
      <c r="H53" s="30">
        <f>G53/(COUNTA(Clearances!$A:$A)-1)</f>
        <v/>
      </c>
    </row>
    <row r="54" ht="15" customHeight="1">
      <c r="A54" t="inlineStr">
        <is>
          <t>S08</t>
        </is>
      </c>
      <c r="B54" t="inlineStr">
        <is>
          <t>Suite</t>
        </is>
      </c>
      <c r="C54">
        <f>COUNTIFS(Clearances!$E:$E,$A54,Clearances!$B:$B,"Tower A")</f>
        <v/>
      </c>
      <c r="D54" s="30">
        <f>C54/COUNTIF(Clearances!$B:$B,"Tower A")</f>
        <v/>
      </c>
      <c r="E54">
        <f>COUNTIFS(Clearances!$E:$E,$A54,Clearances!$B:$B,"Tower B")</f>
        <v/>
      </c>
      <c r="F54" s="30">
        <f>E54/COUNTIF(Clearances!$B:$B,"Tower B")</f>
        <v/>
      </c>
      <c r="G54">
        <f>C54+E54</f>
        <v/>
      </c>
      <c r="H54" s="30">
        <f>G54/(COUNTA(Clearances!$A:$A)-1)</f>
        <v/>
      </c>
    </row>
    <row r="55" ht="15" customHeight="1">
      <c r="A55" t="inlineStr">
        <is>
          <t>S08A</t>
        </is>
      </c>
      <c r="B55" t="inlineStr">
        <is>
          <t>Suite</t>
        </is>
      </c>
      <c r="C55">
        <f>COUNTIFS(Clearances!$E:$E,$A55,Clearances!$B:$B,"Tower A")</f>
        <v/>
      </c>
      <c r="D55" s="30">
        <f>C55/COUNTIF(Clearances!$B:$B,"Tower A")</f>
        <v/>
      </c>
      <c r="E55">
        <f>COUNTIFS(Clearances!$E:$E,$A55,Clearances!$B:$B,"Tower B")</f>
        <v/>
      </c>
      <c r="F55" s="30">
        <f>E55/COUNTIF(Clearances!$B:$B,"Tower B")</f>
        <v/>
      </c>
      <c r="G55">
        <f>C55+E55</f>
        <v/>
      </c>
      <c r="H55" s="30">
        <f>G55/(COUNTA(Clearances!$A:$A)-1)</f>
        <v/>
      </c>
    </row>
    <row r="56" ht="15" customHeight="1">
      <c r="A56" t="inlineStr">
        <is>
          <t>S09</t>
        </is>
      </c>
      <c r="B56" t="inlineStr">
        <is>
          <t>Suite</t>
        </is>
      </c>
      <c r="C56">
        <f>COUNTIFS(Clearances!$E:$E,$A56,Clearances!$B:$B,"Tower A")</f>
        <v/>
      </c>
      <c r="D56" s="30">
        <f>C56/COUNTIF(Clearances!$B:$B,"Tower A")</f>
        <v/>
      </c>
      <c r="E56">
        <f>COUNTIFS(Clearances!$E:$E,$A56,Clearances!$B:$B,"Tower B")</f>
        <v/>
      </c>
      <c r="F56" s="30">
        <f>E56/COUNTIF(Clearances!$B:$B,"Tower B")</f>
        <v/>
      </c>
      <c r="G56">
        <f>C56+E56</f>
        <v/>
      </c>
      <c r="H56" s="30">
        <f>G56/(COUNTA(Clearances!$A:$A)-1)</f>
        <v/>
      </c>
    </row>
    <row r="57" ht="15" customHeight="1">
      <c r="A57" t="inlineStr">
        <is>
          <t>S10</t>
        </is>
      </c>
      <c r="B57" t="inlineStr">
        <is>
          <t>Suite</t>
        </is>
      </c>
      <c r="C57">
        <f>COUNTIFS(Clearances!$E:$E,$A57,Clearances!$B:$B,"Tower A")</f>
        <v/>
      </c>
      <c r="D57" s="30">
        <f>C57/COUNTIF(Clearances!$B:$B,"Tower A")</f>
        <v/>
      </c>
      <c r="E57">
        <f>COUNTIFS(Clearances!$E:$E,$A57,Clearances!$B:$B,"Tower B")</f>
        <v/>
      </c>
      <c r="F57" s="30">
        <f>E57/COUNTIF(Clearances!$B:$B,"Tower B")</f>
        <v/>
      </c>
      <c r="G57">
        <f>C57+E57</f>
        <v/>
      </c>
      <c r="H57" s="30">
        <f>G57/(COUNTA(Clearances!$A:$A)-1)</f>
        <v/>
      </c>
    </row>
    <row r="58" ht="15" customHeight="1">
      <c r="A58" t="inlineStr">
        <is>
          <t>SADA</t>
        </is>
      </c>
      <c r="B58" t="inlineStr">
        <is>
          <t>Suite ADA</t>
        </is>
      </c>
      <c r="C58">
        <f>COUNTIFS(Clearances!$E:$E,$A58,Clearances!$B:$B,"Tower A")</f>
        <v/>
      </c>
      <c r="D58" s="30">
        <f>C58/COUNTIF(Clearances!$B:$B,"Tower A")</f>
        <v/>
      </c>
      <c r="E58">
        <f>COUNTIFS(Clearances!$E:$E,$A58,Clearances!$B:$B,"Tower B")</f>
        <v/>
      </c>
      <c r="F58" s="30">
        <f>E58/COUNTIF(Clearances!$B:$B,"Tower B")</f>
        <v/>
      </c>
      <c r="G58">
        <f>C58+E58</f>
        <v/>
      </c>
      <c r="H58" s="30">
        <f>G58/(COUNTA(Clearances!$A:$A)-1)</f>
        <v/>
      </c>
    </row>
    <row r="59" ht="15" customHeight="1">
      <c r="A59" t="inlineStr">
        <is>
          <t>BS</t>
        </is>
      </c>
      <c r="B59" t="inlineStr">
        <is>
          <t>Suite</t>
        </is>
      </c>
      <c r="C59">
        <f>COUNTIFS(Clearances!$E:$E,$A59,Clearances!$B:$B,"Tower A")</f>
        <v/>
      </c>
      <c r="D59" s="30">
        <f>C59/COUNTIF(Clearances!$B:$B,"Tower A")</f>
        <v/>
      </c>
      <c r="E59">
        <f>COUNTIFS(Clearances!$E:$E,$A59,Clearances!$B:$B,"Tower B")</f>
        <v/>
      </c>
      <c r="F59" s="30">
        <f>E59/COUNTIF(Clearances!$B:$B,"Tower B")</f>
        <v/>
      </c>
      <c r="G59">
        <f>C59+E59</f>
        <v/>
      </c>
      <c r="H59" s="30">
        <f>G59/(COUNTA(Clearances!$A:$A)-1)</f>
        <v/>
      </c>
    </row>
    <row r="60" ht="15" customHeight="1">
      <c r="A60" t="inlineStr">
        <is>
          <t>PS01</t>
        </is>
      </c>
      <c r="B60" t="inlineStr">
        <is>
          <t>Premium Suite</t>
        </is>
      </c>
      <c r="C60">
        <f>COUNTIFS(Clearances!$E:$E,$A60,Clearances!$B:$B,"Tower A")</f>
        <v/>
      </c>
      <c r="D60" s="30">
        <f>C60/COUNTIF(Clearances!$B:$B,"Tower A")</f>
        <v/>
      </c>
      <c r="E60">
        <f>COUNTIFS(Clearances!$E:$E,$A60,Clearances!$B:$B,"Tower B")</f>
        <v/>
      </c>
      <c r="F60" s="30">
        <f>E60/COUNTIF(Clearances!$B:$B,"Tower B")</f>
        <v/>
      </c>
      <c r="G60">
        <f>C60+E60</f>
        <v/>
      </c>
      <c r="H60" s="30">
        <f>G60/(COUNTA(Clearances!$A:$A)-1)</f>
        <v/>
      </c>
    </row>
    <row r="61" ht="15" customHeight="1">
      <c r="A61" t="inlineStr">
        <is>
          <t>PS02</t>
        </is>
      </c>
      <c r="B61" t="inlineStr">
        <is>
          <t>Premium Suite</t>
        </is>
      </c>
      <c r="C61">
        <f>COUNTIFS(Clearances!$E:$E,$A61,Clearances!$B:$B,"Tower A")</f>
        <v/>
      </c>
      <c r="D61" s="30">
        <f>C61/COUNTIF(Clearances!$B:$B,"Tower A")</f>
        <v/>
      </c>
      <c r="E61">
        <f>COUNTIFS(Clearances!$E:$E,$A61,Clearances!$B:$B,"Tower B")</f>
        <v/>
      </c>
      <c r="F61" s="30">
        <f>E61/COUNTIF(Clearances!$B:$B,"Tower B")</f>
        <v/>
      </c>
      <c r="G61">
        <f>C61+E61</f>
        <v/>
      </c>
      <c r="H61" s="30">
        <f>G61/(COUNTA(Clearances!$A:$A)-1)</f>
        <v/>
      </c>
    </row>
    <row r="62" ht="15" customHeight="1">
      <c r="A62" t="inlineStr">
        <is>
          <t>PS03</t>
        </is>
      </c>
      <c r="B62" t="inlineStr">
        <is>
          <t>Premium Suite</t>
        </is>
      </c>
      <c r="C62">
        <f>COUNTIFS(Clearances!$E:$E,$A62,Clearances!$B:$B,"Tower A")</f>
        <v/>
      </c>
      <c r="D62" s="30">
        <f>C62/COUNTIF(Clearances!$B:$B,"Tower A")</f>
        <v/>
      </c>
      <c r="E62">
        <f>COUNTIFS(Clearances!$E:$E,$A62,Clearances!$B:$B,"Tower B")</f>
        <v/>
      </c>
      <c r="F62" s="30">
        <f>E62/COUNTIF(Clearances!$B:$B,"Tower B")</f>
        <v/>
      </c>
      <c r="G62">
        <f>C62+E62</f>
        <v/>
      </c>
      <c r="H62" s="30">
        <f>G62/(COUNTA(Clearances!$A:$A)-1)</f>
        <v/>
      </c>
    </row>
    <row r="63" ht="15" customHeight="1">
      <c r="A63" s="6" t="inlineStr">
        <is>
          <t>TOTAL</t>
        </is>
      </c>
      <c r="C63" s="6">
        <f>SUM(C2:C62)</f>
        <v/>
      </c>
      <c r="E63" s="6">
        <f>SUM(E2:E62)</f>
        <v/>
      </c>
      <c r="G63" s="6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0" customWidth="1" min="1" max="1"/>
    <col width="12" customWidth="1" min="2" max="2"/>
    <col width="60" customWidth="1" min="3" max="3"/>
    <col width="14" customWidth="1" min="4" max="4"/>
    <col width="22" customWidth="1" min="5" max="5"/>
    <col width="12" customWidth="1" min="6" max="6"/>
  </cols>
  <sheetData>
    <row r="1" ht="33.75" customHeight="1">
      <c r="A1" s="4" t="inlineStr">
        <is>
          <t>Status</t>
        </is>
      </c>
      <c r="B1" s="4" t="inlineStr">
        <is>
          <t>Colour</t>
        </is>
      </c>
      <c r="C1" s="4" t="inlineStr">
        <is>
          <t>Meaning</t>
        </is>
      </c>
      <c r="D1" s="4" t="inlineStr">
        <is>
          <t>Counts as</t>
        </is>
      </c>
      <c r="E1" s="4" t="inlineStr">
        <is>
          <t>Clearance</t>
        </is>
      </c>
      <c r="F1" s="4" t="inlineStr">
        <is>
          <t>Colour</t>
        </is>
      </c>
    </row>
    <row r="2" ht="15" customHeight="1">
      <c r="A2" t="inlineStr">
        <is>
          <t>A</t>
        </is>
      </c>
      <c r="B2" s="14" t="inlineStr">
        <is>
          <t>#00B050</t>
        </is>
      </c>
      <c r="C2" t="inlineStr">
        <is>
          <t>Approved</t>
        </is>
      </c>
      <c r="D2" t="inlineStr">
        <is>
          <t>approved</t>
        </is>
      </c>
      <c r="E2" t="inlineStr">
        <is>
          <t>Provided</t>
        </is>
      </c>
      <c r="F2" t="inlineStr">
        <is>
          <t>green</t>
        </is>
      </c>
    </row>
    <row r="3" ht="15" customHeight="1">
      <c r="A3" t="inlineStr">
        <is>
          <t>B</t>
        </is>
      </c>
      <c r="B3" s="14" t="inlineStr">
        <is>
          <t>#00B050</t>
        </is>
      </c>
      <c r="C3" t="inlineStr">
        <is>
          <t>Approved as Noted</t>
        </is>
      </c>
      <c r="D3" t="inlineStr">
        <is>
          <t>approved</t>
        </is>
      </c>
      <c r="E3" t="inlineStr">
        <is>
          <t>Partially Provided</t>
        </is>
      </c>
      <c r="F3" t="inlineStr">
        <is>
          <t>amber</t>
        </is>
      </c>
    </row>
    <row r="4" ht="15" customHeight="1">
      <c r="A4" t="inlineStr">
        <is>
          <t>UR</t>
        </is>
      </c>
      <c r="B4" s="15" t="inlineStr">
        <is>
          <t>#FFC000</t>
        </is>
      </c>
      <c r="C4" t="inlineStr">
        <is>
          <t>Under Review</t>
        </is>
      </c>
      <c r="D4" t="inlineStr">
        <is>
          <t>review</t>
        </is>
      </c>
      <c r="E4" t="inlineStr">
        <is>
          <t>Pending</t>
        </is>
      </c>
      <c r="F4" t="inlineStr">
        <is>
          <t>red</t>
        </is>
      </c>
    </row>
    <row r="5" ht="15" customHeight="1">
      <c r="A5" t="inlineStr">
        <is>
          <t>C</t>
        </is>
      </c>
      <c r="B5" s="16" t="inlineStr">
        <is>
          <t>#FF0000</t>
        </is>
      </c>
      <c r="C5" t="inlineStr">
        <is>
          <t>Code C - Revise &amp; Resubmit</t>
        </is>
      </c>
      <c r="D5" t="inlineStr">
        <is>
          <t>revise</t>
        </is>
      </c>
      <c r="E5" t="inlineStr">
        <is>
          <t>Not Requested</t>
        </is>
      </c>
      <c r="F5" t="inlineStr">
        <is>
          <t>grey</t>
        </is>
      </c>
    </row>
    <row r="6" ht="15" customHeight="1">
      <c r="A6" t="inlineStr">
        <is>
          <t>TBS</t>
        </is>
      </c>
      <c r="B6" s="17" t="inlineStr">
        <is>
          <t>#BFBFBF</t>
        </is>
      </c>
      <c r="C6" t="inlineStr">
        <is>
          <t>To Be Submitted</t>
        </is>
      </c>
      <c r="D6" t="inlineStr">
        <is>
          <t>pending</t>
        </is>
      </c>
      <c r="E6" t="inlineStr">
        <is>
          <t>N/A</t>
        </is>
      </c>
      <c r="F6" t="inlineStr">
        <is>
          <t>grey</t>
        </is>
      </c>
    </row>
    <row r="7" ht="15" customHeight="1">
      <c r="A7" t="inlineStr">
        <is>
          <t>Coordinated</t>
        </is>
      </c>
      <c r="B7" s="18" t="inlineStr">
        <is>
          <t>#B5E6A2</t>
        </is>
      </c>
      <c r="C7" t="inlineStr">
        <is>
          <t>Coordination sketch provided (shown instead of a non-approved MEP/ELV status)</t>
        </is>
      </c>
      <c r="D7" t="inlineStr">
        <is>
          <t>coordinated</t>
        </is>
      </c>
    </row>
    <row r="8" ht="15" customHeight="1">
      <c r="A8" s="10" t="n"/>
      <c r="B8" s="10" t="n"/>
      <c r="C8" s="10" t="n"/>
      <c r="D8" s="10" t="n"/>
    </row>
    <row r="9" ht="15" customHeight="1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  <row r="60">
      <c r="A60" s="10" t="n"/>
      <c r="B60" s="10" t="n"/>
      <c r="C60" s="10" t="n"/>
      <c r="D60" s="10" t="n"/>
      <c r="E60" s="10" t="n"/>
      <c r="F60" s="10" t="n"/>
    </row>
    <row r="61">
      <c r="A61" s="10" t="n"/>
      <c r="B61" s="10" t="n"/>
      <c r="C61" s="10" t="n"/>
      <c r="D61" s="10" t="n"/>
      <c r="E61" s="10" t="n"/>
      <c r="F61" s="10" t="n"/>
    </row>
    <row r="62">
      <c r="A62" s="10" t="n"/>
      <c r="B62" s="10" t="n"/>
      <c r="C62" s="10" t="n"/>
      <c r="D62" s="10" t="n"/>
      <c r="E62" s="10" t="n"/>
      <c r="F62" s="10" t="n"/>
    </row>
    <row r="63">
      <c r="A63" s="10" t="n"/>
      <c r="B63" s="10" t="n"/>
      <c r="C63" s="10" t="n"/>
      <c r="D63" s="10" t="n"/>
      <c r="E63" s="10" t="n"/>
      <c r="F63" s="10" t="n"/>
    </row>
    <row r="64">
      <c r="A64" s="10" t="n"/>
      <c r="B64" s="10" t="n"/>
      <c r="C64" s="10" t="n"/>
      <c r="D64" s="10" t="n"/>
      <c r="E64" s="10" t="n"/>
      <c r="F64" s="10" t="n"/>
    </row>
    <row r="65">
      <c r="A65" s="10" t="n"/>
      <c r="B65" s="10" t="n"/>
      <c r="C65" s="10" t="n"/>
      <c r="D65" s="10" t="n"/>
      <c r="E65" s="10" t="n"/>
      <c r="F65" s="10" t="n"/>
    </row>
    <row r="66">
      <c r="A66" s="10" t="n"/>
      <c r="B66" s="10" t="n"/>
      <c r="C66" s="10" t="n"/>
      <c r="D66" s="10" t="n"/>
      <c r="E66" s="10" t="n"/>
      <c r="F66" s="10" t="n"/>
    </row>
    <row r="67">
      <c r="A67" s="10" t="n"/>
      <c r="B67" s="10" t="n"/>
      <c r="C67" s="10" t="n"/>
      <c r="D67" s="10" t="n"/>
      <c r="E67" s="10" t="n"/>
      <c r="F67" s="10" t="n"/>
    </row>
    <row r="68">
      <c r="A68" s="10" t="n"/>
      <c r="B68" s="10" t="n"/>
      <c r="C68" s="10" t="n"/>
      <c r="D68" s="10" t="n"/>
      <c r="E68" s="10" t="n"/>
      <c r="F68" s="10" t="n"/>
    </row>
    <row r="69">
      <c r="A69" s="10" t="n"/>
      <c r="B69" s="10" t="n"/>
      <c r="C69" s="10" t="n"/>
      <c r="D69" s="10" t="n"/>
      <c r="E69" s="10" t="n"/>
      <c r="F69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70" customWidth="1" min="2" max="2"/>
    <col width="60" customWidth="1" min="3" max="3"/>
  </cols>
  <sheetData>
    <row r="1" ht="33.75" customHeight="1">
      <c r="A1" s="4" t="inlineStr">
        <is>
          <t>Key</t>
        </is>
      </c>
      <c r="B1" s="4" t="inlineStr">
        <is>
          <t>Value</t>
        </is>
      </c>
      <c r="C1" s="4" t="inlineStr">
        <is>
          <t>Notes</t>
        </is>
      </c>
    </row>
    <row r="2" ht="15" customHeight="1">
      <c r="A2" s="7" t="inlineStr">
        <is>
          <t>Project</t>
        </is>
      </c>
      <c r="B2" s="7" t="inlineStr">
        <is>
          <t>Qiddiya Water Park Hotel (WPH)</t>
        </is>
      </c>
      <c r="C2" s="7" t="inlineStr">
        <is>
          <t>Shown in page header</t>
        </is>
      </c>
    </row>
    <row r="3" ht="15" customHeight="1">
      <c r="A3" s="7" t="inlineStr">
        <is>
          <t>Base URL</t>
        </is>
      </c>
      <c r="B3" s="7" t="inlineStr">
        <is>
          <t>https://wph-bujv.github.io/wph-rooms/</t>
        </is>
      </c>
      <c r="C3" s="7" t="inlineStr">
        <is>
          <t>Web address of the room page. QR content = Base URL + ?room=&lt;QR ID&gt;</t>
        </is>
      </c>
    </row>
    <row r="4" ht="15" customHeight="1">
      <c r="A4" s="7" t="inlineStr">
        <is>
          <t>Data last updated</t>
        </is>
      </c>
      <c r="B4" s="13" t="n"/>
      <c r="C4" s="7" t="inlineStr">
        <is>
          <t>Type the date you last updated this file – shown on every page</t>
        </is>
      </c>
    </row>
    <row r="5" ht="15" customHeight="1">
      <c r="A5" s="7" t="inlineStr">
        <is>
          <t>Updated by</t>
        </is>
      </c>
      <c r="B5" s="13" t="inlineStr">
        <is>
          <t>Technical Department - BUJV</t>
        </is>
      </c>
      <c r="C5" s="7" t="n"/>
    </row>
    <row r="6" ht="15" customHeight="1">
      <c r="A6" s="7" t="inlineStr">
        <is>
          <t>Footer note</t>
        </is>
      </c>
      <c r="B6" s="7" t="inlineStr">
        <is>
          <t>Live status from the WPH Room QR Status Register. For information only – refer to the latest approved documents.</t>
        </is>
      </c>
      <c r="C6" s="7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2026-10-09T13:51:53Z</dcterms:modified>
  <cp:lastModifiedBy>Emad Khalaf</cp:lastModifiedBy>
  <cp:revision>0</cp:revision>
</cp:coreProperties>
</file>