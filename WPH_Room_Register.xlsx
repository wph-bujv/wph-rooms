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dd-mmm-yyyy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</fonts>
  <fills count="10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  <fill>
      <patternFill patternType="solid">
        <fgColor rgb="0000B050"/>
      </patternFill>
    </fill>
    <fill>
      <patternFill patternType="solid">
        <fgColor rgb="00FFC000"/>
      </patternFill>
    </fill>
    <fill>
      <patternFill patternType="solid">
        <fgColor rgb="00FF0000"/>
      </patternFill>
    </fill>
    <fill>
      <patternFill patternType="solid">
        <fgColor rgb="00BFBFBF"/>
      </patternFill>
    </fill>
    <fill>
      <patternFill patternType="solid">
        <fgColor rgb="00B6E3A3"/>
      </patternFill>
    </fill>
    <fill>
      <patternFill patternType="solid">
        <fgColor rgb="00B5E6A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  <xf numFmtId="166" fontId="0" fillId="3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00BFECCB"/>
        </patternFill>
      </fill>
    </dxf>
    <dxf>
      <font>
        <b val="1"/>
        <color rgb="00FFFFFF"/>
      </font>
      <fill>
        <patternFill patternType="solid">
          <fgColor rgb="0000B050"/>
        </patternFill>
      </fill>
    </dxf>
    <dxf>
      <font>
        <b val="1"/>
        <color rgb="00000000"/>
      </font>
      <fill>
        <patternFill patternType="solid">
          <fgColor rgb="00FFC000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  <dxf>
      <font>
        <b val="1"/>
        <color rgb="00000000"/>
      </font>
      <fill>
        <patternFill patternType="solid">
          <fgColor rgb="00BFBFBF"/>
        </patternFill>
      </fill>
    </dxf>
    <dxf>
      <fill>
        <patternFill patternType="solid">
          <fgColor rgb="00B6E3A3"/>
        </patternFill>
      </fill>
    </dxf>
    <dxf>
      <fill>
        <patternFill patternType="solid">
          <fgColor rgb="0000B050"/>
          <bgColor rgb="0000B050"/>
        </patternFill>
      </fill>
    </dxf>
    <dxf>
      <fill>
        <patternFill patternType="solid">
          <fgColor rgb="00FFC000"/>
          <bgColor rgb="00FFC000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BFBFBF"/>
          <bgColor rgb="00BFBFBF"/>
        </patternFill>
      </fill>
    </dxf>
    <dxf>
      <numFmt numFmtId="200" formatCode="General;General;General;&quot;Coordinated&quot;"/>
      <fill>
        <patternFill patternType="solid">
          <fgColor rgb="00B5E6A2"/>
          <bgColor rgb="00B5E6A2"/>
        </patternFill>
      </fill>
    </dxf>
    <dxf>
      <fill>
        <patternFill patternType="solid">
          <fgColor rgb="00B5E6A2"/>
          <bgColor rgb="00B5E6A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Shop Drawings sheet = default per room type (e.g. ID shop drawing status of K01C applies to every K01C room).</t>
        </is>
      </c>
    </row>
    <row r="11" ht="15" customHeight="1" s="11">
      <c r="A11" s="13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 s="11">
      <c r="A12" s="13" t="inlineStr">
        <is>
          <t>• Room counts and percentages are calculated automatically by the page from the Clearances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Clearances (per room) or Shop Drawings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room tag from the DSA typology drawings (e.g. AL02G03) is kept in the column "Room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20" t="inlineStr">
        <is>
          <t>COORDINATION SKETCH</t>
        </is>
      </c>
    </row>
    <row r="34">
      <c r="A34" s="21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20" t="inlineStr">
        <is>
          <t>STATUS CODES (Shop Drawings sheet)</t>
        </is>
      </c>
    </row>
    <row r="37">
      <c r="A37" s="21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23" t="n"/>
      <c r="H2" s="24" t="n"/>
      <c r="I2" s="23" t="n"/>
      <c r="J2" s="24" t="n"/>
      <c r="K2" s="23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25" t="inlineStr">
        <is>
          <t>Provided</t>
        </is>
      </c>
      <c r="H3" s="24" t="n">
        <v>46301</v>
      </c>
      <c r="I3" s="25" t="inlineStr">
        <is>
          <t>Provided</t>
        </is>
      </c>
      <c r="J3" s="24" t="n">
        <v>46301</v>
      </c>
      <c r="K3" s="23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23" t="n"/>
      <c r="H4" s="24" t="n"/>
      <c r="I4" s="23" t="n"/>
      <c r="J4" s="24" t="n"/>
      <c r="K4" s="23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23" t="n"/>
      <c r="H5" s="24" t="n"/>
      <c r="I5" s="23" t="n"/>
      <c r="J5" s="24" t="n"/>
      <c r="K5" s="23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23" t="n"/>
      <c r="H6" s="24" t="n"/>
      <c r="I6" s="23" t="n"/>
      <c r="J6" s="24" t="n"/>
      <c r="K6" s="23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23" t="n"/>
      <c r="H7" s="24" t="n"/>
      <c r="I7" s="23" t="n"/>
      <c r="J7" s="24" t="n"/>
      <c r="K7" s="23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23" t="n"/>
      <c r="H8" s="24" t="n"/>
      <c r="I8" s="23" t="n"/>
      <c r="J8" s="24" t="n"/>
      <c r="K8" s="23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23" t="n"/>
      <c r="H9" s="24" t="n"/>
      <c r="I9" s="23" t="n"/>
      <c r="J9" s="24" t="n"/>
      <c r="K9" s="23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23" t="n"/>
      <c r="H10" s="24" t="n"/>
      <c r="I10" s="23" t="n"/>
      <c r="J10" s="24" t="n"/>
      <c r="K10" s="23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23" t="n"/>
      <c r="H11" s="24" t="n"/>
      <c r="I11" s="23" t="n"/>
      <c r="J11" s="24" t="n"/>
      <c r="K11" s="23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23" t="n"/>
      <c r="H12" s="24" t="n"/>
      <c r="I12" s="23" t="n"/>
      <c r="J12" s="24" t="n"/>
      <c r="K12" s="23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23" t="n"/>
      <c r="H13" s="24" t="n"/>
      <c r="I13" s="23" t="n"/>
      <c r="J13" s="24" t="n"/>
      <c r="K13" s="23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23" t="n"/>
      <c r="H14" s="24" t="n"/>
      <c r="I14" s="23" t="n"/>
      <c r="J14" s="24" t="n"/>
      <c r="K14" s="23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23" t="n"/>
      <c r="H15" s="24" t="n"/>
      <c r="I15" s="23" t="n"/>
      <c r="J15" s="24" t="n"/>
      <c r="K15" s="23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23" t="n"/>
      <c r="H16" s="24" t="n"/>
      <c r="I16" s="23" t="n"/>
      <c r="J16" s="24" t="n"/>
      <c r="K16" s="23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23" t="n"/>
      <c r="H17" s="24" t="n"/>
      <c r="I17" s="23" t="n"/>
      <c r="J17" s="24" t="n"/>
      <c r="K17" s="23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23" t="n"/>
      <c r="H18" s="24" t="n"/>
      <c r="I18" s="23" t="n"/>
      <c r="J18" s="24" t="n"/>
      <c r="K18" s="23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23" t="n"/>
      <c r="H19" s="24" t="n"/>
      <c r="I19" s="23" t="n"/>
      <c r="J19" s="24" t="n"/>
      <c r="K19" s="23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23" t="n"/>
      <c r="H20" s="24" t="n"/>
      <c r="I20" s="23" t="n"/>
      <c r="J20" s="24" t="n"/>
      <c r="K20" s="23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23" t="n"/>
      <c r="H21" s="24" t="n"/>
      <c r="I21" s="23" t="n"/>
      <c r="J21" s="24" t="n"/>
      <c r="K21" s="23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23" t="n"/>
      <c r="H22" s="24" t="n"/>
      <c r="I22" s="23" t="n"/>
      <c r="J22" s="24" t="n"/>
      <c r="K22" s="23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23" t="n"/>
      <c r="H23" s="24" t="n"/>
      <c r="I23" s="23" t="n"/>
      <c r="J23" s="24" t="n"/>
      <c r="K23" s="23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23" t="n"/>
      <c r="H24" s="24" t="n"/>
      <c r="I24" s="23" t="n"/>
      <c r="J24" s="24" t="n"/>
      <c r="K24" s="23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23" t="n"/>
      <c r="H25" s="24" t="n"/>
      <c r="I25" s="23" t="n"/>
      <c r="J25" s="24" t="n"/>
      <c r="K25" s="23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23" t="n"/>
      <c r="H26" s="24" t="n"/>
      <c r="I26" s="23" t="n"/>
      <c r="J26" s="24" t="n"/>
      <c r="K26" s="23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23" t="n"/>
      <c r="H27" s="24" t="n"/>
      <c r="I27" s="23" t="n"/>
      <c r="J27" s="24" t="n"/>
      <c r="K27" s="23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23" t="n"/>
      <c r="H28" s="24" t="n"/>
      <c r="I28" s="23" t="n"/>
      <c r="J28" s="24" t="n"/>
      <c r="K28" s="23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23" t="n"/>
      <c r="H29" s="24" t="n"/>
      <c r="I29" s="23" t="n"/>
      <c r="J29" s="24" t="n"/>
      <c r="K29" s="23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23" t="n"/>
      <c r="H30" s="24" t="n"/>
      <c r="I30" s="23" t="n"/>
      <c r="J30" s="24" t="n"/>
      <c r="K30" s="23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23" t="n"/>
      <c r="H31" s="24" t="n"/>
      <c r="I31" s="23" t="n"/>
      <c r="J31" s="24" t="n"/>
      <c r="K31" s="23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23" t="n"/>
      <c r="H32" s="24" t="n"/>
      <c r="I32" s="23" t="n"/>
      <c r="J32" s="24" t="n"/>
      <c r="K32" s="23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23" t="n"/>
      <c r="H33" s="24" t="n"/>
      <c r="I33" s="23" t="n"/>
      <c r="J33" s="24" t="n"/>
      <c r="K33" s="23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23" t="n"/>
      <c r="H34" s="24" t="n"/>
      <c r="I34" s="23" t="n"/>
      <c r="J34" s="24" t="n"/>
      <c r="K34" s="23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23" t="n"/>
      <c r="H35" s="24" t="n"/>
      <c r="I35" s="23" t="n"/>
      <c r="J35" s="24" t="n"/>
      <c r="K35" s="23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23" t="n"/>
      <c r="H36" s="24" t="n"/>
      <c r="I36" s="23" t="n"/>
      <c r="J36" s="24" t="n"/>
      <c r="K36" s="23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23" t="n"/>
      <c r="H37" s="24" t="n"/>
      <c r="I37" s="23" t="n"/>
      <c r="J37" s="24" t="n"/>
      <c r="K37" s="23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23" t="n"/>
      <c r="H38" s="24" t="n"/>
      <c r="I38" s="23" t="n"/>
      <c r="J38" s="24" t="n"/>
      <c r="K38" s="23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23" t="n"/>
      <c r="H39" s="24" t="n"/>
      <c r="I39" s="23" t="n"/>
      <c r="J39" s="24" t="n"/>
      <c r="K39" s="23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23" t="n"/>
      <c r="H40" s="24" t="n"/>
      <c r="I40" s="23" t="n"/>
      <c r="J40" s="24" t="n"/>
      <c r="K40" s="23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23" t="n"/>
      <c r="H41" s="24" t="n"/>
      <c r="I41" s="23" t="n"/>
      <c r="J41" s="24" t="n"/>
      <c r="K41" s="23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23" t="n"/>
      <c r="H42" s="24" t="n"/>
      <c r="I42" s="23" t="n"/>
      <c r="J42" s="24" t="n"/>
      <c r="K42" s="23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23" t="n"/>
      <c r="H43" s="24" t="n"/>
      <c r="I43" s="23" t="n"/>
      <c r="J43" s="24" t="n"/>
      <c r="K43" s="23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23" t="n"/>
      <c r="H44" s="24" t="n"/>
      <c r="I44" s="23" t="n"/>
      <c r="J44" s="24" t="n"/>
      <c r="K44" s="23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23" t="n"/>
      <c r="H45" s="24" t="n"/>
      <c r="I45" s="23" t="n"/>
      <c r="J45" s="24" t="n"/>
      <c r="K45" s="23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23" t="n"/>
      <c r="H46" s="24" t="n"/>
      <c r="I46" s="23" t="n"/>
      <c r="J46" s="24" t="n"/>
      <c r="K46" s="23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23" t="n"/>
      <c r="H47" s="24" t="n"/>
      <c r="I47" s="23" t="n"/>
      <c r="J47" s="24" t="n"/>
      <c r="K47" s="23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23" t="n"/>
      <c r="H48" s="24" t="n"/>
      <c r="I48" s="23" t="n"/>
      <c r="J48" s="24" t="n"/>
      <c r="K48" s="23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23" t="n"/>
      <c r="H49" s="24" t="n"/>
      <c r="I49" s="23" t="n"/>
      <c r="J49" s="24" t="n"/>
      <c r="K49" s="23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23" t="n"/>
      <c r="H50" s="24" t="n"/>
      <c r="I50" s="23" t="n"/>
      <c r="J50" s="24" t="n"/>
      <c r="K50" s="23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23" t="n"/>
      <c r="H51" s="24" t="n"/>
      <c r="I51" s="23" t="n"/>
      <c r="J51" s="24" t="n"/>
      <c r="K51" s="23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23" t="n"/>
      <c r="H52" s="24" t="n"/>
      <c r="I52" s="23" t="n"/>
      <c r="J52" s="24" t="n"/>
      <c r="K52" s="23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23" t="n"/>
      <c r="H53" s="24" t="n"/>
      <c r="I53" s="23" t="n"/>
      <c r="J53" s="24" t="n"/>
      <c r="K53" s="23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23" t="n"/>
      <c r="H54" s="24" t="n"/>
      <c r="I54" s="23" t="n"/>
      <c r="J54" s="24" t="n"/>
      <c r="K54" s="23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23" t="n"/>
      <c r="H55" s="24" t="n"/>
      <c r="I55" s="23" t="n"/>
      <c r="J55" s="24" t="n"/>
      <c r="K55" s="23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23" t="n"/>
      <c r="H56" s="24" t="n"/>
      <c r="I56" s="23" t="n"/>
      <c r="J56" s="24" t="n"/>
      <c r="K56" s="23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23" t="n"/>
      <c r="H57" s="24" t="n"/>
      <c r="I57" s="23" t="n"/>
      <c r="J57" s="24" t="n"/>
      <c r="K57" s="23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23" t="n"/>
      <c r="H58" s="24" t="n"/>
      <c r="I58" s="23" t="n"/>
      <c r="J58" s="24" t="n"/>
      <c r="K58" s="23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23" t="n"/>
      <c r="H59" s="24" t="n"/>
      <c r="I59" s="23" t="n"/>
      <c r="J59" s="24" t="n"/>
      <c r="K59" s="23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23" t="n"/>
      <c r="H60" s="24" t="n"/>
      <c r="I60" s="23" t="n"/>
      <c r="J60" s="24" t="n"/>
      <c r="K60" s="23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23" t="n"/>
      <c r="H61" s="24" t="n"/>
      <c r="I61" s="23" t="n"/>
      <c r="J61" s="24" t="n"/>
      <c r="K61" s="23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23" t="n"/>
      <c r="H62" s="24" t="n"/>
      <c r="I62" s="23" t="n"/>
      <c r="J62" s="24" t="n"/>
      <c r="K62" s="23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23" t="n"/>
      <c r="H63" s="24" t="n"/>
      <c r="I63" s="23" t="n"/>
      <c r="J63" s="24" t="n"/>
      <c r="K63" s="23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23" t="n"/>
      <c r="H64" s="24" t="n"/>
      <c r="I64" s="23" t="n"/>
      <c r="J64" s="24" t="n"/>
      <c r="K64" s="23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23" t="n"/>
      <c r="H65" s="24" t="n"/>
      <c r="I65" s="23" t="n"/>
      <c r="J65" s="24" t="n"/>
      <c r="K65" s="23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23" t="n"/>
      <c r="H66" s="24" t="n"/>
      <c r="I66" s="23" t="n"/>
      <c r="J66" s="24" t="n"/>
      <c r="K66" s="23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23" t="n"/>
      <c r="H67" s="24" t="n"/>
      <c r="I67" s="23" t="n"/>
      <c r="J67" s="24" t="n"/>
      <c r="K67" s="23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23" t="n"/>
      <c r="H68" s="24" t="n"/>
      <c r="I68" s="23" t="n"/>
      <c r="J68" s="24" t="n"/>
      <c r="K68" s="23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23" t="n"/>
      <c r="H69" s="24" t="n"/>
      <c r="I69" s="23" t="n"/>
      <c r="J69" s="24" t="n"/>
      <c r="K69" s="23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23" t="n"/>
      <c r="H70" s="24" t="n"/>
      <c r="I70" s="23" t="n"/>
      <c r="J70" s="24" t="n"/>
      <c r="K70" s="23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23" t="n"/>
      <c r="H71" s="24" t="n"/>
      <c r="I71" s="23" t="n"/>
      <c r="J71" s="24" t="n"/>
      <c r="K71" s="23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23" t="n"/>
      <c r="H72" s="24" t="n"/>
      <c r="I72" s="23" t="n"/>
      <c r="J72" s="24" t="n"/>
      <c r="K72" s="23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23" t="n"/>
      <c r="H73" s="24" t="n"/>
      <c r="I73" s="23" t="n"/>
      <c r="J73" s="24" t="n"/>
      <c r="K73" s="23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23" t="n"/>
      <c r="H74" s="24" t="n"/>
      <c r="I74" s="23" t="n"/>
      <c r="J74" s="24" t="n"/>
      <c r="K74" s="23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23" t="n"/>
      <c r="H75" s="24" t="n"/>
      <c r="I75" s="23" t="n"/>
      <c r="J75" s="24" t="n"/>
      <c r="K75" s="23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23" t="n"/>
      <c r="H76" s="24" t="n"/>
      <c r="I76" s="23" t="n"/>
      <c r="J76" s="24" t="n"/>
      <c r="K76" s="23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23" t="n"/>
      <c r="H77" s="24" t="n"/>
      <c r="I77" s="23" t="n"/>
      <c r="J77" s="24" t="n"/>
      <c r="K77" s="23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23" t="n"/>
      <c r="H78" s="24" t="n"/>
      <c r="I78" s="23" t="n"/>
      <c r="J78" s="24" t="n"/>
      <c r="K78" s="23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23" t="n"/>
      <c r="H79" s="24" t="n"/>
      <c r="I79" s="23" t="n"/>
      <c r="J79" s="24" t="n"/>
      <c r="K79" s="23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23" t="n"/>
      <c r="H80" s="24" t="n"/>
      <c r="I80" s="23" t="n"/>
      <c r="J80" s="24" t="n"/>
      <c r="K80" s="23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23" t="n"/>
      <c r="H81" s="24" t="n"/>
      <c r="I81" s="23" t="n"/>
      <c r="J81" s="24" t="n"/>
      <c r="K81" s="23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23" t="n"/>
      <c r="H82" s="24" t="n"/>
      <c r="I82" s="23" t="n"/>
      <c r="J82" s="24" t="n"/>
      <c r="K82" s="23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23" t="n"/>
      <c r="H83" s="24" t="n"/>
      <c r="I83" s="23" t="n"/>
      <c r="J83" s="24" t="n"/>
      <c r="K83" s="23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23" t="n"/>
      <c r="H84" s="24" t="n"/>
      <c r="I84" s="23" t="n"/>
      <c r="J84" s="24" t="n"/>
      <c r="K84" s="23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23" t="n"/>
      <c r="H85" s="24" t="n"/>
      <c r="I85" s="23" t="n"/>
      <c r="J85" s="24" t="n"/>
      <c r="K85" s="23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23" t="n"/>
      <c r="H86" s="24" t="n"/>
      <c r="I86" s="23" t="n"/>
      <c r="J86" s="24" t="n"/>
      <c r="K86" s="23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23" t="n"/>
      <c r="H87" s="24" t="n"/>
      <c r="I87" s="23" t="n"/>
      <c r="J87" s="24" t="n"/>
      <c r="K87" s="23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23" t="n"/>
      <c r="H88" s="24" t="n"/>
      <c r="I88" s="23" t="n"/>
      <c r="J88" s="24" t="n"/>
      <c r="K88" s="23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23" t="n"/>
      <c r="H89" s="24" t="n"/>
      <c r="I89" s="23" t="n"/>
      <c r="J89" s="24" t="n"/>
      <c r="K89" s="23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23" t="n"/>
      <c r="H90" s="24" t="n"/>
      <c r="I90" s="23" t="n"/>
      <c r="J90" s="24" t="n"/>
      <c r="K90" s="23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23" t="n"/>
      <c r="H91" s="24" t="n"/>
      <c r="I91" s="23" t="n"/>
      <c r="J91" s="24" t="n"/>
      <c r="K91" s="23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23" t="n"/>
      <c r="H92" s="24" t="n"/>
      <c r="I92" s="23" t="n"/>
      <c r="J92" s="24" t="n"/>
      <c r="K92" s="23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23" t="n"/>
      <c r="H93" s="24" t="n"/>
      <c r="I93" s="23" t="n"/>
      <c r="J93" s="24" t="n"/>
      <c r="K93" s="23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23" t="n"/>
      <c r="H94" s="24" t="n"/>
      <c r="I94" s="23" t="n"/>
      <c r="J94" s="24" t="n"/>
      <c r="K94" s="23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23" t="n"/>
      <c r="H95" s="24" t="n"/>
      <c r="I95" s="23" t="n"/>
      <c r="J95" s="24" t="n"/>
      <c r="K95" s="23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23" t="n"/>
      <c r="H96" s="24" t="n"/>
      <c r="I96" s="23" t="n"/>
      <c r="J96" s="24" t="n"/>
      <c r="K96" s="23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23" t="n"/>
      <c r="H97" s="24" t="n"/>
      <c r="I97" s="23" t="n"/>
      <c r="J97" s="24" t="n"/>
      <c r="K97" s="23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23" t="n"/>
      <c r="H98" s="24" t="n"/>
      <c r="I98" s="23" t="n"/>
      <c r="J98" s="24" t="n"/>
      <c r="K98" s="23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23" t="n"/>
      <c r="H99" s="24" t="n"/>
      <c r="I99" s="23" t="n"/>
      <c r="J99" s="24" t="n"/>
      <c r="K99" s="23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23" t="n"/>
      <c r="H100" s="24" t="n"/>
      <c r="I100" s="23" t="n"/>
      <c r="J100" s="24" t="n"/>
      <c r="K100" s="23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23" t="n"/>
      <c r="H101" s="24" t="n"/>
      <c r="I101" s="23" t="n"/>
      <c r="J101" s="24" t="n"/>
      <c r="K101" s="23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23" t="n"/>
      <c r="H102" s="24" t="n"/>
      <c r="I102" s="23" t="n"/>
      <c r="J102" s="24" t="n"/>
      <c r="K102" s="23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23" t="n"/>
      <c r="H103" s="24" t="n"/>
      <c r="I103" s="23" t="n"/>
      <c r="J103" s="24" t="n"/>
      <c r="K103" s="23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23" t="n"/>
      <c r="H104" s="24" t="n"/>
      <c r="I104" s="23" t="n"/>
      <c r="J104" s="24" t="n"/>
      <c r="K104" s="23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23" t="n"/>
      <c r="H105" s="24" t="n"/>
      <c r="I105" s="23" t="n"/>
      <c r="J105" s="24" t="n"/>
      <c r="K105" s="23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23" t="n"/>
      <c r="H106" s="24" t="n"/>
      <c r="I106" s="23" t="n"/>
      <c r="J106" s="24" t="n"/>
      <c r="K106" s="23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23" t="n"/>
      <c r="H107" s="24" t="n"/>
      <c r="I107" s="23" t="n"/>
      <c r="J107" s="24" t="n"/>
      <c r="K107" s="23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23" t="n"/>
      <c r="H108" s="24" t="n"/>
      <c r="I108" s="23" t="n"/>
      <c r="J108" s="24" t="n"/>
      <c r="K108" s="23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23" t="n"/>
      <c r="H109" s="24" t="n"/>
      <c r="I109" s="23" t="n"/>
      <c r="J109" s="24" t="n"/>
      <c r="K109" s="23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23" t="n"/>
      <c r="H110" s="24" t="n"/>
      <c r="I110" s="23" t="n"/>
      <c r="J110" s="24" t="n"/>
      <c r="K110" s="23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23" t="n"/>
      <c r="H111" s="24" t="n"/>
      <c r="I111" s="23" t="n"/>
      <c r="J111" s="24" t="n"/>
      <c r="K111" s="23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23" t="n"/>
      <c r="H112" s="24" t="n"/>
      <c r="I112" s="23" t="n"/>
      <c r="J112" s="24" t="n"/>
      <c r="K112" s="23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23" t="n"/>
      <c r="H113" s="24" t="n"/>
      <c r="I113" s="23" t="n"/>
      <c r="J113" s="24" t="n"/>
      <c r="K113" s="23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23" t="n"/>
      <c r="H114" s="24" t="n"/>
      <c r="I114" s="23" t="n"/>
      <c r="J114" s="24" t="n"/>
      <c r="K114" s="23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23" t="n"/>
      <c r="H115" s="24" t="n"/>
      <c r="I115" s="23" t="n"/>
      <c r="J115" s="24" t="n"/>
      <c r="K115" s="23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23" t="n"/>
      <c r="H116" s="24" t="n"/>
      <c r="I116" s="23" t="n"/>
      <c r="J116" s="24" t="n"/>
      <c r="K116" s="23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23" t="n"/>
      <c r="H117" s="24" t="n"/>
      <c r="I117" s="23" t="n"/>
      <c r="J117" s="24" t="n"/>
      <c r="K117" s="23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23" t="n"/>
      <c r="H118" s="24" t="n"/>
      <c r="I118" s="23" t="n"/>
      <c r="J118" s="24" t="n"/>
      <c r="K118" s="23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23" t="n"/>
      <c r="H119" s="24" t="n"/>
      <c r="I119" s="23" t="n"/>
      <c r="J119" s="24" t="n"/>
      <c r="K119" s="23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23" t="n"/>
      <c r="H120" s="24" t="n"/>
      <c r="I120" s="23" t="n"/>
      <c r="J120" s="24" t="n"/>
      <c r="K120" s="23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23" t="n"/>
      <c r="H121" s="24" t="n"/>
      <c r="I121" s="23" t="n"/>
      <c r="J121" s="24" t="n"/>
      <c r="K121" s="23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23" t="n"/>
      <c r="H122" s="24" t="n"/>
      <c r="I122" s="23" t="n"/>
      <c r="J122" s="24" t="n"/>
      <c r="K122" s="23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23" t="n"/>
      <c r="H123" s="24" t="n"/>
      <c r="I123" s="23" t="n"/>
      <c r="J123" s="24" t="n"/>
      <c r="K123" s="23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23" t="n"/>
      <c r="H124" s="24" t="n"/>
      <c r="I124" s="23" t="n"/>
      <c r="J124" s="24" t="n"/>
      <c r="K124" s="23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23" t="n"/>
      <c r="H125" s="24" t="n"/>
      <c r="I125" s="23" t="n"/>
      <c r="J125" s="24" t="n"/>
      <c r="K125" s="23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23" t="n"/>
      <c r="H126" s="24" t="n"/>
      <c r="I126" s="23" t="n"/>
      <c r="J126" s="24" t="n"/>
      <c r="K126" s="23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23" t="n"/>
      <c r="H127" s="24" t="n"/>
      <c r="I127" s="23" t="n"/>
      <c r="J127" s="24" t="n"/>
      <c r="K127" s="23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23" t="n"/>
      <c r="H128" s="24" t="n"/>
      <c r="I128" s="23" t="n"/>
      <c r="J128" s="24" t="n"/>
      <c r="K128" s="23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23" t="n"/>
      <c r="H129" s="24" t="n"/>
      <c r="I129" s="23" t="n"/>
      <c r="J129" s="24" t="n"/>
      <c r="K129" s="23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23" t="n"/>
      <c r="H130" s="24" t="n"/>
      <c r="I130" s="23" t="n"/>
      <c r="J130" s="24" t="n"/>
      <c r="K130" s="23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23" t="n"/>
      <c r="H131" s="24" t="n"/>
      <c r="I131" s="23" t="n"/>
      <c r="J131" s="24" t="n"/>
      <c r="K131" s="23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23" t="n"/>
      <c r="H132" s="24" t="n"/>
      <c r="I132" s="23" t="n"/>
      <c r="J132" s="24" t="n"/>
      <c r="K132" s="23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23" t="n"/>
      <c r="H133" s="24" t="n"/>
      <c r="I133" s="23" t="n"/>
      <c r="J133" s="24" t="n"/>
      <c r="K133" s="23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23" t="n"/>
      <c r="H134" s="24" t="n"/>
      <c r="I134" s="23" t="n"/>
      <c r="J134" s="24" t="n"/>
      <c r="K134" s="23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23" t="n"/>
      <c r="H135" s="24" t="n"/>
      <c r="I135" s="23" t="n"/>
      <c r="J135" s="24" t="n"/>
      <c r="K135" s="23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23" t="n"/>
      <c r="H136" s="24" t="n"/>
      <c r="I136" s="23" t="n"/>
      <c r="J136" s="24" t="n"/>
      <c r="K136" s="23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23" t="n"/>
      <c r="H137" s="24" t="n"/>
      <c r="I137" s="23" t="n"/>
      <c r="J137" s="24" t="n"/>
      <c r="K137" s="23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23" t="n"/>
      <c r="H138" s="24" t="n"/>
      <c r="I138" s="23" t="n"/>
      <c r="J138" s="24" t="n"/>
      <c r="K138" s="23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23" t="n"/>
      <c r="H139" s="24" t="n"/>
      <c r="I139" s="23" t="n"/>
      <c r="J139" s="24" t="n"/>
      <c r="K139" s="23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23" t="n"/>
      <c r="H140" s="24" t="n"/>
      <c r="I140" s="23" t="n"/>
      <c r="J140" s="24" t="n"/>
      <c r="K140" s="23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23" t="n"/>
      <c r="H141" s="24" t="n"/>
      <c r="I141" s="23" t="n"/>
      <c r="J141" s="24" t="n"/>
      <c r="K141" s="23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23" t="n"/>
      <c r="H142" s="24" t="n"/>
      <c r="I142" s="23" t="n"/>
      <c r="J142" s="24" t="n"/>
      <c r="K142" s="23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23" t="n"/>
      <c r="H143" s="24" t="n"/>
      <c r="I143" s="23" t="n"/>
      <c r="J143" s="24" t="n"/>
      <c r="K143" s="23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23" t="n"/>
      <c r="H144" s="24" t="n"/>
      <c r="I144" s="23" t="n"/>
      <c r="J144" s="24" t="n"/>
      <c r="K144" s="23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23" t="n"/>
      <c r="H145" s="24" t="n"/>
      <c r="I145" s="23" t="n"/>
      <c r="J145" s="24" t="n"/>
      <c r="K145" s="23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23" t="n"/>
      <c r="H146" s="24" t="n"/>
      <c r="I146" s="23" t="n"/>
      <c r="J146" s="24" t="n"/>
      <c r="K146" s="23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23" t="n"/>
      <c r="H147" s="24" t="n"/>
      <c r="I147" s="23" t="n"/>
      <c r="J147" s="24" t="n"/>
      <c r="K147" s="23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23" t="n"/>
      <c r="H148" s="24" t="n"/>
      <c r="I148" s="23" t="n"/>
      <c r="J148" s="24" t="n"/>
      <c r="K148" s="23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23" t="n"/>
      <c r="H149" s="24" t="n"/>
      <c r="I149" s="23" t="n"/>
      <c r="J149" s="24" t="n"/>
      <c r="K149" s="23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23" t="n"/>
      <c r="H150" s="24" t="n"/>
      <c r="I150" s="23" t="n"/>
      <c r="J150" s="24" t="n"/>
      <c r="K150" s="23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23" t="n"/>
      <c r="H151" s="24" t="n"/>
      <c r="I151" s="23" t="n"/>
      <c r="J151" s="24" t="n"/>
      <c r="K151" s="23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23" t="n"/>
      <c r="H152" s="24" t="n"/>
      <c r="I152" s="23" t="n"/>
      <c r="J152" s="24" t="n"/>
      <c r="K152" s="23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23" t="n"/>
      <c r="H153" s="24" t="n"/>
      <c r="I153" s="23" t="n"/>
      <c r="J153" s="24" t="n"/>
      <c r="K153" s="23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23" t="n"/>
      <c r="H154" s="24" t="n"/>
      <c r="I154" s="23" t="n"/>
      <c r="J154" s="24" t="n"/>
      <c r="K154" s="23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23" t="n"/>
      <c r="H155" s="24" t="n"/>
      <c r="I155" s="23" t="n"/>
      <c r="J155" s="24" t="n"/>
      <c r="K155" s="23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23" t="n"/>
      <c r="H156" s="24" t="n"/>
      <c r="I156" s="23" t="n"/>
      <c r="J156" s="24" t="n"/>
      <c r="K156" s="23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23" t="n"/>
      <c r="H157" s="24" t="n"/>
      <c r="I157" s="23" t="n"/>
      <c r="J157" s="24" t="n"/>
      <c r="K157" s="23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23" t="n"/>
      <c r="H158" s="24" t="n"/>
      <c r="I158" s="23" t="n"/>
      <c r="J158" s="24" t="n"/>
      <c r="K158" s="23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23" t="n"/>
      <c r="H159" s="24" t="n"/>
      <c r="I159" s="23" t="n"/>
      <c r="J159" s="24" t="n"/>
      <c r="K159" s="23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23" t="n"/>
      <c r="H160" s="24" t="n"/>
      <c r="I160" s="23" t="n"/>
      <c r="J160" s="24" t="n"/>
      <c r="K160" s="23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23" t="n"/>
      <c r="H161" s="24" t="n"/>
      <c r="I161" s="23" t="n"/>
      <c r="J161" s="24" t="n"/>
      <c r="K161" s="23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23" t="n"/>
      <c r="H162" s="24" t="n"/>
      <c r="I162" s="23" t="n"/>
      <c r="J162" s="24" t="n"/>
      <c r="K162" s="23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23" t="n"/>
      <c r="H163" s="24" t="n"/>
      <c r="I163" s="23" t="n"/>
      <c r="J163" s="24" t="n"/>
      <c r="K163" s="23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23" t="n"/>
      <c r="H164" s="24" t="n"/>
      <c r="I164" s="23" t="n"/>
      <c r="J164" s="24" t="n"/>
      <c r="K164" s="23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23" t="n"/>
      <c r="H165" s="24" t="n"/>
      <c r="I165" s="23" t="n"/>
      <c r="J165" s="24" t="n"/>
      <c r="K165" s="23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23" t="n"/>
      <c r="H166" s="24" t="n"/>
      <c r="I166" s="23" t="n"/>
      <c r="J166" s="24" t="n"/>
      <c r="K166" s="23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23" t="n"/>
      <c r="H167" s="24" t="n"/>
      <c r="I167" s="23" t="n"/>
      <c r="J167" s="24" t="n"/>
      <c r="K167" s="23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23" t="n"/>
      <c r="H168" s="24" t="n"/>
      <c r="I168" s="23" t="n"/>
      <c r="J168" s="24" t="n"/>
      <c r="K168" s="23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23" t="n"/>
      <c r="H169" s="24" t="n"/>
      <c r="I169" s="23" t="n"/>
      <c r="J169" s="24" t="n"/>
      <c r="K169" s="23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23" t="n"/>
      <c r="H170" s="24" t="n"/>
      <c r="I170" s="23" t="n"/>
      <c r="J170" s="24" t="n"/>
      <c r="K170" s="23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23" t="n"/>
      <c r="H171" s="24" t="n"/>
      <c r="I171" s="23" t="n"/>
      <c r="J171" s="24" t="n"/>
      <c r="K171" s="23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23" t="n"/>
      <c r="H172" s="24" t="n"/>
      <c r="I172" s="23" t="n"/>
      <c r="J172" s="24" t="n"/>
      <c r="K172" s="23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23" t="n"/>
      <c r="H173" s="24" t="n"/>
      <c r="I173" s="23" t="n"/>
      <c r="J173" s="24" t="n"/>
      <c r="K173" s="23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23" t="n"/>
      <c r="H174" s="24" t="n"/>
      <c r="I174" s="23" t="n"/>
      <c r="J174" s="24" t="n"/>
      <c r="K174" s="23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23" t="n"/>
      <c r="H175" s="24" t="n"/>
      <c r="I175" s="23" t="n"/>
      <c r="J175" s="24" t="n"/>
      <c r="K175" s="23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23" t="n"/>
      <c r="H176" s="24" t="n"/>
      <c r="I176" s="23" t="n"/>
      <c r="J176" s="24" t="n"/>
      <c r="K176" s="23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23" t="n"/>
      <c r="H177" s="24" t="n"/>
      <c r="I177" s="23" t="n"/>
      <c r="J177" s="24" t="n"/>
      <c r="K177" s="23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23" t="n"/>
      <c r="H178" s="24" t="n"/>
      <c r="I178" s="23" t="n"/>
      <c r="J178" s="24" t="n"/>
      <c r="K178" s="23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23" t="n"/>
      <c r="H179" s="24" t="n"/>
      <c r="I179" s="23" t="n"/>
      <c r="J179" s="24" t="n"/>
      <c r="K179" s="23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23" t="n"/>
      <c r="H180" s="24" t="n"/>
      <c r="I180" s="23" t="n"/>
      <c r="J180" s="24" t="n"/>
      <c r="K180" s="23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23" t="n"/>
      <c r="H181" s="24" t="n"/>
      <c r="I181" s="23" t="n"/>
      <c r="J181" s="24" t="n"/>
      <c r="K181" s="23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23" t="n"/>
      <c r="H182" s="24" t="n"/>
      <c r="I182" s="23" t="n"/>
      <c r="J182" s="24" t="n"/>
      <c r="K182" s="23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23" t="n"/>
      <c r="H183" s="24" t="n"/>
      <c r="I183" s="23" t="n"/>
      <c r="J183" s="24" t="n"/>
      <c r="K183" s="23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23" t="n"/>
      <c r="H184" s="24" t="n"/>
      <c r="I184" s="23" t="n"/>
      <c r="J184" s="24" t="n"/>
      <c r="K184" s="23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23" t="n"/>
      <c r="H185" s="24" t="n"/>
      <c r="I185" s="23" t="n"/>
      <c r="J185" s="24" t="n"/>
      <c r="K185" s="23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23" t="n"/>
      <c r="H186" s="24" t="n"/>
      <c r="I186" s="23" t="n"/>
      <c r="J186" s="24" t="n"/>
      <c r="K186" s="23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23" t="n"/>
      <c r="H187" s="24" t="n"/>
      <c r="I187" s="23" t="n"/>
      <c r="J187" s="24" t="n"/>
      <c r="K187" s="23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23" t="n"/>
      <c r="H188" s="24" t="n"/>
      <c r="I188" s="23" t="n"/>
      <c r="J188" s="24" t="n"/>
      <c r="K188" s="23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23" t="n"/>
      <c r="H189" s="24" t="n"/>
      <c r="I189" s="23" t="n"/>
      <c r="J189" s="24" t="n"/>
      <c r="K189" s="23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23" t="n"/>
      <c r="H190" s="24" t="n"/>
      <c r="I190" s="23" t="n"/>
      <c r="J190" s="24" t="n"/>
      <c r="K190" s="23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23" t="n"/>
      <c r="H191" s="24" t="n"/>
      <c r="I191" s="23" t="n"/>
      <c r="J191" s="24" t="n"/>
      <c r="K191" s="23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23" t="n"/>
      <c r="H192" s="24" t="n"/>
      <c r="I192" s="23" t="n"/>
      <c r="J192" s="24" t="n"/>
      <c r="K192" s="23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23" t="n"/>
      <c r="H193" s="24" t="n"/>
      <c r="I193" s="23" t="n"/>
      <c r="J193" s="24" t="n"/>
      <c r="K193" s="23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23" t="n"/>
      <c r="H194" s="24" t="n"/>
      <c r="I194" s="23" t="n"/>
      <c r="J194" s="24" t="n"/>
      <c r="K194" s="23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23" t="n"/>
      <c r="H195" s="24" t="n"/>
      <c r="I195" s="23" t="n"/>
      <c r="J195" s="24" t="n"/>
      <c r="K195" s="23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23" t="n"/>
      <c r="H196" s="24" t="n"/>
      <c r="I196" s="23" t="n"/>
      <c r="J196" s="24" t="n"/>
      <c r="K196" s="23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23" t="n"/>
      <c r="H197" s="24" t="n"/>
      <c r="I197" s="23" t="n"/>
      <c r="J197" s="24" t="n"/>
      <c r="K197" s="23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23" t="n"/>
      <c r="H198" s="24" t="n"/>
      <c r="I198" s="23" t="n"/>
      <c r="J198" s="24" t="n"/>
      <c r="K198" s="23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23" t="n"/>
      <c r="H199" s="24" t="n"/>
      <c r="I199" s="23" t="n"/>
      <c r="J199" s="24" t="n"/>
      <c r="K199" s="23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23" t="n"/>
      <c r="H200" s="24" t="n"/>
      <c r="I200" s="23" t="n"/>
      <c r="J200" s="24" t="n"/>
      <c r="K200" s="23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23" t="n"/>
      <c r="H201" s="24" t="n"/>
      <c r="I201" s="23" t="n"/>
      <c r="J201" s="24" t="n"/>
      <c r="K201" s="23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23" t="n"/>
      <c r="H202" s="24" t="n"/>
      <c r="I202" s="23" t="n"/>
      <c r="J202" s="24" t="n"/>
      <c r="K202" s="23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23" t="n"/>
      <c r="H203" s="24" t="n"/>
      <c r="I203" s="23" t="n"/>
      <c r="J203" s="24" t="n"/>
      <c r="K203" s="23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23" t="n"/>
      <c r="H204" s="24" t="n"/>
      <c r="I204" s="23" t="n"/>
      <c r="J204" s="24" t="n"/>
      <c r="K204" s="23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23" t="n"/>
      <c r="H205" s="24" t="n"/>
      <c r="I205" s="23" t="n"/>
      <c r="J205" s="24" t="n"/>
      <c r="K205" s="23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23" t="n"/>
      <c r="H206" s="24" t="n"/>
      <c r="I206" s="23" t="n"/>
      <c r="J206" s="24" t="n"/>
      <c r="K206" s="23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23" t="n"/>
      <c r="H207" s="24" t="n"/>
      <c r="I207" s="23" t="n"/>
      <c r="J207" s="24" t="n"/>
      <c r="K207" s="23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23" t="n"/>
      <c r="H208" s="24" t="n"/>
      <c r="I208" s="23" t="n"/>
      <c r="J208" s="24" t="n"/>
      <c r="K208" s="23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23" t="n"/>
      <c r="H209" s="24" t="n"/>
      <c r="I209" s="23" t="n"/>
      <c r="J209" s="24" t="n"/>
      <c r="K209" s="23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23" t="n"/>
      <c r="H210" s="24" t="n"/>
      <c r="I210" s="23" t="n"/>
      <c r="J210" s="24" t="n"/>
      <c r="K210" s="23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23" t="n"/>
      <c r="H211" s="24" t="n"/>
      <c r="I211" s="23" t="n"/>
      <c r="J211" s="24" t="n"/>
      <c r="K211" s="23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23" t="n"/>
      <c r="H212" s="24" t="n"/>
      <c r="I212" s="23" t="n"/>
      <c r="J212" s="24" t="n"/>
      <c r="K212" s="23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23" t="n"/>
      <c r="H213" s="24" t="n"/>
      <c r="I213" s="23" t="n"/>
      <c r="J213" s="24" t="n"/>
      <c r="K213" s="23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23" t="n"/>
      <c r="H214" s="24" t="n"/>
      <c r="I214" s="23" t="n"/>
      <c r="J214" s="24" t="n"/>
      <c r="K214" s="23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23" t="n"/>
      <c r="H215" s="24" t="n"/>
      <c r="I215" s="23" t="n"/>
      <c r="J215" s="24" t="n"/>
      <c r="K215" s="23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23" t="n"/>
      <c r="H216" s="24" t="n"/>
      <c r="I216" s="23" t="n"/>
      <c r="J216" s="24" t="n"/>
      <c r="K216" s="23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23" t="n"/>
      <c r="H217" s="24" t="n"/>
      <c r="I217" s="23" t="n"/>
      <c r="J217" s="24" t="n"/>
      <c r="K217" s="23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23" t="n"/>
      <c r="H218" s="24" t="n"/>
      <c r="I218" s="23" t="n"/>
      <c r="J218" s="24" t="n"/>
      <c r="K218" s="23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23" t="n"/>
      <c r="H219" s="24" t="n"/>
      <c r="I219" s="23" t="n"/>
      <c r="J219" s="24" t="n"/>
      <c r="K219" s="23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23" t="n"/>
      <c r="H220" s="24" t="n"/>
      <c r="I220" s="23" t="n"/>
      <c r="J220" s="24" t="n"/>
      <c r="K220" s="23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23" t="n"/>
      <c r="H221" s="24" t="n"/>
      <c r="I221" s="23" t="n"/>
      <c r="J221" s="24" t="n"/>
      <c r="K221" s="23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23" t="n"/>
      <c r="H222" s="24" t="n"/>
      <c r="I222" s="23" t="n"/>
      <c r="J222" s="24" t="n"/>
      <c r="K222" s="23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23" t="n"/>
      <c r="H223" s="24" t="n"/>
      <c r="I223" s="23" t="n"/>
      <c r="J223" s="24" t="n"/>
      <c r="K223" s="23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23" t="n"/>
      <c r="H224" s="24" t="n"/>
      <c r="I224" s="23" t="n"/>
      <c r="J224" s="24" t="n"/>
      <c r="K224" s="23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23" t="n"/>
      <c r="H225" s="24" t="n"/>
      <c r="I225" s="23" t="n"/>
      <c r="J225" s="24" t="n"/>
      <c r="K225" s="23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23" t="n"/>
      <c r="H226" s="24" t="n"/>
      <c r="I226" s="23" t="n"/>
      <c r="J226" s="24" t="n"/>
      <c r="K226" s="23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23" t="n"/>
      <c r="H227" s="24" t="n"/>
      <c r="I227" s="23" t="n"/>
      <c r="J227" s="24" t="n"/>
      <c r="K227" s="23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23" t="n"/>
      <c r="H228" s="24" t="n"/>
      <c r="I228" s="23" t="n"/>
      <c r="J228" s="24" t="n"/>
      <c r="K228" s="23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23" t="n"/>
      <c r="H229" s="24" t="n"/>
      <c r="I229" s="23" t="n"/>
      <c r="J229" s="24" t="n"/>
      <c r="K229" s="23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23" t="n"/>
      <c r="H230" s="24" t="n"/>
      <c r="I230" s="23" t="n"/>
      <c r="J230" s="24" t="n"/>
      <c r="K230" s="23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23" t="n"/>
      <c r="H231" s="24" t="n"/>
      <c r="I231" s="23" t="n"/>
      <c r="J231" s="24" t="n"/>
      <c r="K231" s="23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23" t="n"/>
      <c r="H232" s="24" t="n"/>
      <c r="I232" s="23" t="n"/>
      <c r="J232" s="24" t="n"/>
      <c r="K232" s="23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23" t="n"/>
      <c r="H233" s="24" t="n"/>
      <c r="I233" s="23" t="n"/>
      <c r="J233" s="24" t="n"/>
      <c r="K233" s="23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23" t="n"/>
      <c r="H234" s="24" t="n"/>
      <c r="I234" s="23" t="n"/>
      <c r="J234" s="24" t="n"/>
      <c r="K234" s="23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23" t="n"/>
      <c r="H235" s="24" t="n"/>
      <c r="I235" s="23" t="n"/>
      <c r="J235" s="24" t="n"/>
      <c r="K235" s="23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23" t="n"/>
      <c r="H236" s="24" t="n"/>
      <c r="I236" s="23" t="n"/>
      <c r="J236" s="24" t="n"/>
      <c r="K236" s="23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23" t="n"/>
      <c r="H237" s="24" t="n"/>
      <c r="I237" s="23" t="n"/>
      <c r="J237" s="24" t="n"/>
      <c r="K237" s="23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23" t="n"/>
      <c r="H238" s="24" t="n"/>
      <c r="I238" s="23" t="n"/>
      <c r="J238" s="24" t="n"/>
      <c r="K238" s="23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23" t="n"/>
      <c r="H239" s="24" t="n"/>
      <c r="I239" s="23" t="n"/>
      <c r="J239" s="24" t="n"/>
      <c r="K239" s="23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23" t="n"/>
      <c r="H240" s="24" t="n"/>
      <c r="I240" s="23" t="n"/>
      <c r="J240" s="24" t="n"/>
      <c r="K240" s="23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23" t="n"/>
      <c r="H241" s="24" t="n"/>
      <c r="I241" s="23" t="n"/>
      <c r="J241" s="24" t="n"/>
      <c r="K241" s="23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23" t="n"/>
      <c r="H242" s="24" t="n"/>
      <c r="I242" s="23" t="n"/>
      <c r="J242" s="24" t="n"/>
      <c r="K242" s="23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23" t="n"/>
      <c r="H243" s="24" t="n"/>
      <c r="I243" s="23" t="n"/>
      <c r="J243" s="24" t="n"/>
      <c r="K243" s="23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23" t="n"/>
      <c r="H244" s="24" t="n"/>
      <c r="I244" s="23" t="n"/>
      <c r="J244" s="24" t="n"/>
      <c r="K244" s="23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23" t="n"/>
      <c r="H245" s="24" t="n"/>
      <c r="I245" s="23" t="n"/>
      <c r="J245" s="24" t="n"/>
      <c r="K245" s="23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23" t="n"/>
      <c r="H246" s="24" t="n"/>
      <c r="I246" s="23" t="n"/>
      <c r="J246" s="24" t="n"/>
      <c r="K246" s="23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23" t="n"/>
      <c r="H247" s="24" t="n"/>
      <c r="I247" s="23" t="n"/>
      <c r="J247" s="24" t="n"/>
      <c r="K247" s="23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23" t="n"/>
      <c r="H248" s="24" t="n"/>
      <c r="I248" s="23" t="n"/>
      <c r="J248" s="24" t="n"/>
      <c r="K248" s="23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23" t="n"/>
      <c r="H249" s="24" t="n"/>
      <c r="I249" s="23" t="n"/>
      <c r="J249" s="24" t="n"/>
      <c r="K249" s="23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23" t="n"/>
      <c r="H250" s="24" t="n"/>
      <c r="I250" s="23" t="n"/>
      <c r="J250" s="24" t="n"/>
      <c r="K250" s="23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23" t="n"/>
      <c r="H251" s="24" t="n"/>
      <c r="I251" s="23" t="n"/>
      <c r="J251" s="24" t="n"/>
      <c r="K251" s="23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23" t="n"/>
      <c r="H252" s="24" t="n"/>
      <c r="I252" s="23" t="n"/>
      <c r="J252" s="24" t="n"/>
      <c r="K252" s="23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23" t="n"/>
      <c r="H253" s="24" t="n"/>
      <c r="I253" s="23" t="n"/>
      <c r="J253" s="24" t="n"/>
      <c r="K253" s="23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23" t="n"/>
      <c r="H254" s="24" t="n"/>
      <c r="I254" s="23" t="n"/>
      <c r="J254" s="24" t="n"/>
      <c r="K254" s="23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23" t="n"/>
      <c r="H255" s="24" t="n"/>
      <c r="I255" s="23" t="n"/>
      <c r="J255" s="24" t="n"/>
      <c r="K255" s="23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23" t="n"/>
      <c r="H256" s="24" t="n"/>
      <c r="I256" s="23" t="n"/>
      <c r="J256" s="24" t="n"/>
      <c r="K256" s="23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23" t="n"/>
      <c r="H257" s="24" t="n"/>
      <c r="I257" s="23" t="n"/>
      <c r="J257" s="24" t="n"/>
      <c r="K257" s="23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23" t="n"/>
      <c r="H258" s="24" t="n"/>
      <c r="I258" s="23" t="n"/>
      <c r="J258" s="24" t="n"/>
      <c r="K258" s="23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23" t="n"/>
      <c r="H259" s="24" t="n"/>
      <c r="I259" s="23" t="n"/>
      <c r="J259" s="24" t="n"/>
      <c r="K259" s="23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23" t="n"/>
      <c r="H260" s="24" t="n"/>
      <c r="I260" s="23" t="n"/>
      <c r="J260" s="24" t="n"/>
      <c r="K260" s="23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23" t="n"/>
      <c r="H261" s="24" t="n"/>
      <c r="I261" s="23" t="n"/>
      <c r="J261" s="24" t="n"/>
      <c r="K261" s="23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23" t="n"/>
      <c r="H262" s="24" t="n"/>
      <c r="I262" s="23" t="n"/>
      <c r="J262" s="24" t="n"/>
      <c r="K262" s="23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23" t="n"/>
      <c r="H263" s="24" t="n"/>
      <c r="I263" s="23" t="n"/>
      <c r="J263" s="24" t="n"/>
      <c r="K263" s="23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23" t="n"/>
      <c r="H264" s="24" t="n"/>
      <c r="I264" s="23" t="n"/>
      <c r="J264" s="24" t="n"/>
      <c r="K264" s="23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23" t="n"/>
      <c r="H265" s="24" t="n"/>
      <c r="I265" s="23" t="n"/>
      <c r="J265" s="24" t="n"/>
      <c r="K265" s="23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23" t="n"/>
      <c r="H266" s="24" t="n"/>
      <c r="I266" s="23" t="n"/>
      <c r="J266" s="24" t="n"/>
      <c r="K266" s="23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23" t="n"/>
      <c r="H267" s="24" t="n"/>
      <c r="I267" s="23" t="n"/>
      <c r="J267" s="24" t="n"/>
      <c r="K267" s="23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23" t="n"/>
      <c r="H268" s="24" t="n"/>
      <c r="I268" s="23" t="n"/>
      <c r="J268" s="24" t="n"/>
      <c r="K268" s="23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23" t="n"/>
      <c r="H269" s="24" t="n"/>
      <c r="I269" s="23" t="n"/>
      <c r="J269" s="24" t="n"/>
      <c r="K269" s="23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23" t="n"/>
      <c r="H270" s="24" t="n"/>
      <c r="I270" s="23" t="n"/>
      <c r="J270" s="24" t="n"/>
      <c r="K270" s="23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23" t="n"/>
      <c r="H271" s="24" t="n"/>
      <c r="I271" s="23" t="n"/>
      <c r="J271" s="24" t="n"/>
      <c r="K271" s="23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23" t="n"/>
      <c r="H272" s="24" t="n"/>
      <c r="I272" s="23" t="n"/>
      <c r="J272" s="24" t="n"/>
      <c r="K272" s="23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23" t="n"/>
      <c r="H273" s="24" t="n"/>
      <c r="I273" s="23" t="n"/>
      <c r="J273" s="24" t="n"/>
      <c r="K273" s="23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23" t="n"/>
      <c r="H274" s="24" t="n"/>
      <c r="I274" s="23" t="n"/>
      <c r="J274" s="24" t="n"/>
      <c r="K274" s="23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23" t="n"/>
      <c r="H275" s="24" t="n"/>
      <c r="I275" s="23" t="n"/>
      <c r="J275" s="24" t="n"/>
      <c r="K275" s="23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23" t="n"/>
      <c r="H276" s="24" t="n"/>
      <c r="I276" s="23" t="n"/>
      <c r="J276" s="24" t="n"/>
      <c r="K276" s="23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23" t="n"/>
      <c r="H277" s="24" t="n"/>
      <c r="I277" s="23" t="n"/>
      <c r="J277" s="24" t="n"/>
      <c r="K277" s="23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23" t="n"/>
      <c r="H278" s="24" t="n"/>
      <c r="I278" s="23" t="n"/>
      <c r="J278" s="24" t="n"/>
      <c r="K278" s="23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23" t="n"/>
      <c r="H279" s="24" t="n"/>
      <c r="I279" s="23" t="n"/>
      <c r="J279" s="24" t="n"/>
      <c r="K279" s="23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23" t="n"/>
      <c r="H280" s="24" t="n"/>
      <c r="I280" s="23" t="n"/>
      <c r="J280" s="24" t="n"/>
      <c r="K280" s="23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23" t="n"/>
      <c r="H281" s="24" t="n"/>
      <c r="I281" s="23" t="n"/>
      <c r="J281" s="24" t="n"/>
      <c r="K281" s="23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23" t="n"/>
      <c r="H282" s="24" t="n"/>
      <c r="I282" s="23" t="n"/>
      <c r="J282" s="24" t="n"/>
      <c r="K282" s="23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23" t="n"/>
      <c r="H283" s="24" t="n"/>
      <c r="I283" s="23" t="n"/>
      <c r="J283" s="24" t="n"/>
      <c r="K283" s="23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23" t="n"/>
      <c r="H284" s="24" t="n"/>
      <c r="I284" s="23" t="n"/>
      <c r="J284" s="24" t="n"/>
      <c r="K284" s="23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23" t="n"/>
      <c r="H285" s="24" t="n"/>
      <c r="I285" s="23" t="n"/>
      <c r="J285" s="24" t="n"/>
      <c r="K285" s="23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23" t="n"/>
      <c r="H286" s="24" t="n"/>
      <c r="I286" s="23" t="n"/>
      <c r="J286" s="24" t="n"/>
      <c r="K286" s="23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23" t="n"/>
      <c r="H287" s="24" t="n"/>
      <c r="I287" s="23" t="n"/>
      <c r="J287" s="24" t="n"/>
      <c r="K287" s="23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23" t="n"/>
      <c r="H288" s="24" t="n"/>
      <c r="I288" s="23" t="n"/>
      <c r="J288" s="24" t="n"/>
      <c r="K288" s="23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23" t="n"/>
      <c r="H289" s="24" t="n"/>
      <c r="I289" s="23" t="n"/>
      <c r="J289" s="24" t="n"/>
      <c r="K289" s="23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23" t="n"/>
      <c r="H290" s="24" t="n"/>
      <c r="I290" s="23" t="n"/>
      <c r="J290" s="24" t="n"/>
      <c r="K290" s="23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23" t="n"/>
      <c r="H291" s="24" t="n"/>
      <c r="I291" s="23" t="n"/>
      <c r="J291" s="24" t="n"/>
      <c r="K291" s="23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23" t="n"/>
      <c r="H292" s="24" t="n"/>
      <c r="I292" s="23" t="n"/>
      <c r="J292" s="24" t="n"/>
      <c r="K292" s="23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23" t="n"/>
      <c r="H293" s="24" t="n"/>
      <c r="I293" s="23" t="n"/>
      <c r="J293" s="24" t="n"/>
      <c r="K293" s="23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23" t="n"/>
      <c r="H294" s="24" t="n"/>
      <c r="I294" s="23" t="n"/>
      <c r="J294" s="24" t="n"/>
      <c r="K294" s="23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23" t="n"/>
      <c r="H295" s="24" t="n"/>
      <c r="I295" s="23" t="n"/>
      <c r="J295" s="24" t="n"/>
      <c r="K295" s="23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23" t="n"/>
      <c r="H296" s="24" t="n"/>
      <c r="I296" s="23" t="n"/>
      <c r="J296" s="24" t="n"/>
      <c r="K296" s="23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23" t="n"/>
      <c r="H297" s="24" t="n"/>
      <c r="I297" s="23" t="n"/>
      <c r="J297" s="24" t="n"/>
      <c r="K297" s="23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23" t="n"/>
      <c r="H298" s="24" t="n"/>
      <c r="I298" s="23" t="n"/>
      <c r="J298" s="24" t="n"/>
      <c r="K298" s="23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23" t="n"/>
      <c r="H299" s="24" t="n"/>
      <c r="I299" s="23" t="n"/>
      <c r="J299" s="24" t="n"/>
      <c r="K299" s="23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23" t="n"/>
      <c r="H300" s="24" t="n"/>
      <c r="I300" s="23" t="n"/>
      <c r="J300" s="24" t="n"/>
      <c r="K300" s="23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23" t="n"/>
      <c r="H301" s="24" t="n"/>
      <c r="I301" s="23" t="n"/>
      <c r="J301" s="24" t="n"/>
      <c r="K301" s="23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23" t="n"/>
      <c r="H302" s="24" t="n"/>
      <c r="I302" s="23" t="n"/>
      <c r="J302" s="24" t="n"/>
      <c r="K302" s="23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23" t="n"/>
      <c r="H303" s="24" t="n"/>
      <c r="I303" s="23" t="n"/>
      <c r="J303" s="24" t="n"/>
      <c r="K303" s="23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23" t="n"/>
      <c r="H304" s="24" t="n"/>
      <c r="I304" s="23" t="n"/>
      <c r="J304" s="24" t="n"/>
      <c r="K304" s="23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23" t="n"/>
      <c r="H305" s="24" t="n"/>
      <c r="I305" s="23" t="n"/>
      <c r="J305" s="24" t="n"/>
      <c r="K305" s="23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23" t="n"/>
      <c r="H306" s="24" t="n"/>
      <c r="I306" s="23" t="n"/>
      <c r="J306" s="24" t="n"/>
      <c r="K306" s="23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23" t="n"/>
      <c r="H307" s="24" t="n"/>
      <c r="I307" s="23" t="n"/>
      <c r="J307" s="24" t="n"/>
      <c r="K307" s="23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23" t="n"/>
      <c r="H308" s="24" t="n"/>
      <c r="I308" s="23" t="n"/>
      <c r="J308" s="24" t="n"/>
      <c r="K308" s="23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23" t="n"/>
      <c r="H309" s="24" t="n"/>
      <c r="I309" s="23" t="n"/>
      <c r="J309" s="24" t="n"/>
      <c r="K309" s="23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23" t="n"/>
      <c r="H310" s="24" t="n"/>
      <c r="I310" s="23" t="n"/>
      <c r="J310" s="24" t="n"/>
      <c r="K310" s="23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23" t="n"/>
      <c r="H311" s="24" t="n"/>
      <c r="I311" s="23" t="n"/>
      <c r="J311" s="24" t="n"/>
      <c r="K311" s="23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23" t="n"/>
      <c r="H312" s="24" t="n"/>
      <c r="I312" s="23" t="n"/>
      <c r="J312" s="24" t="n"/>
      <c r="K312" s="23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23" t="n"/>
      <c r="H313" s="24" t="n"/>
      <c r="I313" s="23" t="n"/>
      <c r="J313" s="24" t="n"/>
      <c r="K313" s="23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23" t="n"/>
      <c r="H314" s="24" t="n"/>
      <c r="I314" s="23" t="n"/>
      <c r="J314" s="24" t="n"/>
      <c r="K314" s="23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23" t="n"/>
      <c r="H315" s="24" t="n"/>
      <c r="I315" s="23" t="n"/>
      <c r="J315" s="24" t="n"/>
      <c r="K315" s="23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23" t="n"/>
      <c r="H316" s="24" t="n"/>
      <c r="I316" s="23" t="n"/>
      <c r="J316" s="24" t="n"/>
      <c r="K316" s="23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23" t="n"/>
      <c r="H317" s="24" t="n"/>
      <c r="I317" s="23" t="n"/>
      <c r="J317" s="24" t="n"/>
      <c r="K317" s="23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23" t="n"/>
      <c r="H318" s="24" t="n"/>
      <c r="I318" s="23" t="n"/>
      <c r="J318" s="24" t="n"/>
      <c r="K318" s="23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23" t="n"/>
      <c r="H319" s="24" t="n"/>
      <c r="I319" s="23" t="n"/>
      <c r="J319" s="24" t="n"/>
      <c r="K319" s="23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23" t="n"/>
      <c r="H320" s="24" t="n"/>
      <c r="I320" s="23" t="n"/>
      <c r="J320" s="24" t="n"/>
      <c r="K320" s="23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23" t="n"/>
      <c r="H321" s="24" t="n"/>
      <c r="I321" s="23" t="n"/>
      <c r="J321" s="24" t="n"/>
      <c r="K321" s="23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23" t="n"/>
      <c r="H322" s="24" t="n"/>
      <c r="I322" s="23" t="n"/>
      <c r="J322" s="24" t="n"/>
      <c r="K322" s="23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23" t="n"/>
      <c r="H323" s="24" t="n"/>
      <c r="I323" s="23" t="n"/>
      <c r="J323" s="24" t="n"/>
      <c r="K323" s="23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23" t="n"/>
      <c r="H324" s="24" t="n"/>
      <c r="I324" s="23" t="n"/>
      <c r="J324" s="24" t="n"/>
      <c r="K324" s="23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23" t="n"/>
      <c r="H325" s="24" t="n"/>
      <c r="I325" s="23" t="n"/>
      <c r="J325" s="24" t="n"/>
      <c r="K325" s="23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23" t="n"/>
      <c r="H326" s="24" t="n"/>
      <c r="I326" s="23" t="n"/>
      <c r="J326" s="24" t="n"/>
      <c r="K326" s="23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23" t="n"/>
      <c r="H327" s="24" t="n"/>
      <c r="I327" s="23" t="n"/>
      <c r="J327" s="24" t="n"/>
      <c r="K327" s="23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23" t="n"/>
      <c r="H328" s="24" t="n"/>
      <c r="I328" s="23" t="n"/>
      <c r="J328" s="24" t="n"/>
      <c r="K328" s="23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23" t="n"/>
      <c r="H329" s="24" t="n"/>
      <c r="I329" s="23" t="n"/>
      <c r="J329" s="24" t="n"/>
      <c r="K329" s="23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23" t="n"/>
      <c r="H330" s="24" t="n"/>
      <c r="I330" s="23" t="n"/>
      <c r="J330" s="24" t="n"/>
      <c r="K330" s="23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23" t="n"/>
      <c r="H331" s="24" t="n"/>
      <c r="I331" s="23" t="n"/>
      <c r="J331" s="24" t="n"/>
      <c r="K331" s="23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23" t="n"/>
      <c r="H332" s="24" t="n"/>
      <c r="I332" s="23" t="n"/>
      <c r="J332" s="24" t="n"/>
      <c r="K332" s="23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23" t="n"/>
      <c r="H333" s="24" t="n"/>
      <c r="I333" s="23" t="n"/>
      <c r="J333" s="24" t="n"/>
      <c r="K333" s="23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23" t="n"/>
      <c r="H334" s="24" t="n"/>
      <c r="I334" s="23" t="n"/>
      <c r="J334" s="24" t="n"/>
      <c r="K334" s="23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23" t="n"/>
      <c r="H335" s="24" t="n"/>
      <c r="I335" s="23" t="n"/>
      <c r="J335" s="24" t="n"/>
      <c r="K335" s="23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23" t="n"/>
      <c r="H336" s="24" t="n"/>
      <c r="I336" s="23" t="n"/>
      <c r="J336" s="24" t="n"/>
      <c r="K336" s="23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23" t="n"/>
      <c r="H337" s="24" t="n"/>
      <c r="I337" s="23" t="n"/>
      <c r="J337" s="24" t="n"/>
      <c r="K337" s="23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23" t="n"/>
      <c r="H338" s="24" t="n"/>
      <c r="I338" s="23" t="n"/>
      <c r="J338" s="24" t="n"/>
      <c r="K338" s="23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23" t="n"/>
      <c r="H339" s="24" t="n"/>
      <c r="I339" s="23" t="n"/>
      <c r="J339" s="24" t="n"/>
      <c r="K339" s="23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23" t="n"/>
      <c r="H340" s="24" t="n"/>
      <c r="I340" s="23" t="n"/>
      <c r="J340" s="24" t="n"/>
      <c r="K340" s="23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23" t="n"/>
      <c r="H341" s="24" t="n"/>
      <c r="I341" s="23" t="n"/>
      <c r="J341" s="24" t="n"/>
      <c r="K341" s="23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23" t="n"/>
      <c r="H342" s="24" t="n"/>
      <c r="I342" s="23" t="n"/>
      <c r="J342" s="24" t="n"/>
      <c r="K342" s="23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23" t="n"/>
      <c r="H343" s="24" t="n"/>
      <c r="I343" s="23" t="n"/>
      <c r="J343" s="24" t="n"/>
      <c r="K343" s="23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23" t="n"/>
      <c r="H344" s="24" t="n"/>
      <c r="I344" s="23" t="n"/>
      <c r="J344" s="24" t="n"/>
      <c r="K344" s="23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23" t="n"/>
      <c r="H345" s="24" t="n"/>
      <c r="I345" s="23" t="n"/>
      <c r="J345" s="24" t="n"/>
      <c r="K345" s="23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23" t="n"/>
      <c r="H346" s="24" t="n"/>
      <c r="I346" s="23" t="n"/>
      <c r="J346" s="24" t="n"/>
      <c r="K346" s="23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23" t="n"/>
      <c r="H347" s="24" t="n"/>
      <c r="I347" s="23" t="n"/>
      <c r="J347" s="24" t="n"/>
      <c r="K347" s="23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23" t="n"/>
      <c r="H348" s="24" t="n"/>
      <c r="I348" s="23" t="n"/>
      <c r="J348" s="24" t="n"/>
      <c r="K348" s="23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23" t="n"/>
      <c r="H349" s="24" t="n"/>
      <c r="I349" s="23" t="n"/>
      <c r="J349" s="24" t="n"/>
      <c r="K349" s="23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23" t="n"/>
      <c r="H350" s="24" t="n"/>
      <c r="I350" s="23" t="n"/>
      <c r="J350" s="24" t="n"/>
      <c r="K350" s="23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23" t="n"/>
      <c r="H351" s="24" t="n"/>
      <c r="I351" s="23" t="n"/>
      <c r="J351" s="24" t="n"/>
      <c r="K351" s="23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23" t="n"/>
      <c r="H352" s="24" t="n"/>
      <c r="I352" s="23" t="n"/>
      <c r="J352" s="24" t="n"/>
      <c r="K352" s="23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23" t="n"/>
      <c r="H353" s="24" t="n"/>
      <c r="I353" s="23" t="n"/>
      <c r="J353" s="24" t="n"/>
      <c r="K353" s="23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23" t="n"/>
      <c r="H354" s="24" t="n"/>
      <c r="I354" s="23" t="n"/>
      <c r="J354" s="24" t="n"/>
      <c r="K354" s="23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23" t="n"/>
      <c r="H355" s="24" t="n"/>
      <c r="I355" s="23" t="n"/>
      <c r="J355" s="24" t="n"/>
      <c r="K355" s="23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23" t="n"/>
      <c r="H356" s="24" t="n"/>
      <c r="I356" s="23" t="n"/>
      <c r="J356" s="24" t="n"/>
      <c r="K356" s="23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23" t="n"/>
      <c r="H357" s="24" t="n"/>
      <c r="I357" s="23" t="n"/>
      <c r="J357" s="24" t="n"/>
      <c r="K357" s="23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23" t="n"/>
      <c r="H358" s="24" t="n"/>
      <c r="I358" s="23" t="n"/>
      <c r="J358" s="24" t="n"/>
      <c r="K358" s="23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23" t="n"/>
      <c r="H359" s="24" t="n"/>
      <c r="I359" s="23" t="n"/>
      <c r="J359" s="24" t="n"/>
      <c r="K359" s="23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23" t="n"/>
      <c r="H360" s="24" t="n"/>
      <c r="I360" s="23" t="n"/>
      <c r="J360" s="24" t="n"/>
      <c r="K360" s="23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23" t="n"/>
      <c r="H361" s="24" t="n"/>
      <c r="I361" s="23" t="n"/>
      <c r="J361" s="24" t="n"/>
      <c r="K361" s="23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23" t="n"/>
      <c r="H362" s="24" t="n"/>
      <c r="I362" s="23" t="n"/>
      <c r="J362" s="24" t="n"/>
      <c r="K362" s="23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23" t="n"/>
      <c r="H363" s="24" t="n"/>
      <c r="I363" s="23" t="n"/>
      <c r="J363" s="24" t="n"/>
      <c r="K363" s="23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23" t="n"/>
      <c r="H364" s="24" t="n"/>
      <c r="I364" s="23" t="n"/>
      <c r="J364" s="24" t="n"/>
      <c r="K364" s="23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23" t="n"/>
      <c r="H365" s="24" t="n"/>
      <c r="I365" s="23" t="n"/>
      <c r="J365" s="24" t="n"/>
      <c r="K365" s="23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23" t="n"/>
      <c r="H366" s="24" t="n"/>
      <c r="I366" s="23" t="n"/>
      <c r="J366" s="24" t="n"/>
      <c r="K366" s="23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23" t="n"/>
      <c r="H367" s="24" t="n"/>
      <c r="I367" s="23" t="n"/>
      <c r="J367" s="24" t="n"/>
      <c r="K367" s="23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23" t="n"/>
      <c r="H368" s="24" t="n"/>
      <c r="I368" s="23" t="n"/>
      <c r="J368" s="24" t="n"/>
      <c r="K368" s="23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23" t="n"/>
      <c r="H369" s="24" t="n"/>
      <c r="I369" s="23" t="n"/>
      <c r="J369" s="24" t="n"/>
      <c r="K369" s="23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23" t="n"/>
      <c r="H370" s="24" t="n"/>
      <c r="I370" s="23" t="n"/>
      <c r="J370" s="24" t="n"/>
      <c r="K370" s="23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23" t="n"/>
      <c r="H371" s="24" t="n"/>
      <c r="I371" s="23" t="n"/>
      <c r="J371" s="24" t="n"/>
      <c r="K371" s="23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23" t="n"/>
      <c r="H372" s="24" t="n"/>
      <c r="I372" s="23" t="n"/>
      <c r="J372" s="24" t="n"/>
      <c r="K372" s="23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23" t="n"/>
      <c r="H373" s="24" t="n"/>
      <c r="I373" s="23" t="n"/>
      <c r="J373" s="24" t="n"/>
      <c r="K373" s="23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23" t="n"/>
      <c r="H374" s="24" t="n"/>
      <c r="I374" s="23" t="n"/>
      <c r="J374" s="24" t="n"/>
      <c r="K374" s="23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23" t="n"/>
      <c r="H375" s="24" t="n"/>
      <c r="I375" s="23" t="n"/>
      <c r="J375" s="24" t="n"/>
      <c r="K375" s="23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23" t="n"/>
      <c r="H376" s="24" t="n"/>
      <c r="I376" s="23" t="n"/>
      <c r="J376" s="24" t="n"/>
      <c r="K376" s="23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23" t="n"/>
      <c r="H377" s="24" t="n"/>
      <c r="I377" s="23" t="n"/>
      <c r="J377" s="24" t="n"/>
      <c r="K377" s="23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23" t="n"/>
      <c r="H378" s="24" t="n"/>
      <c r="I378" s="23" t="n"/>
      <c r="J378" s="24" t="n"/>
      <c r="K378" s="23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23" t="n"/>
      <c r="H379" s="24" t="n"/>
      <c r="I379" s="23" t="n"/>
      <c r="J379" s="24" t="n"/>
      <c r="K379" s="23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23" t="n"/>
      <c r="H380" s="24" t="n"/>
      <c r="I380" s="23" t="n"/>
      <c r="J380" s="24" t="n"/>
      <c r="K380" s="23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23" t="n"/>
      <c r="H381" s="24" t="n"/>
      <c r="I381" s="23" t="n"/>
      <c r="J381" s="24" t="n"/>
      <c r="K381" s="23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23" t="n"/>
      <c r="H382" s="24" t="n"/>
      <c r="I382" s="23" t="n"/>
      <c r="J382" s="24" t="n"/>
      <c r="K382" s="23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23" t="n"/>
      <c r="H383" s="24" t="n"/>
      <c r="I383" s="23" t="n"/>
      <c r="J383" s="24" t="n"/>
      <c r="K383" s="23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23" t="n"/>
      <c r="H384" s="24" t="n"/>
      <c r="I384" s="23" t="n"/>
      <c r="J384" s="24" t="n"/>
      <c r="K384" s="23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23" t="n"/>
      <c r="H385" s="24" t="n"/>
      <c r="I385" s="23" t="n"/>
      <c r="J385" s="24" t="n"/>
      <c r="K385" s="23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23" t="n"/>
      <c r="H386" s="24" t="n"/>
      <c r="I386" s="23" t="n"/>
      <c r="J386" s="24" t="n"/>
      <c r="K386" s="23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23" t="n"/>
      <c r="H387" s="24" t="n"/>
      <c r="I387" s="23" t="n"/>
      <c r="J387" s="24" t="n"/>
      <c r="K387" s="23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23" t="n"/>
      <c r="H388" s="24" t="n"/>
      <c r="I388" s="23" t="n"/>
      <c r="J388" s="24" t="n"/>
      <c r="K388" s="23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23" t="n"/>
      <c r="H389" s="24" t="n"/>
      <c r="I389" s="23" t="n"/>
      <c r="J389" s="24" t="n"/>
      <c r="K389" s="23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23" t="n"/>
      <c r="H390" s="24" t="n"/>
      <c r="I390" s="23" t="n"/>
      <c r="J390" s="24" t="n"/>
      <c r="K390" s="23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23" t="n"/>
      <c r="H391" s="24" t="n"/>
      <c r="I391" s="23" t="n"/>
      <c r="J391" s="24" t="n"/>
      <c r="K391" s="23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23" t="n"/>
      <c r="H392" s="24" t="n"/>
      <c r="I392" s="23" t="n"/>
      <c r="J392" s="24" t="n"/>
      <c r="K392" s="23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23" t="n"/>
      <c r="H393" s="24" t="n"/>
      <c r="I393" s="23" t="n"/>
      <c r="J393" s="24" t="n"/>
      <c r="K393" s="23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23" t="n"/>
      <c r="H394" s="24" t="n"/>
      <c r="I394" s="23" t="n"/>
      <c r="J394" s="24" t="n"/>
      <c r="K394" s="23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23" t="n"/>
      <c r="H395" s="24" t="n"/>
      <c r="I395" s="23" t="n"/>
      <c r="J395" s="24" t="n"/>
      <c r="K395" s="23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23" t="n"/>
      <c r="H396" s="24" t="n"/>
      <c r="I396" s="23" t="n"/>
      <c r="J396" s="24" t="n"/>
      <c r="K396" s="23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23" t="n"/>
      <c r="H397" s="24" t="n"/>
      <c r="I397" s="23" t="n"/>
      <c r="J397" s="24" t="n"/>
      <c r="K397" s="23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23" t="n"/>
      <c r="H398" s="24" t="n"/>
      <c r="I398" s="23" t="n"/>
      <c r="J398" s="24" t="n"/>
      <c r="K398" s="23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23" t="n"/>
      <c r="H399" s="24" t="n"/>
      <c r="I399" s="23" t="n"/>
      <c r="J399" s="24" t="n"/>
      <c r="K399" s="23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23" t="n"/>
      <c r="H400" s="24" t="n"/>
      <c r="I400" s="23" t="n"/>
      <c r="J400" s="24" t="n"/>
      <c r="K400" s="23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23" t="n"/>
      <c r="H401" s="24" t="n"/>
      <c r="I401" s="23" t="n"/>
      <c r="J401" s="24" t="n"/>
      <c r="K401" s="23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23" t="n"/>
      <c r="H402" s="24" t="n"/>
      <c r="I402" s="23" t="n"/>
      <c r="J402" s="24" t="n"/>
      <c r="K402" s="23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23" t="n"/>
      <c r="H403" s="24" t="n"/>
      <c r="I403" s="23" t="n"/>
      <c r="J403" s="24" t="n"/>
      <c r="K403" s="23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23" t="n"/>
      <c r="H404" s="24" t="n"/>
      <c r="I404" s="23" t="n"/>
      <c r="J404" s="24" t="n"/>
      <c r="K404" s="23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23" t="n"/>
      <c r="H405" s="24" t="n"/>
      <c r="I405" s="23" t="n"/>
      <c r="J405" s="24" t="n"/>
      <c r="K405" s="23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23" t="n"/>
      <c r="H406" s="24" t="n"/>
      <c r="I406" s="23" t="n"/>
      <c r="J406" s="24" t="n"/>
      <c r="K406" s="23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23" t="n"/>
      <c r="H407" s="24" t="n"/>
      <c r="I407" s="23" t="n"/>
      <c r="J407" s="24" t="n"/>
      <c r="K407" s="23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23" t="n"/>
      <c r="H408" s="24" t="n"/>
      <c r="I408" s="23" t="n"/>
      <c r="J408" s="24" t="n"/>
      <c r="K408" s="23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23" t="n"/>
      <c r="H409" s="24" t="n"/>
      <c r="I409" s="23" t="n"/>
      <c r="J409" s="24" t="n"/>
      <c r="K409" s="23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23" t="n"/>
      <c r="H410" s="24" t="n"/>
      <c r="I410" s="23" t="n"/>
      <c r="J410" s="24" t="n"/>
      <c r="K410" s="23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23" t="n"/>
      <c r="H411" s="24" t="n"/>
      <c r="I411" s="23" t="n"/>
      <c r="J411" s="24" t="n"/>
      <c r="K411" s="23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23" t="n"/>
      <c r="H412" s="24" t="n"/>
      <c r="I412" s="23" t="n"/>
      <c r="J412" s="24" t="n"/>
      <c r="K412" s="23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23" t="n"/>
      <c r="H413" s="24" t="n"/>
      <c r="I413" s="23" t="n"/>
      <c r="J413" s="24" t="n"/>
      <c r="K413" s="23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23" t="n"/>
      <c r="H414" s="24" t="n"/>
      <c r="I414" s="23" t="n"/>
      <c r="J414" s="24" t="n"/>
      <c r="K414" s="23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23" t="n"/>
      <c r="H415" s="24" t="n"/>
      <c r="I415" s="23" t="n"/>
      <c r="J415" s="24" t="n"/>
      <c r="K415" s="23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23" t="n"/>
      <c r="H416" s="24" t="n"/>
      <c r="I416" s="23" t="n"/>
      <c r="J416" s="24" t="n"/>
      <c r="K416" s="23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23" t="n"/>
      <c r="H417" s="24" t="n"/>
      <c r="I417" s="23" t="n"/>
      <c r="J417" s="24" t="n"/>
      <c r="K417" s="23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23" t="n"/>
      <c r="H418" s="24" t="n"/>
      <c r="I418" s="23" t="n"/>
      <c r="J418" s="24" t="n"/>
      <c r="K418" s="23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23" t="n"/>
      <c r="H419" s="24" t="n"/>
      <c r="I419" s="23" t="n"/>
      <c r="J419" s="24" t="n"/>
      <c r="K419" s="23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23" t="n"/>
      <c r="H420" s="24" t="n"/>
      <c r="I420" s="23" t="n"/>
      <c r="J420" s="24" t="n"/>
      <c r="K420" s="23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23" t="n"/>
      <c r="H421" s="24" t="n"/>
      <c r="I421" s="23" t="n"/>
      <c r="J421" s="24" t="n"/>
      <c r="K421" s="23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23" t="n"/>
      <c r="H422" s="24" t="n"/>
      <c r="I422" s="23" t="n"/>
      <c r="J422" s="24" t="n"/>
      <c r="K422" s="23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23" t="n"/>
      <c r="H423" s="24" t="n"/>
      <c r="I423" s="23" t="n"/>
      <c r="J423" s="24" t="n"/>
      <c r="K423" s="23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23" t="n"/>
      <c r="H424" s="24" t="n"/>
      <c r="I424" s="23" t="n"/>
      <c r="J424" s="24" t="n"/>
      <c r="K424" s="23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23" t="n"/>
      <c r="H425" s="24" t="n"/>
      <c r="I425" s="23" t="n"/>
      <c r="J425" s="24" t="n"/>
      <c r="K425" s="23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23" t="n"/>
      <c r="H426" s="24" t="n"/>
      <c r="I426" s="23" t="n"/>
      <c r="J426" s="24" t="n"/>
      <c r="K426" s="23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23" t="n"/>
      <c r="H427" s="24" t="n"/>
      <c r="I427" s="23" t="n"/>
      <c r="J427" s="24" t="n"/>
      <c r="K427" s="23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23" t="n"/>
      <c r="H428" s="24" t="n"/>
      <c r="I428" s="23" t="n"/>
      <c r="J428" s="24" t="n"/>
      <c r="K428" s="23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23" t="n"/>
      <c r="H429" s="24" t="n"/>
      <c r="I429" s="23" t="n"/>
      <c r="J429" s="24" t="n"/>
      <c r="K429" s="23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23" t="n"/>
      <c r="H430" s="24" t="n"/>
      <c r="I430" s="23" t="n"/>
      <c r="J430" s="24" t="n"/>
      <c r="K430" s="23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23" t="n"/>
      <c r="H431" s="24" t="n"/>
      <c r="I431" s="23" t="n"/>
      <c r="J431" s="24" t="n"/>
      <c r="K431" s="23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23" t="n"/>
      <c r="H432" s="24" t="n"/>
      <c r="I432" s="23" t="n"/>
      <c r="J432" s="24" t="n"/>
      <c r="K432" s="23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23" t="n"/>
      <c r="H433" s="24" t="n"/>
      <c r="I433" s="23" t="n"/>
      <c r="J433" s="24" t="n"/>
      <c r="K433" s="23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23" t="n"/>
      <c r="H434" s="24" t="n"/>
      <c r="I434" s="23" t="n"/>
      <c r="J434" s="24" t="n"/>
      <c r="K434" s="23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23" t="n"/>
      <c r="H435" s="24" t="n"/>
      <c r="I435" s="23" t="n"/>
      <c r="J435" s="24" t="n"/>
      <c r="K435" s="23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23" t="n"/>
      <c r="H436" s="24" t="n"/>
      <c r="I436" s="23" t="n"/>
      <c r="J436" s="24" t="n"/>
      <c r="K436" s="23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23" t="n"/>
      <c r="H437" s="24" t="n"/>
      <c r="I437" s="23" t="n"/>
      <c r="J437" s="24" t="n"/>
      <c r="K437" s="23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23" t="n"/>
      <c r="H438" s="24" t="n"/>
      <c r="I438" s="23" t="n"/>
      <c r="J438" s="24" t="n"/>
      <c r="K438" s="23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23" t="n"/>
      <c r="H439" s="24" t="n"/>
      <c r="I439" s="23" t="n"/>
      <c r="J439" s="24" t="n"/>
      <c r="K439" s="23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23" t="n"/>
      <c r="H440" s="24" t="n"/>
      <c r="I440" s="23" t="n"/>
      <c r="J440" s="24" t="n"/>
      <c r="K440" s="23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23" t="n"/>
      <c r="H441" s="24" t="n"/>
      <c r="I441" s="23" t="n"/>
      <c r="J441" s="24" t="n"/>
      <c r="K441" s="23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23" t="n"/>
      <c r="H442" s="24" t="n"/>
      <c r="I442" s="23" t="n"/>
      <c r="J442" s="24" t="n"/>
      <c r="K442" s="23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23" t="n"/>
      <c r="H443" s="24" t="n"/>
      <c r="I443" s="23" t="n"/>
      <c r="J443" s="24" t="n"/>
      <c r="K443" s="23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23" t="n"/>
      <c r="H444" s="24" t="n"/>
      <c r="I444" s="23" t="n"/>
      <c r="J444" s="24" t="n"/>
      <c r="K444" s="23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23" t="n"/>
      <c r="H445" s="24" t="n"/>
      <c r="I445" s="23" t="n"/>
      <c r="J445" s="24" t="n"/>
      <c r="K445" s="23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23" t="n"/>
      <c r="H446" s="24" t="n"/>
      <c r="I446" s="23" t="n"/>
      <c r="J446" s="24" t="n"/>
      <c r="K446" s="23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23" t="n"/>
      <c r="H447" s="24" t="n"/>
      <c r="I447" s="23" t="n"/>
      <c r="J447" s="24" t="n"/>
      <c r="K447" s="23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23" t="n"/>
      <c r="H448" s="24" t="n"/>
      <c r="I448" s="23" t="n"/>
      <c r="J448" s="24" t="n"/>
      <c r="K448" s="23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23" t="n"/>
      <c r="H449" s="24" t="n"/>
      <c r="I449" s="23" t="n"/>
      <c r="J449" s="24" t="n"/>
      <c r="K449" s="23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23" t="n"/>
      <c r="H450" s="24" t="n"/>
      <c r="I450" s="23" t="n"/>
      <c r="J450" s="24" t="n"/>
      <c r="K450" s="23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23" t="n"/>
      <c r="H451" s="24" t="n"/>
      <c r="I451" s="23" t="n"/>
      <c r="J451" s="24" t="n"/>
      <c r="K451" s="23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23" t="n"/>
      <c r="H452" s="24" t="n"/>
      <c r="I452" s="23" t="n"/>
      <c r="J452" s="24" t="n"/>
      <c r="K452" s="23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23" t="n"/>
      <c r="H453" s="24" t="n"/>
      <c r="I453" s="23" t="n"/>
      <c r="J453" s="24" t="n"/>
      <c r="K453" s="23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23" t="n"/>
      <c r="H454" s="24" t="n"/>
      <c r="I454" s="23" t="n"/>
      <c r="J454" s="24" t="n"/>
      <c r="K454" s="23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23" t="n"/>
      <c r="H455" s="24" t="n"/>
      <c r="I455" s="23" t="n"/>
      <c r="J455" s="24" t="n"/>
      <c r="K455" s="23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23" t="n"/>
      <c r="H456" s="24" t="n"/>
      <c r="I456" s="23" t="n"/>
      <c r="J456" s="24" t="n"/>
      <c r="K456" s="23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23" t="n"/>
      <c r="H457" s="24" t="n"/>
      <c r="I457" s="23" t="n"/>
      <c r="J457" s="24" t="n"/>
      <c r="K457" s="23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23" t="n"/>
      <c r="H458" s="24" t="n"/>
      <c r="I458" s="23" t="n"/>
      <c r="J458" s="24" t="n"/>
      <c r="K458" s="23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23" t="n"/>
      <c r="H459" s="24" t="n"/>
      <c r="I459" s="23" t="n"/>
      <c r="J459" s="24" t="n"/>
      <c r="K459" s="23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23" t="n"/>
      <c r="H460" s="24" t="n"/>
      <c r="I460" s="23" t="n"/>
      <c r="J460" s="24" t="n"/>
      <c r="K460" s="23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23" t="n"/>
      <c r="H461" s="24" t="n"/>
      <c r="I461" s="23" t="n"/>
      <c r="J461" s="24" t="n"/>
      <c r="K461" s="23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23" t="n"/>
      <c r="H462" s="24" t="n"/>
      <c r="I462" s="23" t="n"/>
      <c r="J462" s="24" t="n"/>
      <c r="K462" s="23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23" t="n"/>
      <c r="H463" s="24" t="n"/>
      <c r="I463" s="23" t="n"/>
      <c r="J463" s="24" t="n"/>
      <c r="K463" s="23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23" t="n"/>
      <c r="H464" s="24" t="n"/>
      <c r="I464" s="23" t="n"/>
      <c r="J464" s="24" t="n"/>
      <c r="K464" s="23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23" t="n"/>
      <c r="H465" s="24" t="n"/>
      <c r="I465" s="23" t="n"/>
      <c r="J465" s="24" t="n"/>
      <c r="K465" s="23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23" t="n"/>
      <c r="H466" s="24" t="n"/>
      <c r="I466" s="23" t="n"/>
      <c r="J466" s="24" t="n"/>
      <c r="K466" s="23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23" t="n"/>
      <c r="H467" s="24" t="n"/>
      <c r="I467" s="23" t="n"/>
      <c r="J467" s="24" t="n"/>
      <c r="K467" s="23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23" t="n"/>
      <c r="H468" s="24" t="n"/>
      <c r="I468" s="23" t="n"/>
      <c r="J468" s="24" t="n"/>
      <c r="K468" s="23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23" t="n"/>
      <c r="H469" s="24" t="n"/>
      <c r="I469" s="23" t="n"/>
      <c r="J469" s="24" t="n"/>
      <c r="K469" s="23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23" t="n"/>
      <c r="H470" s="24" t="n"/>
      <c r="I470" s="23" t="n"/>
      <c r="J470" s="24" t="n"/>
      <c r="K470" s="23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23" t="n"/>
      <c r="H471" s="24" t="n"/>
      <c r="I471" s="23" t="n"/>
      <c r="J471" s="24" t="n"/>
      <c r="K471" s="23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23" t="n"/>
      <c r="H472" s="24" t="n"/>
      <c r="I472" s="23" t="n"/>
      <c r="J472" s="24" t="n"/>
      <c r="K472" s="23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23" t="n"/>
      <c r="H473" s="24" t="n"/>
      <c r="I473" s="23" t="n"/>
      <c r="J473" s="24" t="n"/>
      <c r="K473" s="23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23" t="n"/>
      <c r="H474" s="24" t="n"/>
      <c r="I474" s="23" t="n"/>
      <c r="J474" s="24" t="n"/>
      <c r="K474" s="23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23" t="n"/>
      <c r="H475" s="24" t="n"/>
      <c r="I475" s="23" t="n"/>
      <c r="J475" s="24" t="n"/>
      <c r="K475" s="23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23" t="n"/>
      <c r="H476" s="24" t="n"/>
      <c r="I476" s="23" t="n"/>
      <c r="J476" s="24" t="n"/>
      <c r="K476" s="23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23" t="n"/>
      <c r="H477" s="24" t="n"/>
      <c r="I477" s="23" t="n"/>
      <c r="J477" s="24" t="n"/>
      <c r="K477" s="23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23" t="n"/>
      <c r="H478" s="24" t="n"/>
      <c r="I478" s="23" t="n"/>
      <c r="J478" s="24" t="n"/>
      <c r="K478" s="23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23" t="n"/>
      <c r="H479" s="24" t="n"/>
      <c r="I479" s="23" t="n"/>
      <c r="J479" s="24" t="n"/>
      <c r="K479" s="23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23" t="n"/>
      <c r="H480" s="24" t="n"/>
      <c r="I480" s="23" t="n"/>
      <c r="J480" s="24" t="n"/>
      <c r="K480" s="23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23" t="n"/>
      <c r="H481" s="24" t="n"/>
      <c r="I481" s="23" t="n"/>
      <c r="J481" s="24" t="n"/>
      <c r="K481" s="23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23" t="n"/>
      <c r="H482" s="24" t="n"/>
      <c r="I482" s="23" t="n"/>
      <c r="J482" s="24" t="n"/>
      <c r="K482" s="23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23" t="n"/>
      <c r="H483" s="24" t="n"/>
      <c r="I483" s="23" t="n"/>
      <c r="J483" s="24" t="n"/>
      <c r="K483" s="23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23" t="n"/>
      <c r="H484" s="24" t="n"/>
      <c r="I484" s="23" t="n"/>
      <c r="J484" s="24" t="n"/>
      <c r="K484" s="23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23" t="n"/>
      <c r="H485" s="24" t="n"/>
      <c r="I485" s="23" t="n"/>
      <c r="J485" s="24" t="n"/>
      <c r="K485" s="23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23" t="n"/>
      <c r="H486" s="24" t="n"/>
      <c r="I486" s="23" t="n"/>
      <c r="J486" s="24" t="n"/>
      <c r="K486" s="23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23" t="n"/>
      <c r="H487" s="24" t="n"/>
      <c r="I487" s="23" t="n"/>
      <c r="J487" s="24" t="n"/>
      <c r="K487" s="23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23" t="n"/>
      <c r="H488" s="24" t="n"/>
      <c r="I488" s="23" t="n"/>
      <c r="J488" s="24" t="n"/>
      <c r="K488" s="23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23" t="n"/>
      <c r="H489" s="24" t="n"/>
      <c r="I489" s="23" t="n"/>
      <c r="J489" s="24" t="n"/>
      <c r="K489" s="23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23" t="n"/>
      <c r="H490" s="24" t="n"/>
      <c r="I490" s="23" t="n"/>
      <c r="J490" s="24" t="n"/>
      <c r="K490" s="23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23" t="n"/>
      <c r="H491" s="24" t="n"/>
      <c r="I491" s="23" t="n"/>
      <c r="J491" s="24" t="n"/>
      <c r="K491" s="23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23" t="n"/>
      <c r="H492" s="24" t="n"/>
      <c r="I492" s="23" t="n"/>
      <c r="J492" s="24" t="n"/>
      <c r="K492" s="23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23" t="n"/>
      <c r="H493" s="24" t="n"/>
      <c r="I493" s="23" t="n"/>
      <c r="J493" s="24" t="n"/>
      <c r="K493" s="23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23" t="n"/>
      <c r="H494" s="24" t="n"/>
      <c r="I494" s="23" t="n"/>
      <c r="J494" s="24" t="n"/>
      <c r="K494" s="23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23" t="n"/>
      <c r="H495" s="24" t="n"/>
      <c r="I495" s="23" t="n"/>
      <c r="J495" s="24" t="n"/>
      <c r="K495" s="23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23" t="n"/>
      <c r="H496" s="24" t="n"/>
      <c r="I496" s="23" t="n"/>
      <c r="J496" s="24" t="n"/>
      <c r="K496" s="23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23" t="n"/>
      <c r="H497" s="24" t="n"/>
      <c r="I497" s="23" t="n"/>
      <c r="J497" s="24" t="n"/>
      <c r="K497" s="23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23" t="n"/>
      <c r="H498" s="24" t="n"/>
      <c r="I498" s="23" t="n"/>
      <c r="J498" s="24" t="n"/>
      <c r="K498" s="23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23" t="n"/>
      <c r="H499" s="24" t="n"/>
      <c r="I499" s="23" t="n"/>
      <c r="J499" s="24" t="n"/>
      <c r="K499" s="23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23" t="n"/>
      <c r="H500" s="24" t="n"/>
      <c r="I500" s="23" t="n"/>
      <c r="J500" s="24" t="n"/>
      <c r="K500" s="23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23" t="n"/>
      <c r="H501" s="24" t="n"/>
      <c r="I501" s="23" t="n"/>
      <c r="J501" s="24" t="n"/>
      <c r="K501" s="23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23" t="n"/>
      <c r="H502" s="24" t="n"/>
      <c r="I502" s="23" t="n"/>
      <c r="J502" s="24" t="n"/>
      <c r="K502" s="23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23" t="n"/>
      <c r="H503" s="24" t="n"/>
      <c r="I503" s="23" t="n"/>
      <c r="J503" s="24" t="n"/>
      <c r="K503" s="23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23" t="n"/>
      <c r="H504" s="24" t="n"/>
      <c r="I504" s="23" t="n"/>
      <c r="J504" s="24" t="n"/>
      <c r="K504" s="23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23" t="n"/>
      <c r="H505" s="24" t="n"/>
      <c r="I505" s="23" t="n"/>
      <c r="J505" s="24" t="n"/>
      <c r="K505" s="23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23" t="n"/>
      <c r="H506" s="24" t="n"/>
      <c r="I506" s="23" t="n"/>
      <c r="J506" s="24" t="n"/>
      <c r="K506" s="23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23" t="n"/>
      <c r="H507" s="24" t="n"/>
      <c r="I507" s="23" t="n"/>
      <c r="J507" s="24" t="n"/>
      <c r="K507" s="23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23" t="n"/>
      <c r="H508" s="24" t="n"/>
      <c r="I508" s="23" t="n"/>
      <c r="J508" s="24" t="n"/>
      <c r="K508" s="23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23" t="n"/>
      <c r="H509" s="24" t="n"/>
      <c r="I509" s="23" t="n"/>
      <c r="J509" s="24" t="n"/>
      <c r="K509" s="23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23" t="n"/>
      <c r="H510" s="24" t="n"/>
      <c r="I510" s="23" t="n"/>
      <c r="J510" s="24" t="n"/>
      <c r="K510" s="23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23" t="n"/>
      <c r="H511" s="24" t="n"/>
      <c r="I511" s="23" t="n"/>
      <c r="J511" s="24" t="n"/>
      <c r="K511" s="23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23" t="n"/>
      <c r="H512" s="24" t="n"/>
      <c r="I512" s="23" t="n"/>
      <c r="J512" s="24" t="n"/>
      <c r="K512" s="23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23" t="n"/>
      <c r="H513" s="24" t="n"/>
      <c r="I513" s="23" t="n"/>
      <c r="J513" s="24" t="n"/>
      <c r="K513" s="23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23" t="n"/>
      <c r="H514" s="24" t="n"/>
      <c r="I514" s="23" t="n"/>
      <c r="J514" s="24" t="n"/>
      <c r="K514" s="23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23" t="n"/>
      <c r="H515" s="24" t="n"/>
      <c r="I515" s="23" t="n"/>
      <c r="J515" s="24" t="n"/>
      <c r="K515" s="23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23" t="n"/>
      <c r="H516" s="24" t="n"/>
      <c r="I516" s="23" t="n"/>
      <c r="J516" s="24" t="n"/>
      <c r="K516" s="23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23" t="n"/>
      <c r="H517" s="24" t="n"/>
      <c r="I517" s="23" t="n"/>
      <c r="J517" s="24" t="n"/>
      <c r="K517" s="23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23" t="n"/>
      <c r="H518" s="24" t="n"/>
      <c r="I518" s="23" t="n"/>
      <c r="J518" s="24" t="n"/>
      <c r="K518" s="23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23" t="n"/>
      <c r="H519" s="24" t="n"/>
      <c r="I519" s="23" t="n"/>
      <c r="J519" s="24" t="n"/>
      <c r="K519" s="23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23" t="n"/>
      <c r="H520" s="24" t="n"/>
      <c r="I520" s="23" t="n"/>
      <c r="J520" s="24" t="n"/>
      <c r="K520" s="23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23" t="n"/>
      <c r="H521" s="24" t="n"/>
      <c r="I521" s="23" t="n"/>
      <c r="J521" s="24" t="n"/>
      <c r="K521" s="23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23" t="n"/>
      <c r="H522" s="24" t="n"/>
      <c r="I522" s="23" t="n"/>
      <c r="J522" s="24" t="n"/>
      <c r="K522" s="23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23" t="n"/>
      <c r="H523" s="24" t="n"/>
      <c r="I523" s="23" t="n"/>
      <c r="J523" s="24" t="n"/>
      <c r="K523" s="23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23" t="n"/>
      <c r="H524" s="24" t="n"/>
      <c r="I524" s="23" t="n"/>
      <c r="J524" s="24" t="n"/>
      <c r="K524" s="23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23" t="n"/>
      <c r="H525" s="24" t="n"/>
      <c r="I525" s="23" t="n"/>
      <c r="J525" s="24" t="n"/>
      <c r="K525" s="23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23" t="n"/>
      <c r="H526" s="24" t="n"/>
      <c r="I526" s="23" t="n"/>
      <c r="J526" s="24" t="n"/>
      <c r="K526" s="23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23" t="n"/>
      <c r="H527" s="24" t="n"/>
      <c r="I527" s="23" t="n"/>
      <c r="J527" s="24" t="n"/>
      <c r="K527" s="23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23" t="n"/>
      <c r="H528" s="24" t="n"/>
      <c r="I528" s="23" t="n"/>
      <c r="J528" s="24" t="n"/>
      <c r="K528" s="23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23" t="n"/>
      <c r="H529" s="24" t="n"/>
      <c r="I529" s="23" t="n"/>
      <c r="J529" s="24" t="n"/>
      <c r="K529" s="23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23" t="n"/>
      <c r="H530" s="24" t="n"/>
      <c r="I530" s="23" t="n"/>
      <c r="J530" s="24" t="n"/>
      <c r="K530" s="23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23" t="n"/>
      <c r="H531" s="24" t="n"/>
      <c r="I531" s="23" t="n"/>
      <c r="J531" s="24" t="n"/>
      <c r="K531" s="23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23" t="n"/>
      <c r="H532" s="24" t="n"/>
      <c r="I532" s="23" t="n"/>
      <c r="J532" s="24" t="n"/>
      <c r="K532" s="23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23" t="n"/>
      <c r="H533" s="24" t="n"/>
      <c r="I533" s="23" t="n"/>
      <c r="J533" s="24" t="n"/>
      <c r="K533" s="23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23" t="n"/>
      <c r="H534" s="24" t="n"/>
      <c r="I534" s="23" t="n"/>
      <c r="J534" s="24" t="n"/>
      <c r="K534" s="23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23" t="n"/>
      <c r="H535" s="24" t="n"/>
      <c r="I535" s="23" t="n"/>
      <c r="J535" s="24" t="n"/>
      <c r="K535" s="23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23" t="n"/>
      <c r="H536" s="24" t="n"/>
      <c r="I536" s="23" t="n"/>
      <c r="J536" s="24" t="n"/>
      <c r="K536" s="23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23" t="n"/>
      <c r="H537" s="24" t="n"/>
      <c r="I537" s="23" t="n"/>
      <c r="J537" s="24" t="n"/>
      <c r="K537" s="23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23" t="n"/>
      <c r="H538" s="24" t="n"/>
      <c r="I538" s="23" t="n"/>
      <c r="J538" s="24" t="n"/>
      <c r="K538" s="23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23" t="n"/>
      <c r="H539" s="24" t="n"/>
      <c r="I539" s="23" t="n"/>
      <c r="J539" s="24" t="n"/>
      <c r="K539" s="23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23" t="n"/>
      <c r="H540" s="24" t="n"/>
      <c r="I540" s="23" t="n"/>
      <c r="J540" s="24" t="n"/>
      <c r="K540" s="23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23" t="n"/>
      <c r="H541" s="24" t="n"/>
      <c r="I541" s="23" t="n"/>
      <c r="J541" s="24" t="n"/>
      <c r="K541" s="23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23" t="n"/>
      <c r="H542" s="24" t="n"/>
      <c r="I542" s="23" t="n"/>
      <c r="J542" s="24" t="n"/>
      <c r="K542" s="23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23" t="n"/>
      <c r="H543" s="24" t="n"/>
      <c r="I543" s="23" t="n"/>
      <c r="J543" s="24" t="n"/>
      <c r="K543" s="23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23" t="n"/>
      <c r="H544" s="24" t="n"/>
      <c r="I544" s="23" t="n"/>
      <c r="J544" s="24" t="n"/>
      <c r="K544" s="23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23" t="n"/>
      <c r="H545" s="24" t="n"/>
      <c r="I545" s="23" t="n"/>
      <c r="J545" s="24" t="n"/>
      <c r="K545" s="23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23" t="n"/>
      <c r="H546" s="24" t="n"/>
      <c r="I546" s="23" t="n"/>
      <c r="J546" s="24" t="n"/>
      <c r="K546" s="23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23" t="n"/>
      <c r="H547" s="24" t="n"/>
      <c r="I547" s="23" t="n"/>
      <c r="J547" s="24" t="n"/>
      <c r="K547" s="23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23" t="n"/>
      <c r="H548" s="24" t="n"/>
      <c r="I548" s="23" t="n"/>
      <c r="J548" s="24" t="n"/>
      <c r="K548" s="23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23" t="n"/>
      <c r="H549" s="24" t="n"/>
      <c r="I549" s="23" t="n"/>
      <c r="J549" s="24" t="n"/>
      <c r="K549" s="23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23" t="n"/>
      <c r="H550" s="24" t="n"/>
      <c r="I550" s="23" t="n"/>
      <c r="J550" s="24" t="n"/>
      <c r="K550" s="23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23" t="n"/>
      <c r="H551" s="24" t="n"/>
      <c r="I551" s="23" t="n"/>
      <c r="J551" s="24" t="n"/>
      <c r="K551" s="23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23" t="n"/>
      <c r="H552" s="24" t="n"/>
      <c r="I552" s="23" t="n"/>
      <c r="J552" s="24" t="n"/>
      <c r="K552" s="23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23" t="n"/>
      <c r="H553" s="24" t="n"/>
      <c r="I553" s="23" t="n"/>
      <c r="J553" s="24" t="n"/>
      <c r="K553" s="23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23" t="n"/>
      <c r="H554" s="24" t="n"/>
      <c r="I554" s="23" t="n"/>
      <c r="J554" s="24" t="n"/>
      <c r="K554" s="23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  <col width="20" customWidth="1" style="11" min="18" max="18"/>
    <col width="20" customWidth="1" style="11" min="19" max="19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  <c r="R1" s="15" t="inlineStr">
        <is>
          <t>Coordination Sketch</t>
        </is>
      </c>
      <c r="S1" s="15" t="inlineStr">
        <is>
          <t>Coordination Sketch Date</t>
        </is>
      </c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5" t="inlineStr">
        <is>
          <t>WPH-ETC-DRW-SDW-IND-00-ZZZ-42301</t>
        </is>
      </c>
      <c r="D2" s="23" t="n"/>
      <c r="E2" s="23" t="n"/>
      <c r="F2" s="24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7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5" t="inlineStr">
        <is>
          <t>WPH-ETC-DRW-SDW-IND-00-ZZZ-42401</t>
        </is>
      </c>
      <c r="D3" s="23" t="n"/>
      <c r="E3" s="23" t="n"/>
      <c r="F3" s="24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inlineStr">
        <is>
          <t>TBS</t>
        </is>
      </c>
      <c r="R3" s="23" t="n"/>
      <c r="S3" s="27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5" t="inlineStr">
        <is>
          <t>WPH-ETC-DRW-SDW-IND-00-ZZZ-42501</t>
        </is>
      </c>
      <c r="D4" s="23" t="n"/>
      <c r="E4" s="25" t="n"/>
      <c r="F4" s="24" t="n">
        <v>46301</v>
      </c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25" t="n"/>
      <c r="Q4" s="25" t="n"/>
      <c r="R4" s="23" t="inlineStr">
        <is>
          <t>Provided</t>
        </is>
      </c>
      <c r="S4" s="27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5" t="inlineStr">
        <is>
          <t>(no drawing number in legend)</t>
        </is>
      </c>
      <c r="D5" s="23" t="n"/>
      <c r="E5" s="23" t="n"/>
      <c r="F5" s="24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7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5" t="inlineStr">
        <is>
          <t>(no drawing number in legend)</t>
        </is>
      </c>
      <c r="D6" s="23" t="n"/>
      <c r="E6" s="23" t="n"/>
      <c r="F6" s="24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7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5" t="inlineStr">
        <is>
          <t>WPH-ETC-DRW-SDW-IND-00-ZZZ-42801</t>
        </is>
      </c>
      <c r="D7" s="23" t="n"/>
      <c r="E7" s="23" t="n"/>
      <c r="F7" s="24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5" t="inlineStr">
        <is>
          <t>WPH-ETC-DRW-SDW-IND-00-ZZZ-42901</t>
        </is>
      </c>
      <c r="D8" s="23" t="n"/>
      <c r="E8" s="23" t="n"/>
      <c r="F8" s="24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5" t="inlineStr">
        <is>
          <t>WPH-ETC-DRW-SDW-IND-00-ZZZ-43001</t>
        </is>
      </c>
      <c r="D9" s="23" t="n"/>
      <c r="E9" s="23" t="n"/>
      <c r="F9" s="24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5" t="inlineStr">
        <is>
          <t>WPH-ETC-DRW-SDW-IND-00-ZZZ-43101</t>
        </is>
      </c>
      <c r="D10" s="23" t="n"/>
      <c r="E10" s="23" t="n"/>
      <c r="F10" s="24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5" t="inlineStr">
        <is>
          <t>WPH-ETC-DRW-SDW-IND-00-ZZZ-43201</t>
        </is>
      </c>
      <c r="D11" s="23" t="n"/>
      <c r="E11" s="23" t="n"/>
      <c r="F11" s="24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5" t="inlineStr">
        <is>
          <t>WPH-ETC-DRW-SDW-IND-00-ZZZ-43301</t>
        </is>
      </c>
      <c r="D12" s="23" t="n"/>
      <c r="E12" s="23" t="n"/>
      <c r="F12" s="24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5" t="inlineStr">
        <is>
          <t>WPH-ETC-DRW-SDW-IND-00-ZZZ-40301</t>
        </is>
      </c>
      <c r="D13" s="23" t="n"/>
      <c r="E13" s="23" t="n"/>
      <c r="F13" s="24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5" t="inlineStr">
        <is>
          <t>WPH-ETC-DRW-SDW-IND-00-ZZZ-40301</t>
        </is>
      </c>
      <c r="D14" s="23" t="n"/>
      <c r="E14" s="23" t="n"/>
      <c r="F14" s="24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5" t="inlineStr">
        <is>
          <t>WPH-ETC-DRW-SDW-IND-00-ZZZ-40301</t>
        </is>
      </c>
      <c r="D15" s="23" t="n"/>
      <c r="E15" s="23" t="n"/>
      <c r="F15" s="24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5" t="inlineStr">
        <is>
          <t>WPH-ETC-DRW-SDW-IND-00-ZZZ-40301</t>
        </is>
      </c>
      <c r="D16" s="23" t="n"/>
      <c r="E16" s="23" t="n"/>
      <c r="F16" s="24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5" t="inlineStr">
        <is>
          <t>WPH-ETC-DRW-SDW-IND-00-ZZZ-40301</t>
        </is>
      </c>
      <c r="D17" s="23" t="n"/>
      <c r="E17" s="23" t="n"/>
      <c r="F17" s="24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5" t="inlineStr">
        <is>
          <t>WPH-ETC-DRW-SDW-IND-00-ZZZ-40301</t>
        </is>
      </c>
      <c r="D18" s="23" t="n"/>
      <c r="E18" s="23" t="n"/>
      <c r="F18" s="24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5" t="inlineStr">
        <is>
          <t>WPH-ETC-DRW-SDW-IND-00-ZZZ-40701</t>
        </is>
      </c>
      <c r="D19" s="23" t="n"/>
      <c r="E19" s="23" t="n"/>
      <c r="F19" s="24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5" t="inlineStr">
        <is>
          <t>WPH-ETC-DRW-SDW-IND-00-ZZZ-40701</t>
        </is>
      </c>
      <c r="D20" s="23" t="n"/>
      <c r="E20" s="23" t="n"/>
      <c r="F20" s="24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5" t="inlineStr">
        <is>
          <t>WPH-ETC-DRW-SDW-IND-00-ZZZ-40701</t>
        </is>
      </c>
      <c r="D21" s="23" t="n"/>
      <c r="E21" s="23" t="n"/>
      <c r="F21" s="24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5" t="inlineStr">
        <is>
          <t>WPH-ETC-DRW-SDW-IND-00-ZZZ-40701</t>
        </is>
      </c>
      <c r="D22" s="23" t="n"/>
      <c r="E22" s="23" t="n"/>
      <c r="F22" s="24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5" t="inlineStr">
        <is>
          <t>WPH-ETC-DRW-SDW-IND-00-ZZZ-40701</t>
        </is>
      </c>
      <c r="D23" s="23" t="n"/>
      <c r="E23" s="23" t="n"/>
      <c r="F23" s="24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5" t="inlineStr">
        <is>
          <t>WPH-ETC-DRW-SDW-IND-00-ZZZ-40701</t>
        </is>
      </c>
      <c r="D24" s="23" t="n"/>
      <c r="E24" s="23" t="n"/>
      <c r="F24" s="24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5" t="inlineStr">
        <is>
          <t>WPH-ETC-DRW-SDW-IND-00-ZZZ-40701</t>
        </is>
      </c>
      <c r="D25" s="23" t="n"/>
      <c r="E25" s="23" t="n"/>
      <c r="F25" s="24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5" t="inlineStr">
        <is>
          <t>WPH-ETC-DRW-SDW-IND-00-ZZZ-41101</t>
        </is>
      </c>
      <c r="D26" s="23" t="n"/>
      <c r="E26" s="23" t="n"/>
      <c r="F26" s="24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5" t="inlineStr">
        <is>
          <t>WPH-ETC-DRW-SDW-IND-00-ZZZ-41201</t>
        </is>
      </c>
      <c r="D27" s="23" t="n"/>
      <c r="E27" s="23" t="n"/>
      <c r="F27" s="24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5" t="inlineStr">
        <is>
          <t>(no drawing number in legend)</t>
        </is>
      </c>
      <c r="D28" s="23" t="n"/>
      <c r="E28" s="23" t="n"/>
      <c r="F28" s="24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5" t="inlineStr">
        <is>
          <t>WPH-ETC-DRW-SDW-IND-00-ZZZ-41401</t>
        </is>
      </c>
      <c r="D29" s="23" t="n"/>
      <c r="E29" s="23" t="n"/>
      <c r="F29" s="24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5" t="inlineStr">
        <is>
          <t>WPH-ETC-DRW-SDW-IND-00-ZZZ-41401</t>
        </is>
      </c>
      <c r="D30" s="23" t="n"/>
      <c r="E30" s="23" t="n"/>
      <c r="F30" s="24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5" t="inlineStr">
        <is>
          <t>WPH-ETC-DRW-SDW-IND-00-ZZZ-41401</t>
        </is>
      </c>
      <c r="D31" s="23" t="n"/>
      <c r="E31" s="23" t="n"/>
      <c r="F31" s="24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5" t="inlineStr">
        <is>
          <t>WPH-ETC-DRW-SDW-IND-00-ZZZ-41601</t>
        </is>
      </c>
      <c r="D32" s="23" t="n"/>
      <c r="E32" s="23" t="n"/>
      <c r="F32" s="24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5" t="inlineStr">
        <is>
          <t>WPH-ETC-DRW-SDW-IND-00-ZZZ-41601</t>
        </is>
      </c>
      <c r="D33" s="23" t="n"/>
      <c r="E33" s="23" t="n"/>
      <c r="F33" s="24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5" t="inlineStr">
        <is>
          <t>WPH-ETC-DRW-SDW-IND-00-ZZZ-41601</t>
        </is>
      </c>
      <c r="D34" s="23" t="n"/>
      <c r="E34" s="23" t="n"/>
      <c r="F34" s="24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5" t="inlineStr">
        <is>
          <t>WPH-ETC-DRW-SDW-IND-00-ZZZ-41601</t>
        </is>
      </c>
      <c r="D35" s="23" t="n"/>
      <c r="E35" s="23" t="n"/>
      <c r="F35" s="24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5" t="inlineStr">
        <is>
          <t>WPH-ETC-DRW-SDW-IND-00-ZZZ-41601</t>
        </is>
      </c>
      <c r="D36" s="23" t="n"/>
      <c r="E36" s="23" t="n"/>
      <c r="F36" s="24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5" t="inlineStr">
        <is>
          <t>WPH-ETC-DRW-SDW-IND-00-ZZZ-41601</t>
        </is>
      </c>
      <c r="D37" s="23" t="n"/>
      <c r="E37" s="23" t="n"/>
      <c r="F37" s="24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7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5" t="inlineStr">
        <is>
          <t>WPH-ETC-DRW-SDW-IND-00-ZZZ-42001</t>
        </is>
      </c>
      <c r="D38" s="23" t="n"/>
      <c r="E38" s="23" t="n"/>
      <c r="F38" s="24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7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5" t="inlineStr">
        <is>
          <t>WPH-ETC-DRW-SDW-IND-00-ZZZ-42101</t>
        </is>
      </c>
      <c r="D39" s="23" t="n"/>
      <c r="E39" s="23" t="n"/>
      <c r="F39" s="24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7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5" t="inlineStr">
        <is>
          <t>WPH-ETC-DRW-SDW-IND-00-ZZZ-42101</t>
        </is>
      </c>
      <c r="D40" s="23" t="n"/>
      <c r="E40" s="23" t="n"/>
      <c r="F40" s="24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7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5" t="inlineStr">
        <is>
          <t>WPH-ETC-DRW-SDW-IND-00-ZZZ-41501</t>
        </is>
      </c>
      <c r="D41" s="23" t="n"/>
      <c r="E41" s="23" t="n"/>
      <c r="F41" s="24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7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5" t="inlineStr">
        <is>
          <t>WPH-ETC-DRW-SDW-IND-00-ZZZ-41701</t>
        </is>
      </c>
      <c r="D42" s="23" t="n"/>
      <c r="E42" s="23" t="n"/>
      <c r="F42" s="24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7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5" t="inlineStr">
        <is>
          <t>WPH-ETC-DRW-SDW-IND-00-ZZZ-41801</t>
        </is>
      </c>
      <c r="D43" s="23" t="n"/>
      <c r="E43" s="23" t="n"/>
      <c r="F43" s="24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7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5" t="inlineStr">
        <is>
          <t>WPH-ETC-DRW-SDW-IND-00-ZZZ-41801</t>
        </is>
      </c>
      <c r="D44" s="23" t="n"/>
      <c r="E44" s="23" t="n"/>
      <c r="F44" s="24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7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5" t="inlineStr">
        <is>
          <t>WPH-ETC-DRW-SDW-IND-00-ZZZ-42201</t>
        </is>
      </c>
      <c r="D45" s="23" t="n"/>
      <c r="E45" s="23" t="n"/>
      <c r="F45" s="24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7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5" t="inlineStr">
        <is>
          <t>(no drawing number in legend)</t>
        </is>
      </c>
      <c r="D46" s="23" t="n"/>
      <c r="E46" s="23" t="n"/>
      <c r="F46" s="24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7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5" t="inlineStr">
        <is>
          <t>WPH-ETC-DRW-SDW-IND-00-ZZZ-43401</t>
        </is>
      </c>
      <c r="D47" s="23" t="n"/>
      <c r="E47" s="23" t="n"/>
      <c r="F47" s="24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7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5" t="inlineStr">
        <is>
          <t>WPH-ETC-DRW-SDW-IND-00-ZZZ-43501</t>
        </is>
      </c>
      <c r="D48" s="23" t="n"/>
      <c r="E48" s="23" t="n"/>
      <c r="F48" s="24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7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5" t="inlineStr">
        <is>
          <t>WPH-ETC-DRW-SDW-IND-00-ZZZ-43601</t>
        </is>
      </c>
      <c r="D49" s="23" t="n"/>
      <c r="E49" s="23" t="n"/>
      <c r="F49" s="24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7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5" t="inlineStr">
        <is>
          <t>WPH-ETC-DRW-SDW-IND-00-ZZZ-43701</t>
        </is>
      </c>
      <c r="D50" s="23" t="n"/>
      <c r="E50" s="23" t="n"/>
      <c r="F50" s="24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7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5" t="inlineStr">
        <is>
          <t>WPH-ETC-DRW-SDW-IND-00-ZZZ-43801</t>
        </is>
      </c>
      <c r="D51" s="23" t="n"/>
      <c r="E51" s="23" t="n"/>
      <c r="F51" s="24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7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5" t="inlineStr">
        <is>
          <t>WPH-ETC-DRW-SDW-IND-00-ZZZ-43901</t>
        </is>
      </c>
      <c r="D52" s="23" t="n"/>
      <c r="E52" s="23" t="n"/>
      <c r="F52" s="24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7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5" t="inlineStr">
        <is>
          <t>WPH-ETC-DRW-SDW-IND-00-ZZZ-44001</t>
        </is>
      </c>
      <c r="D53" s="23" t="n"/>
      <c r="E53" s="23" t="n"/>
      <c r="F53" s="24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7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5" t="inlineStr">
        <is>
          <t>WPH-ETC-DRW-SDW-IND-00-ZZZ-44101</t>
        </is>
      </c>
      <c r="D54" s="23" t="n"/>
      <c r="E54" s="23" t="n"/>
      <c r="F54" s="24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7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5" t="inlineStr">
        <is>
          <t>(no drawing number in legend)</t>
        </is>
      </c>
      <c r="D55" s="23" t="n"/>
      <c r="E55" s="23" t="n"/>
      <c r="F55" s="24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7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5" t="inlineStr">
        <is>
          <t>WPH-ETC-DRW-SDW-IND-00-ZZZ-44301</t>
        </is>
      </c>
      <c r="D56" s="23" t="n"/>
      <c r="E56" s="23" t="n"/>
      <c r="F56" s="24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7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5" t="inlineStr">
        <is>
          <t>WPH-ETC-DRW-SDW-IND-00-ZZZ-44401</t>
        </is>
      </c>
      <c r="D57" s="23" t="n"/>
      <c r="E57" s="23" t="n"/>
      <c r="F57" s="24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7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5" t="inlineStr">
        <is>
          <t>WPH-ETC-DRW-SDW-IND-00-ZZZ-44501</t>
        </is>
      </c>
      <c r="D58" s="23" t="n"/>
      <c r="E58" s="23" t="n"/>
      <c r="F58" s="24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7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5" t="inlineStr">
        <is>
          <t>WPH-ETC-DRW-SDW-IND-00-ZZZ-44901</t>
        </is>
      </c>
      <c r="D59" s="23" t="n"/>
      <c r="E59" s="23" t="n"/>
      <c r="F59" s="24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7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5" t="inlineStr">
        <is>
          <t>WPH-ETC-DRW-SDW-IND-00-ZZZ-44601</t>
        </is>
      </c>
      <c r="D60" s="23" t="n"/>
      <c r="E60" s="23" t="n"/>
      <c r="F60" s="24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7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5" t="inlineStr">
        <is>
          <t>WPH-ETC-DRW-SDW-IND-00-ZZZ-44701</t>
        </is>
      </c>
      <c r="D61" s="23" t="n"/>
      <c r="E61" s="23" t="n"/>
      <c r="F61" s="24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7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5" t="inlineStr">
        <is>
          <t>WPH-ETC-DRW-SDW-IND-00-ZZZ-44801</t>
        </is>
      </c>
      <c r="D62" s="23" t="n"/>
      <c r="E62" s="23" t="n"/>
      <c r="F62" s="24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7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E62">
    <cfRule type="expression" priority="1" dxfId="14" stopIfTrue="1">
      <formula>TRIM(UPPER(E2))="A"</formula>
    </cfRule>
    <cfRule type="expression" priority="2" dxfId="14" stopIfTrue="1">
      <formula>TRIM(UPPER(E2))="B"</formula>
    </cfRule>
    <cfRule type="expression" priority="3" dxfId="15" stopIfTrue="1">
      <formula>TRIM(UPPER(E2))="UR"</formula>
    </cfRule>
    <cfRule type="expression" priority="4" dxfId="16" stopIfTrue="1">
      <formula>TRIM(UPPER(E2))="C"</formula>
    </cfRule>
    <cfRule type="expression" priority="5" dxfId="17" stopIfTrue="1">
      <formula>TRIM(UPPER(E2))="TBS"</formula>
    </cfRule>
  </conditionalFormatting>
  <conditionalFormatting sqref="G2:Q62">
    <cfRule type="expression" priority="6" dxfId="14" stopIfTrue="1">
      <formula>TRIM(UPPER(G2))="A"</formula>
    </cfRule>
    <cfRule type="expression" priority="7" dxfId="14" stopIfTrue="1">
      <formula>TRIM(UPPER(G2))="B"</formula>
    </cfRule>
    <cfRule type="expression" priority="8" dxfId="18" stopIfTrue="1">
      <formula>TRIM($R2)="Provided"</formula>
    </cfRule>
    <cfRule type="expression" priority="9" dxfId="15" stopIfTrue="1">
      <formula>TRIM(UPPER(G2))="UR"</formula>
    </cfRule>
    <cfRule type="expression" priority="10" dxfId="16" stopIfTrue="1">
      <formula>TRIM(UPPER(G2))="C"</formula>
    </cfRule>
    <cfRule type="expression" priority="11" dxfId="17" stopIfTrue="1">
      <formula>TRIM(UPPER(G2))="TBS"</formula>
    </cfRule>
  </conditionalFormatting>
  <conditionalFormatting sqref="R2:R62">
    <cfRule type="expression" priority="12" dxfId="19" stopIfTrue="1">
      <formula>TRIM(R2)="Provided"</formula>
    </cfRule>
  </conditionalFormatting>
  <dataValidations count="4">
    <dataValidation sqref="E2:E62 G2:Q62" showDropDown="0" showInputMessage="0" showErrorMessage="1" allowBlank="1" error="Use A, B, UR, C or TBS" type="list" errorStyle="stop" operator="between">
      <formula1>Lists!$A$2:$A$6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  <dataValidation sqref="R2:R62" showDropDown="0" showInputMessage="0" showErrorMessage="0" allowBlank="1" type="list">
      <formula1>"Provided,Not Provided"</formula1>
    </dataValidation>
    <dataValidation sqref="S2:S62" showDropDown="0" showInputMessage="0" showErrorMessage="0" allowBlank="1" type="date"/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Room Tag</t>
        </is>
      </c>
      <c r="B32" s="10" t="inlineStr">
        <is>
          <t>Room tag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A34" s="10" t="inlineStr">
        <is>
          <t>Coordination Sketch</t>
        </is>
      </c>
      <c r="B34" s="10" t="inlineStr">
        <is>
          <t>Coordination sketch (MEP/ELV with ID)</t>
        </is>
      </c>
      <c r="C34" s="10" t="inlineStr">
        <is>
          <t>Coordination sketch</t>
        </is>
      </c>
      <c r="D34" s="10" t="n">
        <v>25</v>
      </c>
      <c r="E34" s="10" t="inlineStr">
        <is>
          <t>Y</t>
        </is>
      </c>
      <c r="F34" s="10" t="inlineStr">
        <is>
          <t>status</t>
        </is>
      </c>
    </row>
    <row r="35" ht="15" customHeight="1" s="11">
      <c r="A35" s="10" t="inlineStr">
        <is>
          <t>Coordination Sketch Date</t>
        </is>
      </c>
      <c r="B35" s="10" t="inlineStr">
        <is>
          <t>Sketch date</t>
        </is>
      </c>
      <c r="C35" s="10" t="inlineStr">
        <is>
          <t>Coordination sketch</t>
        </is>
      </c>
      <c r="D35" s="10" t="n">
        <v>26</v>
      </c>
      <c r="E35" s="10" t="inlineStr">
        <is>
          <t>Y</t>
        </is>
      </c>
      <c r="F35" s="10" t="inlineStr">
        <is>
          <t>date</t>
        </is>
      </c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  <row r="261">
      <c r="A261" s="28" t="n"/>
      <c r="B261" s="28" t="n"/>
      <c r="C261" s="28" t="n"/>
      <c r="D261" s="28" t="n"/>
      <c r="E261" s="28" t="n"/>
      <c r="F261" s="28" t="n"/>
    </row>
    <row r="262">
      <c r="A262" s="28" t="n"/>
      <c r="B262" s="28" t="n"/>
      <c r="C262" s="28" t="n"/>
      <c r="D262" s="28" t="n"/>
      <c r="E262" s="28" t="n"/>
      <c r="F262" s="28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COUNTIFS(Clearances!$E:$E,$A2,Clearances!$B:$B,"Tower A")</f>
        <v/>
      </c>
      <c r="D2" s="17">
        <f>C2/COUNTIF(Clearances!$B:$B,"Tower A")</f>
        <v/>
      </c>
      <c r="E2" s="10">
        <f>COUNTIFS(Clearances!$E:$E,$A2,Clearances!$B:$B,"Tower B")</f>
        <v/>
      </c>
      <c r="F2" s="17">
        <f>E2/COUNTIF(Clearances!$B:$B,"Tower B")</f>
        <v/>
      </c>
      <c r="G2" s="10">
        <f>C2+E2</f>
        <v/>
      </c>
      <c r="H2" s="17">
        <f>G2/(COUNTA(Clearances!$A:$A)-1)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COUNTIFS(Clearances!$E:$E,$A3,Clearances!$B:$B,"Tower A")</f>
        <v/>
      </c>
      <c r="D3" s="17">
        <f>C3/COUNTIF(Clearances!$B:$B,"Tower A")</f>
        <v/>
      </c>
      <c r="E3" s="10">
        <f>COUNTIFS(Clearances!$E:$E,$A3,Clearances!$B:$B,"Tower B")</f>
        <v/>
      </c>
      <c r="F3" s="17">
        <f>E3/COUNTIF(Clearances!$B:$B,"Tower B")</f>
        <v/>
      </c>
      <c r="G3" s="10">
        <f>C3+E3</f>
        <v/>
      </c>
      <c r="H3" s="17">
        <f>G3/(COUNTA(Clearances!$A:$A)-1)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COUNTIFS(Clearances!$E:$E,$A4,Clearances!$B:$B,"Tower A")</f>
        <v/>
      </c>
      <c r="D4" s="17">
        <f>C4/COUNTIF(Clearances!$B:$B,"Tower A")</f>
        <v/>
      </c>
      <c r="E4" s="10">
        <f>COUNTIFS(Clearances!$E:$E,$A4,Clearances!$B:$B,"Tower B")</f>
        <v/>
      </c>
      <c r="F4" s="17">
        <f>E4/COUNTIF(Clearances!$B:$B,"Tower B")</f>
        <v/>
      </c>
      <c r="G4" s="10">
        <f>C4+E4</f>
        <v/>
      </c>
      <c r="H4" s="17">
        <f>G4/(COUNTA(Clearances!$A:$A)-1)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COUNTIFS(Clearances!$E:$E,$A5,Clearances!$B:$B,"Tower A")</f>
        <v/>
      </c>
      <c r="D5" s="17">
        <f>C5/COUNTIF(Clearances!$B:$B,"Tower A")</f>
        <v/>
      </c>
      <c r="E5" s="10">
        <f>COUNTIFS(Clearances!$E:$E,$A5,Clearances!$B:$B,"Tower B")</f>
        <v/>
      </c>
      <c r="F5" s="17">
        <f>E5/COUNTIF(Clearances!$B:$B,"Tower B")</f>
        <v/>
      </c>
      <c r="G5" s="10">
        <f>C5+E5</f>
        <v/>
      </c>
      <c r="H5" s="17">
        <f>G5/(COUNTA(Clearances!$A:$A)-1)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COUNTIFS(Clearances!$E:$E,$A6,Clearances!$B:$B,"Tower A")</f>
        <v/>
      </c>
      <c r="D6" s="17">
        <f>C6/COUNTIF(Clearances!$B:$B,"Tower A")</f>
        <v/>
      </c>
      <c r="E6" s="10">
        <f>COUNTIFS(Clearances!$E:$E,$A6,Clearances!$B:$B,"Tower B")</f>
        <v/>
      </c>
      <c r="F6" s="17">
        <f>E6/COUNTIF(Clearances!$B:$B,"Tower B")</f>
        <v/>
      </c>
      <c r="G6" s="10">
        <f>C6+E6</f>
        <v/>
      </c>
      <c r="H6" s="17">
        <f>G6/(COUNTA(Clearances!$A:$A)-1)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COUNTIFS(Clearances!$E:$E,$A7,Clearances!$B:$B,"Tower A")</f>
        <v/>
      </c>
      <c r="D7" s="17">
        <f>C7/COUNTIF(Clearances!$B:$B,"Tower A")</f>
        <v/>
      </c>
      <c r="E7" s="10">
        <f>COUNTIFS(Clearances!$E:$E,$A7,Clearances!$B:$B,"Tower B")</f>
        <v/>
      </c>
      <c r="F7" s="17">
        <f>E7/COUNTIF(Clearances!$B:$B,"Tower B")</f>
        <v/>
      </c>
      <c r="G7" s="10">
        <f>C7+E7</f>
        <v/>
      </c>
      <c r="H7" s="17">
        <f>G7/(COUNTA(Clearances!$A:$A)-1)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COUNTIFS(Clearances!$E:$E,$A8,Clearances!$B:$B,"Tower A")</f>
        <v/>
      </c>
      <c r="D8" s="17">
        <f>C8/COUNTIF(Clearances!$B:$B,"Tower A")</f>
        <v/>
      </c>
      <c r="E8" s="10">
        <f>COUNTIFS(Clearances!$E:$E,$A8,Clearances!$B:$B,"Tower B")</f>
        <v/>
      </c>
      <c r="F8" s="17">
        <f>E8/COUNTIF(Clearances!$B:$B,"Tower B")</f>
        <v/>
      </c>
      <c r="G8" s="10">
        <f>C8+E8</f>
        <v/>
      </c>
      <c r="H8" s="17">
        <f>G8/(COUNTA(Clearances!$A:$A)-1)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COUNTIFS(Clearances!$E:$E,$A9,Clearances!$B:$B,"Tower A")</f>
        <v/>
      </c>
      <c r="D9" s="17">
        <f>C9/COUNTIF(Clearances!$B:$B,"Tower A")</f>
        <v/>
      </c>
      <c r="E9" s="10">
        <f>COUNTIFS(Clearances!$E:$E,$A9,Clearances!$B:$B,"Tower B")</f>
        <v/>
      </c>
      <c r="F9" s="17">
        <f>E9/COUNTIF(Clearances!$B:$B,"Tower B")</f>
        <v/>
      </c>
      <c r="G9" s="10">
        <f>C9+E9</f>
        <v/>
      </c>
      <c r="H9" s="17">
        <f>G9/(COUNTA(Clearances!$A:$A)-1)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COUNTIFS(Clearances!$E:$E,$A10,Clearances!$B:$B,"Tower A")</f>
        <v/>
      </c>
      <c r="D10" s="17">
        <f>C10/COUNTIF(Clearances!$B:$B,"Tower A")</f>
        <v/>
      </c>
      <c r="E10" s="10">
        <f>COUNTIFS(Clearances!$E:$E,$A10,Clearances!$B:$B,"Tower B")</f>
        <v/>
      </c>
      <c r="F10" s="17">
        <f>E10/COUNTIF(Clearances!$B:$B,"Tower B")</f>
        <v/>
      </c>
      <c r="G10" s="10">
        <f>C10+E10</f>
        <v/>
      </c>
      <c r="H10" s="17">
        <f>G10/(COUNTA(Clearances!$A:$A)-1)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COUNTIFS(Clearances!$E:$E,$A11,Clearances!$B:$B,"Tower A")</f>
        <v/>
      </c>
      <c r="D11" s="17">
        <f>C11/COUNTIF(Clearances!$B:$B,"Tower A")</f>
        <v/>
      </c>
      <c r="E11" s="10">
        <f>COUNTIFS(Clearances!$E:$E,$A11,Clearances!$B:$B,"Tower B")</f>
        <v/>
      </c>
      <c r="F11" s="17">
        <f>E11/COUNTIF(Clearances!$B:$B,"Tower B")</f>
        <v/>
      </c>
      <c r="G11" s="10">
        <f>C11+E11</f>
        <v/>
      </c>
      <c r="H11" s="17">
        <f>G11/(COUNTA(Clearances!$A:$A)-1)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COUNTIFS(Clearances!$E:$E,$A12,Clearances!$B:$B,"Tower A")</f>
        <v/>
      </c>
      <c r="D12" s="17">
        <f>C12/COUNTIF(Clearances!$B:$B,"Tower A")</f>
        <v/>
      </c>
      <c r="E12" s="10">
        <f>COUNTIFS(Clearances!$E:$E,$A12,Clearances!$B:$B,"Tower B")</f>
        <v/>
      </c>
      <c r="F12" s="17">
        <f>E12/COUNTIF(Clearances!$B:$B,"Tower B")</f>
        <v/>
      </c>
      <c r="G12" s="10">
        <f>C12+E12</f>
        <v/>
      </c>
      <c r="H12" s="17">
        <f>G12/(COUNTA(Clearances!$A:$A)-1)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COUNTIFS(Clearances!$E:$E,$A13,Clearances!$B:$B,"Tower A")</f>
        <v/>
      </c>
      <c r="D13" s="17">
        <f>C13/COUNTIF(Clearances!$B:$B,"Tower A")</f>
        <v/>
      </c>
      <c r="E13" s="10">
        <f>COUNTIFS(Clearances!$E:$E,$A13,Clearances!$B:$B,"Tower B")</f>
        <v/>
      </c>
      <c r="F13" s="17">
        <f>E13/COUNTIF(Clearances!$B:$B,"Tower B")</f>
        <v/>
      </c>
      <c r="G13" s="10">
        <f>C13+E13</f>
        <v/>
      </c>
      <c r="H13" s="17">
        <f>G13/(COUNTA(Clearances!$A:$A)-1)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COUNTIFS(Clearances!$E:$E,$A14,Clearances!$B:$B,"Tower A")</f>
        <v/>
      </c>
      <c r="D14" s="17">
        <f>C14/COUNTIF(Clearances!$B:$B,"Tower A")</f>
        <v/>
      </c>
      <c r="E14" s="10">
        <f>COUNTIFS(Clearances!$E:$E,$A14,Clearances!$B:$B,"Tower B")</f>
        <v/>
      </c>
      <c r="F14" s="17">
        <f>E14/COUNTIF(Clearances!$B:$B,"Tower B")</f>
        <v/>
      </c>
      <c r="G14" s="10">
        <f>C14+E14</f>
        <v/>
      </c>
      <c r="H14" s="17">
        <f>G14/(COUNTA(Clearances!$A:$A)-1)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COUNTIFS(Clearances!$E:$E,$A15,Clearances!$B:$B,"Tower A")</f>
        <v/>
      </c>
      <c r="D15" s="17">
        <f>C15/COUNTIF(Clearances!$B:$B,"Tower A")</f>
        <v/>
      </c>
      <c r="E15" s="10">
        <f>COUNTIFS(Clearances!$E:$E,$A15,Clearances!$B:$B,"Tower B")</f>
        <v/>
      </c>
      <c r="F15" s="17">
        <f>E15/COUNTIF(Clearances!$B:$B,"Tower B")</f>
        <v/>
      </c>
      <c r="G15" s="10">
        <f>C15+E15</f>
        <v/>
      </c>
      <c r="H15" s="17">
        <f>G15/(COUNTA(Clearances!$A:$A)-1)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COUNTIFS(Clearances!$E:$E,$A16,Clearances!$B:$B,"Tower A")</f>
        <v/>
      </c>
      <c r="D16" s="17">
        <f>C16/COUNTIF(Clearances!$B:$B,"Tower A")</f>
        <v/>
      </c>
      <c r="E16" s="10">
        <f>COUNTIFS(Clearances!$E:$E,$A16,Clearances!$B:$B,"Tower B")</f>
        <v/>
      </c>
      <c r="F16" s="17">
        <f>E16/COUNTIF(Clearances!$B:$B,"Tower B")</f>
        <v/>
      </c>
      <c r="G16" s="10">
        <f>C16+E16</f>
        <v/>
      </c>
      <c r="H16" s="17">
        <f>G16/(COUNTA(Clearances!$A:$A)-1)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COUNTIFS(Clearances!$E:$E,$A17,Clearances!$B:$B,"Tower A")</f>
        <v/>
      </c>
      <c r="D17" s="17">
        <f>C17/COUNTIF(Clearances!$B:$B,"Tower A")</f>
        <v/>
      </c>
      <c r="E17" s="10">
        <f>COUNTIFS(Clearances!$E:$E,$A17,Clearances!$B:$B,"Tower B")</f>
        <v/>
      </c>
      <c r="F17" s="17">
        <f>E17/COUNTIF(Clearances!$B:$B,"Tower B")</f>
        <v/>
      </c>
      <c r="G17" s="10">
        <f>C17+E17</f>
        <v/>
      </c>
      <c r="H17" s="17">
        <f>G17/(COUNTA(Clearances!$A:$A)-1)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COUNTIFS(Clearances!$E:$E,$A18,Clearances!$B:$B,"Tower A")</f>
        <v/>
      </c>
      <c r="D18" s="17">
        <f>C18/COUNTIF(Clearances!$B:$B,"Tower A")</f>
        <v/>
      </c>
      <c r="E18" s="10">
        <f>COUNTIFS(Clearances!$E:$E,$A18,Clearances!$B:$B,"Tower B")</f>
        <v/>
      </c>
      <c r="F18" s="17">
        <f>E18/COUNTIF(Clearances!$B:$B,"Tower B")</f>
        <v/>
      </c>
      <c r="G18" s="10">
        <f>C18+E18</f>
        <v/>
      </c>
      <c r="H18" s="17">
        <f>G18/(COUNTA(Clearances!$A:$A)-1)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COUNTIFS(Clearances!$E:$E,$A19,Clearances!$B:$B,"Tower A")</f>
        <v/>
      </c>
      <c r="D19" s="17">
        <f>C19/COUNTIF(Clearances!$B:$B,"Tower A")</f>
        <v/>
      </c>
      <c r="E19" s="10">
        <f>COUNTIFS(Clearances!$E:$E,$A19,Clearances!$B:$B,"Tower B")</f>
        <v/>
      </c>
      <c r="F19" s="17">
        <f>E19/COUNTIF(Clearances!$B:$B,"Tower B")</f>
        <v/>
      </c>
      <c r="G19" s="10">
        <f>C19+E19</f>
        <v/>
      </c>
      <c r="H19" s="17">
        <f>G19/(COUNTA(Clearances!$A:$A)-1)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COUNTIFS(Clearances!$E:$E,$A20,Clearances!$B:$B,"Tower A")</f>
        <v/>
      </c>
      <c r="D20" s="17">
        <f>C20/COUNTIF(Clearances!$B:$B,"Tower A")</f>
        <v/>
      </c>
      <c r="E20" s="10">
        <f>COUNTIFS(Clearances!$E:$E,$A20,Clearances!$B:$B,"Tower B")</f>
        <v/>
      </c>
      <c r="F20" s="17">
        <f>E20/COUNTIF(Clearances!$B:$B,"Tower B")</f>
        <v/>
      </c>
      <c r="G20" s="10">
        <f>C20+E20</f>
        <v/>
      </c>
      <c r="H20" s="17">
        <f>G20/(COUNTA(Clearances!$A:$A)-1)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COUNTIFS(Clearances!$E:$E,$A21,Clearances!$B:$B,"Tower A")</f>
        <v/>
      </c>
      <c r="D21" s="17">
        <f>C21/COUNTIF(Clearances!$B:$B,"Tower A")</f>
        <v/>
      </c>
      <c r="E21" s="10">
        <f>COUNTIFS(Clearances!$E:$E,$A21,Clearances!$B:$B,"Tower B")</f>
        <v/>
      </c>
      <c r="F21" s="17">
        <f>E21/COUNTIF(Clearances!$B:$B,"Tower B")</f>
        <v/>
      </c>
      <c r="G21" s="10">
        <f>C21+E21</f>
        <v/>
      </c>
      <c r="H21" s="17">
        <f>G21/(COUNTA(Clearances!$A:$A)-1)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COUNTIFS(Clearances!$E:$E,$A22,Clearances!$B:$B,"Tower A")</f>
        <v/>
      </c>
      <c r="D22" s="17">
        <f>C22/COUNTIF(Clearances!$B:$B,"Tower A")</f>
        <v/>
      </c>
      <c r="E22" s="10">
        <f>COUNTIFS(Clearances!$E:$E,$A22,Clearances!$B:$B,"Tower B")</f>
        <v/>
      </c>
      <c r="F22" s="17">
        <f>E22/COUNTIF(Clearances!$B:$B,"Tower B")</f>
        <v/>
      </c>
      <c r="G22" s="10">
        <f>C22+E22</f>
        <v/>
      </c>
      <c r="H22" s="17">
        <f>G22/(COUNTA(Clearances!$A:$A)-1)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COUNTIFS(Clearances!$E:$E,$A23,Clearances!$B:$B,"Tower A")</f>
        <v/>
      </c>
      <c r="D23" s="17">
        <f>C23/COUNTIF(Clearances!$B:$B,"Tower A")</f>
        <v/>
      </c>
      <c r="E23" s="10">
        <f>COUNTIFS(Clearances!$E:$E,$A23,Clearances!$B:$B,"Tower B")</f>
        <v/>
      </c>
      <c r="F23" s="17">
        <f>E23/COUNTIF(Clearances!$B:$B,"Tower B")</f>
        <v/>
      </c>
      <c r="G23" s="10">
        <f>C23+E23</f>
        <v/>
      </c>
      <c r="H23" s="17">
        <f>G23/(COUNTA(Clearances!$A:$A)-1)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COUNTIFS(Clearances!$E:$E,$A24,Clearances!$B:$B,"Tower A")</f>
        <v/>
      </c>
      <c r="D24" s="17">
        <f>C24/COUNTIF(Clearances!$B:$B,"Tower A")</f>
        <v/>
      </c>
      <c r="E24" s="10">
        <f>COUNTIFS(Clearances!$E:$E,$A24,Clearances!$B:$B,"Tower B")</f>
        <v/>
      </c>
      <c r="F24" s="17">
        <f>E24/COUNTIF(Clearances!$B:$B,"Tower B")</f>
        <v/>
      </c>
      <c r="G24" s="10">
        <f>C24+E24</f>
        <v/>
      </c>
      <c r="H24" s="17">
        <f>G24/(COUNTA(Clearances!$A:$A)-1)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COUNTIFS(Clearances!$E:$E,$A25,Clearances!$B:$B,"Tower A")</f>
        <v/>
      </c>
      <c r="D25" s="17">
        <f>C25/COUNTIF(Clearances!$B:$B,"Tower A")</f>
        <v/>
      </c>
      <c r="E25" s="10">
        <f>COUNTIFS(Clearances!$E:$E,$A25,Clearances!$B:$B,"Tower B")</f>
        <v/>
      </c>
      <c r="F25" s="17">
        <f>E25/COUNTIF(Clearances!$B:$B,"Tower B")</f>
        <v/>
      </c>
      <c r="G25" s="10">
        <f>C25+E25</f>
        <v/>
      </c>
      <c r="H25" s="17">
        <f>G25/(COUNTA(Clearances!$A:$A)-1)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COUNTIFS(Clearances!$E:$E,$A26,Clearances!$B:$B,"Tower A")</f>
        <v/>
      </c>
      <c r="D26" s="17">
        <f>C26/COUNTIF(Clearances!$B:$B,"Tower A")</f>
        <v/>
      </c>
      <c r="E26" s="10">
        <f>COUNTIFS(Clearances!$E:$E,$A26,Clearances!$B:$B,"Tower B")</f>
        <v/>
      </c>
      <c r="F26" s="17">
        <f>E26/COUNTIF(Clearances!$B:$B,"Tower B")</f>
        <v/>
      </c>
      <c r="G26" s="10">
        <f>C26+E26</f>
        <v/>
      </c>
      <c r="H26" s="17">
        <f>G26/(COUNTA(Clearances!$A:$A)-1)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COUNTIFS(Clearances!$E:$E,$A27,Clearances!$B:$B,"Tower A")</f>
        <v/>
      </c>
      <c r="D27" s="17">
        <f>C27/COUNTIF(Clearances!$B:$B,"Tower A")</f>
        <v/>
      </c>
      <c r="E27" s="10">
        <f>COUNTIFS(Clearances!$E:$E,$A27,Clearances!$B:$B,"Tower B")</f>
        <v/>
      </c>
      <c r="F27" s="17">
        <f>E27/COUNTIF(Clearances!$B:$B,"Tower B")</f>
        <v/>
      </c>
      <c r="G27" s="10">
        <f>C27+E27</f>
        <v/>
      </c>
      <c r="H27" s="17">
        <f>G27/(COUNTA(Clearances!$A:$A)-1)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COUNTIFS(Clearances!$E:$E,$A28,Clearances!$B:$B,"Tower A")</f>
        <v/>
      </c>
      <c r="D28" s="17">
        <f>C28/COUNTIF(Clearances!$B:$B,"Tower A")</f>
        <v/>
      </c>
      <c r="E28" s="10">
        <f>COUNTIFS(Clearances!$E:$E,$A28,Clearances!$B:$B,"Tower B")</f>
        <v/>
      </c>
      <c r="F28" s="17">
        <f>E28/COUNTIF(Clearances!$B:$B,"Tower B")</f>
        <v/>
      </c>
      <c r="G28" s="10">
        <f>C28+E28</f>
        <v/>
      </c>
      <c r="H28" s="17">
        <f>G28/(COUNTA(Clearances!$A:$A)-1)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COUNTIFS(Clearances!$E:$E,$A29,Clearances!$B:$B,"Tower A")</f>
        <v/>
      </c>
      <c r="D29" s="17">
        <f>C29/COUNTIF(Clearances!$B:$B,"Tower A")</f>
        <v/>
      </c>
      <c r="E29" s="10">
        <f>COUNTIFS(Clearances!$E:$E,$A29,Clearances!$B:$B,"Tower B")</f>
        <v/>
      </c>
      <c r="F29" s="17">
        <f>E29/COUNTIF(Clearances!$B:$B,"Tower B")</f>
        <v/>
      </c>
      <c r="G29" s="10">
        <f>C29+E29</f>
        <v/>
      </c>
      <c r="H29" s="17">
        <f>G29/(COUNTA(Clearances!$A:$A)-1)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COUNTIFS(Clearances!$E:$E,$A30,Clearances!$B:$B,"Tower A")</f>
        <v/>
      </c>
      <c r="D30" s="17">
        <f>C30/COUNTIF(Clearances!$B:$B,"Tower A")</f>
        <v/>
      </c>
      <c r="E30" s="10">
        <f>COUNTIFS(Clearances!$E:$E,$A30,Clearances!$B:$B,"Tower B")</f>
        <v/>
      </c>
      <c r="F30" s="17">
        <f>E30/COUNTIF(Clearances!$B:$B,"Tower B")</f>
        <v/>
      </c>
      <c r="G30" s="10">
        <f>C30+E30</f>
        <v/>
      </c>
      <c r="H30" s="17">
        <f>G30/(COUNTA(Clearances!$A:$A)-1)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COUNTIFS(Clearances!$E:$E,$A31,Clearances!$B:$B,"Tower A")</f>
        <v/>
      </c>
      <c r="D31" s="17">
        <f>C31/COUNTIF(Clearances!$B:$B,"Tower A")</f>
        <v/>
      </c>
      <c r="E31" s="10">
        <f>COUNTIFS(Clearances!$E:$E,$A31,Clearances!$B:$B,"Tower B")</f>
        <v/>
      </c>
      <c r="F31" s="17">
        <f>E31/COUNTIF(Clearances!$B:$B,"Tower B")</f>
        <v/>
      </c>
      <c r="G31" s="10">
        <f>C31+E31</f>
        <v/>
      </c>
      <c r="H31" s="17">
        <f>G31/(COUNTA(Clearances!$A:$A)-1)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COUNTIFS(Clearances!$E:$E,$A32,Clearances!$B:$B,"Tower A")</f>
        <v/>
      </c>
      <c r="D32" s="17">
        <f>C32/COUNTIF(Clearances!$B:$B,"Tower A")</f>
        <v/>
      </c>
      <c r="E32" s="10">
        <f>COUNTIFS(Clearances!$E:$E,$A32,Clearances!$B:$B,"Tower B")</f>
        <v/>
      </c>
      <c r="F32" s="17">
        <f>E32/COUNTIF(Clearances!$B:$B,"Tower B")</f>
        <v/>
      </c>
      <c r="G32" s="10">
        <f>C32+E32</f>
        <v/>
      </c>
      <c r="H32" s="17">
        <f>G32/(COUNTA(Clearances!$A:$A)-1)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COUNTIFS(Clearances!$E:$E,$A33,Clearances!$B:$B,"Tower A")</f>
        <v/>
      </c>
      <c r="D33" s="17">
        <f>C33/COUNTIF(Clearances!$B:$B,"Tower A")</f>
        <v/>
      </c>
      <c r="E33" s="10">
        <f>COUNTIFS(Clearances!$E:$E,$A33,Clearances!$B:$B,"Tower B")</f>
        <v/>
      </c>
      <c r="F33" s="17">
        <f>E33/COUNTIF(Clearances!$B:$B,"Tower B")</f>
        <v/>
      </c>
      <c r="G33" s="10">
        <f>C33+E33</f>
        <v/>
      </c>
      <c r="H33" s="17">
        <f>G33/(COUNTA(Clearances!$A:$A)-1)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COUNTIFS(Clearances!$E:$E,$A34,Clearances!$B:$B,"Tower A")</f>
        <v/>
      </c>
      <c r="D34" s="17">
        <f>C34/COUNTIF(Clearances!$B:$B,"Tower A")</f>
        <v/>
      </c>
      <c r="E34" s="10">
        <f>COUNTIFS(Clearances!$E:$E,$A34,Clearances!$B:$B,"Tower B")</f>
        <v/>
      </c>
      <c r="F34" s="17">
        <f>E34/COUNTIF(Clearances!$B:$B,"Tower B")</f>
        <v/>
      </c>
      <c r="G34" s="10">
        <f>C34+E34</f>
        <v/>
      </c>
      <c r="H34" s="17">
        <f>G34/(COUNTA(Clearances!$A:$A)-1)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COUNTIFS(Clearances!$E:$E,$A35,Clearances!$B:$B,"Tower A")</f>
        <v/>
      </c>
      <c r="D35" s="17">
        <f>C35/COUNTIF(Clearances!$B:$B,"Tower A")</f>
        <v/>
      </c>
      <c r="E35" s="10">
        <f>COUNTIFS(Clearances!$E:$E,$A35,Clearances!$B:$B,"Tower B")</f>
        <v/>
      </c>
      <c r="F35" s="17">
        <f>E35/COUNTIF(Clearances!$B:$B,"Tower B")</f>
        <v/>
      </c>
      <c r="G35" s="10">
        <f>C35+E35</f>
        <v/>
      </c>
      <c r="H35" s="17">
        <f>G35/(COUNTA(Clearances!$A:$A)-1)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COUNTIFS(Clearances!$E:$E,$A36,Clearances!$B:$B,"Tower A")</f>
        <v/>
      </c>
      <c r="D36" s="17">
        <f>C36/COUNTIF(Clearances!$B:$B,"Tower A")</f>
        <v/>
      </c>
      <c r="E36" s="10">
        <f>COUNTIFS(Clearances!$E:$E,$A36,Clearances!$B:$B,"Tower B")</f>
        <v/>
      </c>
      <c r="F36" s="17">
        <f>E36/COUNTIF(Clearances!$B:$B,"Tower B")</f>
        <v/>
      </c>
      <c r="G36" s="10">
        <f>C36+E36</f>
        <v/>
      </c>
      <c r="H36" s="17">
        <f>G36/(COUNTA(Clearances!$A:$A)-1)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COUNTIFS(Clearances!$E:$E,$A37,Clearances!$B:$B,"Tower A")</f>
        <v/>
      </c>
      <c r="D37" s="17">
        <f>C37/COUNTIF(Clearances!$B:$B,"Tower A")</f>
        <v/>
      </c>
      <c r="E37" s="10">
        <f>COUNTIFS(Clearances!$E:$E,$A37,Clearances!$B:$B,"Tower B")</f>
        <v/>
      </c>
      <c r="F37" s="17">
        <f>E37/COUNTIF(Clearances!$B:$B,"Tower B")</f>
        <v/>
      </c>
      <c r="G37" s="10">
        <f>C37+E37</f>
        <v/>
      </c>
      <c r="H37" s="17">
        <f>G37/(COUNTA(Clearances!$A:$A)-1)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COUNTIFS(Clearances!$E:$E,$A38,Clearances!$B:$B,"Tower A")</f>
        <v/>
      </c>
      <c r="D38" s="17">
        <f>C38/COUNTIF(Clearances!$B:$B,"Tower A")</f>
        <v/>
      </c>
      <c r="E38" s="10">
        <f>COUNTIFS(Clearances!$E:$E,$A38,Clearances!$B:$B,"Tower B")</f>
        <v/>
      </c>
      <c r="F38" s="17">
        <f>E38/COUNTIF(Clearances!$B:$B,"Tower B")</f>
        <v/>
      </c>
      <c r="G38" s="10">
        <f>C38+E38</f>
        <v/>
      </c>
      <c r="H38" s="17">
        <f>G38/(COUNTA(Clearances!$A:$A)-1)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COUNTIFS(Clearances!$E:$E,$A39,Clearances!$B:$B,"Tower A")</f>
        <v/>
      </c>
      <c r="D39" s="17">
        <f>C39/COUNTIF(Clearances!$B:$B,"Tower A")</f>
        <v/>
      </c>
      <c r="E39" s="10">
        <f>COUNTIFS(Clearances!$E:$E,$A39,Clearances!$B:$B,"Tower B")</f>
        <v/>
      </c>
      <c r="F39" s="17">
        <f>E39/COUNTIF(Clearances!$B:$B,"Tower B")</f>
        <v/>
      </c>
      <c r="G39" s="10">
        <f>C39+E39</f>
        <v/>
      </c>
      <c r="H39" s="17">
        <f>G39/(COUNTA(Clearances!$A:$A)-1)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COUNTIFS(Clearances!$E:$E,$A40,Clearances!$B:$B,"Tower A")</f>
        <v/>
      </c>
      <c r="D40" s="17">
        <f>C40/COUNTIF(Clearances!$B:$B,"Tower A")</f>
        <v/>
      </c>
      <c r="E40" s="10">
        <f>COUNTIFS(Clearances!$E:$E,$A40,Clearances!$B:$B,"Tower B")</f>
        <v/>
      </c>
      <c r="F40" s="17">
        <f>E40/COUNTIF(Clearances!$B:$B,"Tower B")</f>
        <v/>
      </c>
      <c r="G40" s="10">
        <f>C40+E40</f>
        <v/>
      </c>
      <c r="H40" s="17">
        <f>G40/(COUNTA(Clearances!$A:$A)-1)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COUNTIFS(Clearances!$E:$E,$A41,Clearances!$B:$B,"Tower A")</f>
        <v/>
      </c>
      <c r="D41" s="17">
        <f>C41/COUNTIF(Clearances!$B:$B,"Tower A")</f>
        <v/>
      </c>
      <c r="E41" s="10">
        <f>COUNTIFS(Clearances!$E:$E,$A41,Clearances!$B:$B,"Tower B")</f>
        <v/>
      </c>
      <c r="F41" s="17">
        <f>E41/COUNTIF(Clearances!$B:$B,"Tower B")</f>
        <v/>
      </c>
      <c r="G41" s="10">
        <f>C41+E41</f>
        <v/>
      </c>
      <c r="H41" s="17">
        <f>G41/(COUNTA(Clearances!$A:$A)-1)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COUNTIFS(Clearances!$E:$E,$A42,Clearances!$B:$B,"Tower A")</f>
        <v/>
      </c>
      <c r="D42" s="17">
        <f>C42/COUNTIF(Clearances!$B:$B,"Tower A")</f>
        <v/>
      </c>
      <c r="E42" s="10">
        <f>COUNTIFS(Clearances!$E:$E,$A42,Clearances!$B:$B,"Tower B")</f>
        <v/>
      </c>
      <c r="F42" s="17">
        <f>E42/COUNTIF(Clearances!$B:$B,"Tower B")</f>
        <v/>
      </c>
      <c r="G42" s="10">
        <f>C42+E42</f>
        <v/>
      </c>
      <c r="H42" s="17">
        <f>G42/(COUNTA(Clearances!$A:$A)-1)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COUNTIFS(Clearances!$E:$E,$A43,Clearances!$B:$B,"Tower A")</f>
        <v/>
      </c>
      <c r="D43" s="17">
        <f>C43/COUNTIF(Clearances!$B:$B,"Tower A")</f>
        <v/>
      </c>
      <c r="E43" s="10">
        <f>COUNTIFS(Clearances!$E:$E,$A43,Clearances!$B:$B,"Tower B")</f>
        <v/>
      </c>
      <c r="F43" s="17">
        <f>E43/COUNTIF(Clearances!$B:$B,"Tower B")</f>
        <v/>
      </c>
      <c r="G43" s="10">
        <f>C43+E43</f>
        <v/>
      </c>
      <c r="H43" s="17">
        <f>G43/(COUNTA(Clearances!$A:$A)-1)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COUNTIFS(Clearances!$E:$E,$A44,Clearances!$B:$B,"Tower A")</f>
        <v/>
      </c>
      <c r="D44" s="17">
        <f>C44/COUNTIF(Clearances!$B:$B,"Tower A")</f>
        <v/>
      </c>
      <c r="E44" s="10">
        <f>COUNTIFS(Clearances!$E:$E,$A44,Clearances!$B:$B,"Tower B")</f>
        <v/>
      </c>
      <c r="F44" s="17">
        <f>E44/COUNTIF(Clearances!$B:$B,"Tower B")</f>
        <v/>
      </c>
      <c r="G44" s="10">
        <f>C44+E44</f>
        <v/>
      </c>
      <c r="H44" s="17">
        <f>G44/(COUNTA(Clearances!$A:$A)-1)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COUNTIFS(Clearances!$E:$E,$A45,Clearances!$B:$B,"Tower A")</f>
        <v/>
      </c>
      <c r="D45" s="17">
        <f>C45/COUNTIF(Clearances!$B:$B,"Tower A")</f>
        <v/>
      </c>
      <c r="E45" s="10">
        <f>COUNTIFS(Clearances!$E:$E,$A45,Clearances!$B:$B,"Tower B")</f>
        <v/>
      </c>
      <c r="F45" s="17">
        <f>E45/COUNTIF(Clearances!$B:$B,"Tower B")</f>
        <v/>
      </c>
      <c r="G45" s="10">
        <f>C45+E45</f>
        <v/>
      </c>
      <c r="H45" s="17">
        <f>G45/(COUNTA(Clearances!$A:$A)-1)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COUNTIFS(Clearances!$E:$E,$A46,Clearances!$B:$B,"Tower A")</f>
        <v/>
      </c>
      <c r="D46" s="17">
        <f>C46/COUNTIF(Clearances!$B:$B,"Tower A")</f>
        <v/>
      </c>
      <c r="E46" s="10">
        <f>COUNTIFS(Clearances!$E:$E,$A46,Clearances!$B:$B,"Tower B")</f>
        <v/>
      </c>
      <c r="F46" s="17">
        <f>E46/COUNTIF(Clearances!$B:$B,"Tower B")</f>
        <v/>
      </c>
      <c r="G46" s="10">
        <f>C46+E46</f>
        <v/>
      </c>
      <c r="H46" s="17">
        <f>G46/(COUNTA(Clearances!$A:$A)-1)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COUNTIFS(Clearances!$E:$E,$A47,Clearances!$B:$B,"Tower A")</f>
        <v/>
      </c>
      <c r="D47" s="17">
        <f>C47/COUNTIF(Clearances!$B:$B,"Tower A")</f>
        <v/>
      </c>
      <c r="E47" s="10">
        <f>COUNTIFS(Clearances!$E:$E,$A47,Clearances!$B:$B,"Tower B")</f>
        <v/>
      </c>
      <c r="F47" s="17">
        <f>E47/COUNTIF(Clearances!$B:$B,"Tower B")</f>
        <v/>
      </c>
      <c r="G47" s="10">
        <f>C47+E47</f>
        <v/>
      </c>
      <c r="H47" s="17">
        <f>G47/(COUNTA(Clearances!$A:$A)-1)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COUNTIFS(Clearances!$E:$E,$A48,Clearances!$B:$B,"Tower A")</f>
        <v/>
      </c>
      <c r="D48" s="17">
        <f>C48/COUNTIF(Clearances!$B:$B,"Tower A")</f>
        <v/>
      </c>
      <c r="E48" s="10">
        <f>COUNTIFS(Clearances!$E:$E,$A48,Clearances!$B:$B,"Tower B")</f>
        <v/>
      </c>
      <c r="F48" s="17">
        <f>E48/COUNTIF(Clearances!$B:$B,"Tower B")</f>
        <v/>
      </c>
      <c r="G48" s="10">
        <f>C48+E48</f>
        <v/>
      </c>
      <c r="H48" s="17">
        <f>G48/(COUNTA(Clearances!$A:$A)-1)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COUNTIFS(Clearances!$E:$E,$A49,Clearances!$B:$B,"Tower A")</f>
        <v/>
      </c>
      <c r="D49" s="17">
        <f>C49/COUNTIF(Clearances!$B:$B,"Tower A")</f>
        <v/>
      </c>
      <c r="E49" s="10">
        <f>COUNTIFS(Clearances!$E:$E,$A49,Clearances!$B:$B,"Tower B")</f>
        <v/>
      </c>
      <c r="F49" s="17">
        <f>E49/COUNTIF(Clearances!$B:$B,"Tower B")</f>
        <v/>
      </c>
      <c r="G49" s="10">
        <f>C49+E49</f>
        <v/>
      </c>
      <c r="H49" s="17">
        <f>G49/(COUNTA(Clearances!$A:$A)-1)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COUNTIFS(Clearances!$E:$E,$A50,Clearances!$B:$B,"Tower A")</f>
        <v/>
      </c>
      <c r="D50" s="17">
        <f>C50/COUNTIF(Clearances!$B:$B,"Tower A")</f>
        <v/>
      </c>
      <c r="E50" s="10">
        <f>COUNTIFS(Clearances!$E:$E,$A50,Clearances!$B:$B,"Tower B")</f>
        <v/>
      </c>
      <c r="F50" s="17">
        <f>E50/COUNTIF(Clearances!$B:$B,"Tower B")</f>
        <v/>
      </c>
      <c r="G50" s="10">
        <f>C50+E50</f>
        <v/>
      </c>
      <c r="H50" s="17">
        <f>G50/(COUNTA(Clearances!$A:$A)-1)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COUNTIFS(Clearances!$E:$E,$A51,Clearances!$B:$B,"Tower A")</f>
        <v/>
      </c>
      <c r="D51" s="17">
        <f>C51/COUNTIF(Clearances!$B:$B,"Tower A")</f>
        <v/>
      </c>
      <c r="E51" s="10">
        <f>COUNTIFS(Clearances!$E:$E,$A51,Clearances!$B:$B,"Tower B")</f>
        <v/>
      </c>
      <c r="F51" s="17">
        <f>E51/COUNTIF(Clearances!$B:$B,"Tower B")</f>
        <v/>
      </c>
      <c r="G51" s="10">
        <f>C51+E51</f>
        <v/>
      </c>
      <c r="H51" s="17">
        <f>G51/(COUNTA(Clearances!$A:$A)-1)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COUNTIFS(Clearances!$E:$E,$A52,Clearances!$B:$B,"Tower A")</f>
        <v/>
      </c>
      <c r="D52" s="17">
        <f>C52/COUNTIF(Clearances!$B:$B,"Tower A")</f>
        <v/>
      </c>
      <c r="E52" s="10">
        <f>COUNTIFS(Clearances!$E:$E,$A52,Clearances!$B:$B,"Tower B")</f>
        <v/>
      </c>
      <c r="F52" s="17">
        <f>E52/COUNTIF(Clearances!$B:$B,"Tower B")</f>
        <v/>
      </c>
      <c r="G52" s="10">
        <f>C52+E52</f>
        <v/>
      </c>
      <c r="H52" s="17">
        <f>G52/(COUNTA(Clearances!$A:$A)-1)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COUNTIFS(Clearances!$E:$E,$A53,Clearances!$B:$B,"Tower A")</f>
        <v/>
      </c>
      <c r="D53" s="17">
        <f>C53/COUNTIF(Clearances!$B:$B,"Tower A")</f>
        <v/>
      </c>
      <c r="E53" s="10">
        <f>COUNTIFS(Clearances!$E:$E,$A53,Clearances!$B:$B,"Tower B")</f>
        <v/>
      </c>
      <c r="F53" s="17">
        <f>E53/COUNTIF(Clearances!$B:$B,"Tower B")</f>
        <v/>
      </c>
      <c r="G53" s="10">
        <f>C53+E53</f>
        <v/>
      </c>
      <c r="H53" s="17">
        <f>G53/(COUNTA(Clearances!$A:$A)-1)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COUNTIFS(Clearances!$E:$E,$A54,Clearances!$B:$B,"Tower A")</f>
        <v/>
      </c>
      <c r="D54" s="17">
        <f>C54/COUNTIF(Clearances!$B:$B,"Tower A")</f>
        <v/>
      </c>
      <c r="E54" s="10">
        <f>COUNTIFS(Clearances!$E:$E,$A54,Clearances!$B:$B,"Tower B")</f>
        <v/>
      </c>
      <c r="F54" s="17">
        <f>E54/COUNTIF(Clearances!$B:$B,"Tower B")</f>
        <v/>
      </c>
      <c r="G54" s="10">
        <f>C54+E54</f>
        <v/>
      </c>
      <c r="H54" s="17">
        <f>G54/(COUNTA(Clearances!$A:$A)-1)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COUNTIFS(Clearances!$E:$E,$A55,Clearances!$B:$B,"Tower A")</f>
        <v/>
      </c>
      <c r="D55" s="17">
        <f>C55/COUNTIF(Clearances!$B:$B,"Tower A")</f>
        <v/>
      </c>
      <c r="E55" s="10">
        <f>COUNTIFS(Clearances!$E:$E,$A55,Clearances!$B:$B,"Tower B")</f>
        <v/>
      </c>
      <c r="F55" s="17">
        <f>E55/COUNTIF(Clearances!$B:$B,"Tower B")</f>
        <v/>
      </c>
      <c r="G55" s="10">
        <f>C55+E55</f>
        <v/>
      </c>
      <c r="H55" s="17">
        <f>G55/(COUNTA(Clearances!$A:$A)-1)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COUNTIFS(Clearances!$E:$E,$A56,Clearances!$B:$B,"Tower A")</f>
        <v/>
      </c>
      <c r="D56" s="17">
        <f>C56/COUNTIF(Clearances!$B:$B,"Tower A")</f>
        <v/>
      </c>
      <c r="E56" s="10">
        <f>COUNTIFS(Clearances!$E:$E,$A56,Clearances!$B:$B,"Tower B")</f>
        <v/>
      </c>
      <c r="F56" s="17">
        <f>E56/COUNTIF(Clearances!$B:$B,"Tower B")</f>
        <v/>
      </c>
      <c r="G56" s="10">
        <f>C56+E56</f>
        <v/>
      </c>
      <c r="H56" s="17">
        <f>G56/(COUNTA(Clearances!$A:$A)-1)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COUNTIFS(Clearances!$E:$E,$A57,Clearances!$B:$B,"Tower A")</f>
        <v/>
      </c>
      <c r="D57" s="17">
        <f>C57/COUNTIF(Clearances!$B:$B,"Tower A")</f>
        <v/>
      </c>
      <c r="E57" s="10">
        <f>COUNTIFS(Clearances!$E:$E,$A57,Clearances!$B:$B,"Tower B")</f>
        <v/>
      </c>
      <c r="F57" s="17">
        <f>E57/COUNTIF(Clearances!$B:$B,"Tower B")</f>
        <v/>
      </c>
      <c r="G57" s="10">
        <f>C57+E57</f>
        <v/>
      </c>
      <c r="H57" s="17">
        <f>G57/(COUNTA(Clearances!$A:$A)-1)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COUNTIFS(Clearances!$E:$E,$A58,Clearances!$B:$B,"Tower A")</f>
        <v/>
      </c>
      <c r="D58" s="17">
        <f>C58/COUNTIF(Clearances!$B:$B,"Tower A")</f>
        <v/>
      </c>
      <c r="E58" s="10">
        <f>COUNTIFS(Clearances!$E:$E,$A58,Clearances!$B:$B,"Tower B")</f>
        <v/>
      </c>
      <c r="F58" s="17">
        <f>E58/COUNTIF(Clearances!$B:$B,"Tower B")</f>
        <v/>
      </c>
      <c r="G58" s="10">
        <f>C58+E58</f>
        <v/>
      </c>
      <c r="H58" s="17">
        <f>G58/(COUNTA(Clearances!$A:$A)-1)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COUNTIFS(Clearances!$E:$E,$A59,Clearances!$B:$B,"Tower A")</f>
        <v/>
      </c>
      <c r="D59" s="17">
        <f>C59/COUNTIF(Clearances!$B:$B,"Tower A")</f>
        <v/>
      </c>
      <c r="E59" s="10">
        <f>COUNTIFS(Clearances!$E:$E,$A59,Clearances!$B:$B,"Tower B")</f>
        <v/>
      </c>
      <c r="F59" s="17">
        <f>E59/COUNTIF(Clearances!$B:$B,"Tower B")</f>
        <v/>
      </c>
      <c r="G59" s="10">
        <f>C59+E59</f>
        <v/>
      </c>
      <c r="H59" s="17">
        <f>G59/(COUNTA(Clearances!$A:$A)-1)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COUNTIFS(Clearances!$E:$E,$A60,Clearances!$B:$B,"Tower A")</f>
        <v/>
      </c>
      <c r="D60" s="17">
        <f>C60/COUNTIF(Clearances!$B:$B,"Tower A")</f>
        <v/>
      </c>
      <c r="E60" s="10">
        <f>COUNTIFS(Clearances!$E:$E,$A60,Clearances!$B:$B,"Tower B")</f>
        <v/>
      </c>
      <c r="F60" s="17">
        <f>E60/COUNTIF(Clearances!$B:$B,"Tower B")</f>
        <v/>
      </c>
      <c r="G60" s="10">
        <f>C60+E60</f>
        <v/>
      </c>
      <c r="H60" s="17">
        <f>G60/(COUNTA(Clearances!$A:$A)-1)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COUNTIFS(Clearances!$E:$E,$A61,Clearances!$B:$B,"Tower A")</f>
        <v/>
      </c>
      <c r="D61" s="17">
        <f>C61/COUNTIF(Clearances!$B:$B,"Tower A")</f>
        <v/>
      </c>
      <c r="E61" s="10">
        <f>COUNTIFS(Clearances!$E:$E,$A61,Clearances!$B:$B,"Tower B")</f>
        <v/>
      </c>
      <c r="F61" s="17">
        <f>E61/COUNTIF(Clearances!$B:$B,"Tower B")</f>
        <v/>
      </c>
      <c r="G61" s="10">
        <f>C61+E61</f>
        <v/>
      </c>
      <c r="H61" s="17">
        <f>G61/(COUNTA(Clearances!$A:$A)-1)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COUNTIFS(Clearances!$E:$E,$A62,Clearances!$B:$B,"Tower A")</f>
        <v/>
      </c>
      <c r="D62" s="17">
        <f>C62/COUNTIF(Clearances!$B:$B,"Tower A")</f>
        <v/>
      </c>
      <c r="E62" s="10">
        <f>COUNTIFS(Clearances!$E:$E,$A62,Clearances!$B:$B,"Tower B")</f>
        <v/>
      </c>
      <c r="F62" s="17">
        <f>E62/COUNTIF(Clearances!$B:$B,"Tower B")</f>
        <v/>
      </c>
      <c r="G62" s="10">
        <f>C62+E62</f>
        <v/>
      </c>
      <c r="H62" s="17">
        <f>G62/(COUNTA(Clearances!$A:$A)-1)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60" customWidth="1" style="10" min="3" max="3"/>
    <col width="1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inlineStr">
        <is>
          <t>Counts as</t>
        </is>
      </c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</t>
        </is>
      </c>
      <c r="B2" s="29" t="inlineStr">
        <is>
          <t>#00B050</t>
        </is>
      </c>
      <c r="C2" s="10" t="inlineStr">
        <is>
          <t>Approved</t>
        </is>
      </c>
      <c r="D2" s="10" t="inlineStr">
        <is>
          <t>approved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</t>
        </is>
      </c>
      <c r="B3" s="29" t="inlineStr">
        <is>
          <t>#00B050</t>
        </is>
      </c>
      <c r="C3" s="10" t="inlineStr">
        <is>
          <t>Approved as Noted</t>
        </is>
      </c>
      <c r="D3" s="10" t="inlineStr">
        <is>
          <t>approved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UR</t>
        </is>
      </c>
      <c r="B4" s="30" t="inlineStr">
        <is>
          <t>#FFC000</t>
        </is>
      </c>
      <c r="C4" s="10" t="inlineStr">
        <is>
          <t>Under Review</t>
        </is>
      </c>
      <c r="D4" s="10" t="inlineStr">
        <is>
          <t>review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C</t>
        </is>
      </c>
      <c r="B5" s="31" t="inlineStr">
        <is>
          <t>#FF0000</t>
        </is>
      </c>
      <c r="C5" s="10" t="inlineStr">
        <is>
          <t>Code C - Revise &amp; Resubmit</t>
        </is>
      </c>
      <c r="D5" s="10" t="inlineStr">
        <is>
          <t>revise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TBS</t>
        </is>
      </c>
      <c r="B6" s="32" t="inlineStr">
        <is>
          <t>#BFBFBF</t>
        </is>
      </c>
      <c r="C6" s="10" t="inlineStr">
        <is>
          <t>To Be Submitted</t>
        </is>
      </c>
      <c r="D6" s="10" t="inlineStr">
        <is>
          <t>pending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Coordinated</t>
        </is>
      </c>
      <c r="B7" s="34" t="inlineStr">
        <is>
          <t>#B5E6A2</t>
        </is>
      </c>
      <c r="C7" s="10" t="inlineStr">
        <is>
          <t>Coordination sketch provided (shown instead of a non-approved MEP/ELV status)</t>
        </is>
      </c>
      <c r="D7" s="10" t="inlineStr">
        <is>
          <t>coordinated</t>
        </is>
      </c>
    </row>
    <row r="8" ht="15" customHeight="1" s="11">
      <c r="A8" s="28" t="n"/>
      <c r="B8" s="28" t="n"/>
      <c r="C8" s="22" t="n"/>
      <c r="D8" s="22" t="n"/>
    </row>
    <row r="9" ht="15" customHeight="1" s="11">
      <c r="A9" s="28" t="n"/>
      <c r="B9" s="28" t="n"/>
      <c r="C9" s="28" t="n"/>
      <c r="D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26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2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2026-10-09T12:03:06Z</dcterms:modified>
  <cp:revision>0</cp:revision>
</cp:coreProperties>
</file>