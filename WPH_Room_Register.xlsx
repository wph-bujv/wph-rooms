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dd-mmm-yyyy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1F3A5F"/>
      <sz val="11"/>
    </font>
  </fonts>
  <fills count="9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00FFF9E6"/>
      </patternFill>
    </fill>
    <fill>
      <patternFill patternType="solid">
        <fgColor rgb="0000B050"/>
      </patternFill>
    </fill>
    <fill>
      <patternFill patternType="solid">
        <fgColor rgb="00FFC000"/>
      </patternFill>
    </fill>
    <fill>
      <patternFill patternType="solid">
        <fgColor rgb="00FF0000"/>
      </patternFill>
    </fill>
    <fill>
      <patternFill patternType="solid">
        <fgColor rgb="00BFBFBF"/>
      </patternFill>
    </fill>
    <fill>
      <patternFill patternType="solid">
        <fgColor rgb="00B6E3A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4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1" applyAlignment="1" applyProtection="1" pivotButton="0" quotePrefix="0" xfId="0">
      <alignment horizontal="general" vertical="bottom"/>
      <protection locked="0" hidden="0"/>
    </xf>
    <xf numFmtId="166" fontId="0" fillId="3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00BFECCB"/>
        </patternFill>
      </fill>
    </dxf>
    <dxf>
      <font>
        <b val="1"/>
        <color rgb="00FFFFFF"/>
      </font>
      <fill>
        <patternFill patternType="solid">
          <fgColor rgb="0000B050"/>
        </patternFill>
      </fill>
    </dxf>
    <dxf>
      <font>
        <b val="1"/>
        <color rgb="00000000"/>
      </font>
      <fill>
        <patternFill patternType="solid">
          <fgColor rgb="00FFC000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  <dxf>
      <font>
        <b val="1"/>
        <color rgb="00000000"/>
      </font>
      <fill>
        <patternFill patternType="solid">
          <fgColor rgb="00BFBFBF"/>
        </patternFill>
      </fill>
    </dxf>
    <dxf>
      <fill>
        <patternFill patternType="solid">
          <fgColor rgb="00B6E3A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Shop Drawings sheet = default per room type (e.g. ID shop drawing status of K01C applies to every K01C room).</t>
        </is>
      </c>
    </row>
    <row r="11" ht="15" customHeight="1" s="11">
      <c r="A11" s="13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 s="11">
      <c r="A12" s="13" t="inlineStr">
        <is>
          <t>• Room counts and percentages are calculated automatically by the page from the Clearances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Clearances (per room) or Shop Drawings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room tag from the DSA typology drawings (e.g. AL02G03) is kept in the column "Room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20" t="inlineStr">
        <is>
          <t>SHEET PROTECTION</t>
        </is>
      </c>
    </row>
    <row r="31">
      <c r="A31" s="21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20" t="inlineStr">
        <is>
          <t>COORDINATION SKETCH</t>
        </is>
      </c>
    </row>
    <row r="34">
      <c r="A34" s="21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20" t="inlineStr">
        <is>
          <t>STATUS CODES (Shop Drawings sheet)</t>
        </is>
      </c>
    </row>
    <row r="37">
      <c r="A37" s="21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Room Tag</t>
        </is>
      </c>
      <c r="E1" s="15" t="inlineStr">
        <is>
          <t>Room Type</t>
        </is>
      </c>
      <c r="F1" s="15" t="inlineStr">
        <is>
          <t>Room Category</t>
        </is>
      </c>
      <c r="G1" s="15" t="inlineStr">
        <is>
          <t>MEP Clearance</t>
        </is>
      </c>
      <c r="H1" s="15" t="inlineStr">
        <is>
          <t>MEP Clearance Date</t>
        </is>
      </c>
      <c r="I1" s="15" t="inlineStr">
        <is>
          <t>ELV Clearance</t>
        </is>
      </c>
      <c r="J1" s="15" t="inlineStr">
        <is>
          <t>ELV Clearance Date</t>
        </is>
      </c>
      <c r="K1" s="1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G2" s="23" t="n"/>
      <c r="H2" s="24" t="n"/>
      <c r="I2" s="23" t="n"/>
      <c r="J2" s="24" t="n"/>
      <c r="K2" s="23" t="n"/>
      <c r="L2" s="10" t="inlineStr">
        <is>
          <t>Type per Room Matrix (drawing shows BS01)</t>
        </is>
      </c>
      <c r="M2" s="10">
        <f>Config!$B$3&amp;"?room="&amp;A2</f>
        <v/>
      </c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25" t="inlineStr">
        <is>
          <t>Provided</t>
        </is>
      </c>
      <c r="H3" s="24" t="n">
        <v>46301</v>
      </c>
      <c r="I3" s="25" t="inlineStr">
        <is>
          <t>Provided</t>
        </is>
      </c>
      <c r="J3" s="24" t="n">
        <v>46301</v>
      </c>
      <c r="K3" s="23" t="n"/>
      <c r="L3" s="10" t="inlineStr">
        <is>
          <t>Typology drawing R01</t>
        </is>
      </c>
      <c r="M3" s="10">
        <f>Config!$B$3&amp;"?room="&amp;A3</f>
        <v/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G4" s="23" t="n"/>
      <c r="H4" s="24" t="n"/>
      <c r="I4" s="23" t="n"/>
      <c r="J4" s="24" t="n"/>
      <c r="K4" s="23" t="n"/>
      <c r="L4" s="10" t="inlineStr">
        <is>
          <t>Typology drawing R01</t>
        </is>
      </c>
      <c r="M4" s="10">
        <f>Config!$B$3&amp;"?room="&amp;A4</f>
        <v/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G5" s="23" t="n"/>
      <c r="H5" s="24" t="n"/>
      <c r="I5" s="23" t="n"/>
      <c r="J5" s="24" t="n"/>
      <c r="K5" s="23" t="n"/>
      <c r="L5" s="10" t="inlineStr">
        <is>
          <t>Typology drawing R01</t>
        </is>
      </c>
      <c r="M5" s="10">
        <f>Config!$B$3&amp;"?room="&amp;A5</f>
        <v/>
      </c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G6" s="23" t="n"/>
      <c r="H6" s="24" t="n"/>
      <c r="I6" s="23" t="n"/>
      <c r="J6" s="24" t="n"/>
      <c r="K6" s="23" t="n"/>
      <c r="L6" s="10" t="inlineStr">
        <is>
          <t>Typology drawing R01</t>
        </is>
      </c>
      <c r="M6" s="10">
        <f>Config!$B$3&amp;"?room="&amp;A6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G7" s="23" t="n"/>
      <c r="H7" s="24" t="n"/>
      <c r="I7" s="23" t="n"/>
      <c r="J7" s="24" t="n"/>
      <c r="K7" s="23" t="n"/>
      <c r="L7" s="10" t="inlineStr">
        <is>
          <t>Typology drawing R01</t>
        </is>
      </c>
      <c r="M7" s="10">
        <f>Config!$B$3&amp;"?room="&amp;A7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G8" s="23" t="n"/>
      <c r="H8" s="24" t="n"/>
      <c r="I8" s="23" t="n"/>
      <c r="J8" s="24" t="n"/>
      <c r="K8" s="23" t="n"/>
      <c r="L8" s="10" t="inlineStr">
        <is>
          <t>Typology drawing R01</t>
        </is>
      </c>
      <c r="M8" s="10">
        <f>Config!$B$3&amp;"?room="&amp;A8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G9" s="23" t="n"/>
      <c r="H9" s="24" t="n"/>
      <c r="I9" s="23" t="n"/>
      <c r="J9" s="24" t="n"/>
      <c r="K9" s="23" t="n"/>
      <c r="L9" s="10" t="inlineStr">
        <is>
          <t>Typology drawing R01</t>
        </is>
      </c>
      <c r="M9" s="10">
        <f>Config!$B$3&amp;"?room="&amp;A9</f>
        <v/>
      </c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G10" s="23" t="n"/>
      <c r="H10" s="24" t="n"/>
      <c r="I10" s="23" t="n"/>
      <c r="J10" s="24" t="n"/>
      <c r="K10" s="23" t="n"/>
      <c r="L10" s="10" t="inlineStr">
        <is>
          <t>Typology drawing R01</t>
        </is>
      </c>
      <c r="M10" s="10">
        <f>Config!$B$3&amp;"?room="&amp;A10</f>
        <v/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G11" s="23" t="n"/>
      <c r="H11" s="24" t="n"/>
      <c r="I11" s="23" t="n"/>
      <c r="J11" s="24" t="n"/>
      <c r="K11" s="23" t="n"/>
      <c r="L11" s="10" t="inlineStr">
        <is>
          <t>Typology drawing R01</t>
        </is>
      </c>
      <c r="M11" s="10">
        <f>Config!$B$3&amp;"?room="&amp;A11</f>
        <v/>
      </c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G12" s="23" t="n"/>
      <c r="H12" s="24" t="n"/>
      <c r="I12" s="23" t="n"/>
      <c r="J12" s="24" t="n"/>
      <c r="K12" s="23" t="n"/>
      <c r="L12" s="10" t="inlineStr">
        <is>
          <t>Typology drawing R01</t>
        </is>
      </c>
      <c r="M12" s="10">
        <f>Config!$B$3&amp;"?room="&amp;A12</f>
        <v/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G13" s="23" t="n"/>
      <c r="H13" s="24" t="n"/>
      <c r="I13" s="23" t="n"/>
      <c r="J13" s="24" t="n"/>
      <c r="K13" s="23" t="n"/>
      <c r="L13" s="10" t="inlineStr">
        <is>
          <t>Typology drawing R01</t>
        </is>
      </c>
      <c r="M13" s="10">
        <f>Config!$B$3&amp;"?room="&amp;A13</f>
        <v/>
      </c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G14" s="23" t="n"/>
      <c r="H14" s="24" t="n"/>
      <c r="I14" s="23" t="n"/>
      <c r="J14" s="24" t="n"/>
      <c r="K14" s="23" t="n"/>
      <c r="L14" s="10" t="inlineStr">
        <is>
          <t>Typology drawing R01</t>
        </is>
      </c>
      <c r="M14" s="10">
        <f>Config!$B$3&amp;"?room="&amp;A14</f>
        <v/>
      </c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G15" s="23" t="n"/>
      <c r="H15" s="24" t="n"/>
      <c r="I15" s="23" t="n"/>
      <c r="J15" s="24" t="n"/>
      <c r="K15" s="23" t="n"/>
      <c r="L15" s="10" t="inlineStr">
        <is>
          <t>Typology drawing R01</t>
        </is>
      </c>
      <c r="M15" s="10">
        <f>Config!$B$3&amp;"?room="&amp;A15</f>
        <v/>
      </c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G16" s="23" t="n"/>
      <c r="H16" s="24" t="n"/>
      <c r="I16" s="23" t="n"/>
      <c r="J16" s="24" t="n"/>
      <c r="K16" s="23" t="n"/>
      <c r="L16" s="10" t="inlineStr">
        <is>
          <t>Typology drawing R01</t>
        </is>
      </c>
      <c r="M16" s="10">
        <f>Config!$B$3&amp;"?room="&amp;A16</f>
        <v/>
      </c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G17" s="23" t="n"/>
      <c r="H17" s="24" t="n"/>
      <c r="I17" s="23" t="n"/>
      <c r="J17" s="24" t="n"/>
      <c r="K17" s="23" t="n"/>
      <c r="L17" s="10" t="inlineStr">
        <is>
          <t>Typology drawing R01</t>
        </is>
      </c>
      <c r="M17" s="10">
        <f>Config!$B$3&amp;"?room="&amp;A17</f>
        <v/>
      </c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G18" s="23" t="n"/>
      <c r="H18" s="24" t="n"/>
      <c r="I18" s="23" t="n"/>
      <c r="J18" s="24" t="n"/>
      <c r="K18" s="23" t="n"/>
      <c r="L18" s="10" t="inlineStr">
        <is>
          <t>Typology drawing R01</t>
        </is>
      </c>
      <c r="M18" s="10">
        <f>Config!$B$3&amp;"?room="&amp;A18</f>
        <v/>
      </c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G19" s="23" t="n"/>
      <c r="H19" s="24" t="n"/>
      <c r="I19" s="23" t="n"/>
      <c r="J19" s="24" t="n"/>
      <c r="K19" s="23" t="n"/>
      <c r="L19" s="10" t="inlineStr">
        <is>
          <t>Typology drawing R01</t>
        </is>
      </c>
      <c r="M19" s="10">
        <f>Config!$B$3&amp;"?room="&amp;A19</f>
        <v/>
      </c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G20" s="23" t="n"/>
      <c r="H20" s="24" t="n"/>
      <c r="I20" s="23" t="n"/>
      <c r="J20" s="24" t="n"/>
      <c r="K20" s="23" t="n"/>
      <c r="L20" s="10" t="inlineStr">
        <is>
          <t>Typology drawing R01</t>
        </is>
      </c>
      <c r="M20" s="10">
        <f>Config!$B$3&amp;"?room="&amp;A20</f>
        <v/>
      </c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G21" s="23" t="n"/>
      <c r="H21" s="24" t="n"/>
      <c r="I21" s="23" t="n"/>
      <c r="J21" s="24" t="n"/>
      <c r="K21" s="23" t="n"/>
      <c r="L21" s="10" t="inlineStr">
        <is>
          <t>Typology drawing R01</t>
        </is>
      </c>
      <c r="M21" s="10">
        <f>Config!$B$3&amp;"?room="&amp;A21</f>
        <v/>
      </c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G22" s="23" t="n"/>
      <c r="H22" s="24" t="n"/>
      <c r="I22" s="23" t="n"/>
      <c r="J22" s="24" t="n"/>
      <c r="K22" s="23" t="n"/>
      <c r="L22" s="10" t="inlineStr">
        <is>
          <t>Typology drawing R01</t>
        </is>
      </c>
      <c r="M22" s="10">
        <f>Config!$B$3&amp;"?room="&amp;A22</f>
        <v/>
      </c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G23" s="23" t="n"/>
      <c r="H23" s="24" t="n"/>
      <c r="I23" s="23" t="n"/>
      <c r="J23" s="24" t="n"/>
      <c r="K23" s="23" t="n"/>
      <c r="L23" s="10" t="inlineStr">
        <is>
          <t>Typology drawing R01</t>
        </is>
      </c>
      <c r="M23" s="10">
        <f>Config!$B$3&amp;"?room="&amp;A23</f>
        <v/>
      </c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G24" s="23" t="n"/>
      <c r="H24" s="24" t="n"/>
      <c r="I24" s="23" t="n"/>
      <c r="J24" s="24" t="n"/>
      <c r="K24" s="23" t="n"/>
      <c r="L24" s="10" t="inlineStr">
        <is>
          <t>Typology drawing R01</t>
        </is>
      </c>
      <c r="M24" s="10">
        <f>Config!$B$3&amp;"?room="&amp;A24</f>
        <v/>
      </c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G25" s="23" t="n"/>
      <c r="H25" s="24" t="n"/>
      <c r="I25" s="23" t="n"/>
      <c r="J25" s="24" t="n"/>
      <c r="K25" s="23" t="n"/>
      <c r="L25" s="10" t="inlineStr">
        <is>
          <t>Typology drawing R01</t>
        </is>
      </c>
      <c r="M25" s="10">
        <f>Config!$B$3&amp;"?room="&amp;A25</f>
        <v/>
      </c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G26" s="23" t="n"/>
      <c r="H26" s="24" t="n"/>
      <c r="I26" s="23" t="n"/>
      <c r="J26" s="24" t="n"/>
      <c r="K26" s="23" t="n"/>
      <c r="L26" s="10" t="inlineStr">
        <is>
          <t>Typology drawing R01</t>
        </is>
      </c>
      <c r="M26" s="10">
        <f>Config!$B$3&amp;"?room="&amp;A26</f>
        <v/>
      </c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G27" s="23" t="n"/>
      <c r="H27" s="24" t="n"/>
      <c r="I27" s="23" t="n"/>
      <c r="J27" s="24" t="n"/>
      <c r="K27" s="23" t="n"/>
      <c r="L27" s="10" t="inlineStr">
        <is>
          <t>Typology drawing R01</t>
        </is>
      </c>
      <c r="M27" s="10">
        <f>Config!$B$3&amp;"?room="&amp;A27</f>
        <v/>
      </c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G28" s="23" t="n"/>
      <c r="H28" s="24" t="n"/>
      <c r="I28" s="23" t="n"/>
      <c r="J28" s="24" t="n"/>
      <c r="K28" s="23" t="n"/>
      <c r="L28" s="10" t="inlineStr">
        <is>
          <t>Typology drawing R01</t>
        </is>
      </c>
      <c r="M28" s="10">
        <f>Config!$B$3&amp;"?room="&amp;A28</f>
        <v/>
      </c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G29" s="23" t="n"/>
      <c r="H29" s="24" t="n"/>
      <c r="I29" s="23" t="n"/>
      <c r="J29" s="24" t="n"/>
      <c r="K29" s="23" t="n"/>
      <c r="L29" s="10" t="inlineStr">
        <is>
          <t>Typology drawing R01</t>
        </is>
      </c>
      <c r="M29" s="10">
        <f>Config!$B$3&amp;"?room="&amp;A29</f>
        <v/>
      </c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G30" s="23" t="n"/>
      <c r="H30" s="24" t="n"/>
      <c r="I30" s="23" t="n"/>
      <c r="J30" s="24" t="n"/>
      <c r="K30" s="23" t="n"/>
      <c r="L30" s="10" t="inlineStr">
        <is>
          <t>Typology drawing R01</t>
        </is>
      </c>
      <c r="M30" s="10">
        <f>Config!$B$3&amp;"?room="&amp;A30</f>
        <v/>
      </c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G31" s="23" t="n"/>
      <c r="H31" s="24" t="n"/>
      <c r="I31" s="23" t="n"/>
      <c r="J31" s="24" t="n"/>
      <c r="K31" s="23" t="n"/>
      <c r="L31" s="10" t="inlineStr">
        <is>
          <t>Typology drawing R01</t>
        </is>
      </c>
      <c r="M31" s="10">
        <f>Config!$B$3&amp;"?room="&amp;A31</f>
        <v/>
      </c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G32" s="23" t="n"/>
      <c r="H32" s="24" t="n"/>
      <c r="I32" s="23" t="n"/>
      <c r="J32" s="24" t="n"/>
      <c r="K32" s="23" t="n"/>
      <c r="L32" s="10" t="inlineStr">
        <is>
          <t>Typology drawing R01</t>
        </is>
      </c>
      <c r="M32" s="10">
        <f>Config!$B$3&amp;"?room="&amp;A32</f>
        <v/>
      </c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G33" s="23" t="n"/>
      <c r="H33" s="24" t="n"/>
      <c r="I33" s="23" t="n"/>
      <c r="J33" s="24" t="n"/>
      <c r="K33" s="23" t="n"/>
      <c r="L33" s="10" t="inlineStr">
        <is>
          <t>Typology drawing R01</t>
        </is>
      </c>
      <c r="M33" s="10">
        <f>Config!$B$3&amp;"?room="&amp;A33</f>
        <v/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G34" s="23" t="n"/>
      <c r="H34" s="24" t="n"/>
      <c r="I34" s="23" t="n"/>
      <c r="J34" s="24" t="n"/>
      <c r="K34" s="23" t="n"/>
      <c r="L34" s="10" t="inlineStr">
        <is>
          <t>Typology drawing R01</t>
        </is>
      </c>
      <c r="M34" s="10">
        <f>Config!$B$3&amp;"?room="&amp;A34</f>
        <v/>
      </c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G35" s="23" t="n"/>
      <c r="H35" s="24" t="n"/>
      <c r="I35" s="23" t="n"/>
      <c r="J35" s="24" t="n"/>
      <c r="K35" s="23" t="n"/>
      <c r="L35" s="10" t="inlineStr">
        <is>
          <t>Typology drawing R01</t>
        </is>
      </c>
      <c r="M35" s="10">
        <f>Config!$B$3&amp;"?room="&amp;A35</f>
        <v/>
      </c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G36" s="23" t="n"/>
      <c r="H36" s="24" t="n"/>
      <c r="I36" s="23" t="n"/>
      <c r="J36" s="24" t="n"/>
      <c r="K36" s="23" t="n"/>
      <c r="L36" s="10" t="inlineStr">
        <is>
          <t>Typology drawing R01</t>
        </is>
      </c>
      <c r="M36" s="10">
        <f>Config!$B$3&amp;"?room="&amp;A36</f>
        <v/>
      </c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G37" s="23" t="n"/>
      <c r="H37" s="24" t="n"/>
      <c r="I37" s="23" t="n"/>
      <c r="J37" s="24" t="n"/>
      <c r="K37" s="23" t="n"/>
      <c r="L37" s="10" t="inlineStr">
        <is>
          <t>Typology drawing R01</t>
        </is>
      </c>
      <c r="M37" s="10">
        <f>Config!$B$3&amp;"?room="&amp;A37</f>
        <v/>
      </c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G38" s="23" t="n"/>
      <c r="H38" s="24" t="n"/>
      <c r="I38" s="23" t="n"/>
      <c r="J38" s="24" t="n"/>
      <c r="K38" s="23" t="n"/>
      <c r="L38" s="10" t="inlineStr">
        <is>
          <t>Typology drawing R01</t>
        </is>
      </c>
      <c r="M38" s="10">
        <f>Config!$B$3&amp;"?room="&amp;A38</f>
        <v/>
      </c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G39" s="23" t="n"/>
      <c r="H39" s="24" t="n"/>
      <c r="I39" s="23" t="n"/>
      <c r="J39" s="24" t="n"/>
      <c r="K39" s="23" t="n"/>
      <c r="L39" s="10" t="inlineStr">
        <is>
          <t>Typology drawing R01</t>
        </is>
      </c>
      <c r="M39" s="10">
        <f>Config!$B$3&amp;"?room="&amp;A39</f>
        <v/>
      </c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G40" s="23" t="n"/>
      <c r="H40" s="24" t="n"/>
      <c r="I40" s="23" t="n"/>
      <c r="J40" s="24" t="n"/>
      <c r="K40" s="23" t="n"/>
      <c r="L40" s="10" t="inlineStr">
        <is>
          <t>Typology drawing R01</t>
        </is>
      </c>
      <c r="M40" s="10">
        <f>Config!$B$3&amp;"?room="&amp;A40</f>
        <v/>
      </c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G41" s="23" t="n"/>
      <c r="H41" s="24" t="n"/>
      <c r="I41" s="23" t="n"/>
      <c r="J41" s="24" t="n"/>
      <c r="K41" s="23" t="n"/>
      <c r="L41" s="10" t="inlineStr">
        <is>
          <t>Typology drawing R01</t>
        </is>
      </c>
      <c r="M41" s="10">
        <f>Config!$B$3&amp;"?room="&amp;A41</f>
        <v/>
      </c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G42" s="23" t="n"/>
      <c r="H42" s="24" t="n"/>
      <c r="I42" s="23" t="n"/>
      <c r="J42" s="24" t="n"/>
      <c r="K42" s="23" t="n"/>
      <c r="L42" s="10" t="inlineStr">
        <is>
          <t>Typology drawing R01</t>
        </is>
      </c>
      <c r="M42" s="10">
        <f>Config!$B$3&amp;"?room="&amp;A42</f>
        <v/>
      </c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G43" s="23" t="n"/>
      <c r="H43" s="24" t="n"/>
      <c r="I43" s="23" t="n"/>
      <c r="J43" s="24" t="n"/>
      <c r="K43" s="23" t="n"/>
      <c r="L43" s="10" t="inlineStr">
        <is>
          <t>Typology drawing R01</t>
        </is>
      </c>
      <c r="M43" s="10">
        <f>Config!$B$3&amp;"?room="&amp;A43</f>
        <v/>
      </c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G44" s="23" t="n"/>
      <c r="H44" s="24" t="n"/>
      <c r="I44" s="23" t="n"/>
      <c r="J44" s="24" t="n"/>
      <c r="K44" s="23" t="n"/>
      <c r="L44" s="10" t="inlineStr">
        <is>
          <t>Typology drawing R01</t>
        </is>
      </c>
      <c r="M44" s="10">
        <f>Config!$B$3&amp;"?room="&amp;A44</f>
        <v/>
      </c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G45" s="23" t="n"/>
      <c r="H45" s="24" t="n"/>
      <c r="I45" s="23" t="n"/>
      <c r="J45" s="24" t="n"/>
      <c r="K45" s="23" t="n"/>
      <c r="L45" s="10" t="inlineStr">
        <is>
          <t>Typology drawing R01</t>
        </is>
      </c>
      <c r="M45" s="10">
        <f>Config!$B$3&amp;"?room="&amp;A45</f>
        <v/>
      </c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G46" s="23" t="n"/>
      <c r="H46" s="24" t="n"/>
      <c r="I46" s="23" t="n"/>
      <c r="J46" s="24" t="n"/>
      <c r="K46" s="23" t="n"/>
      <c r="L46" s="10" t="inlineStr">
        <is>
          <t>Typology drawing R01</t>
        </is>
      </c>
      <c r="M46" s="10">
        <f>Config!$B$3&amp;"?room="&amp;A46</f>
        <v/>
      </c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G47" s="23" t="n"/>
      <c r="H47" s="24" t="n"/>
      <c r="I47" s="23" t="n"/>
      <c r="J47" s="24" t="n"/>
      <c r="K47" s="23" t="n"/>
      <c r="L47" s="10" t="inlineStr">
        <is>
          <t>Typology drawing R01</t>
        </is>
      </c>
      <c r="M47" s="10">
        <f>Config!$B$3&amp;"?room="&amp;A47</f>
        <v/>
      </c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G48" s="23" t="n"/>
      <c r="H48" s="24" t="n"/>
      <c r="I48" s="23" t="n"/>
      <c r="J48" s="24" t="n"/>
      <c r="K48" s="23" t="n"/>
      <c r="L48" s="10" t="inlineStr">
        <is>
          <t>Typology drawing R01</t>
        </is>
      </c>
      <c r="M48" s="10">
        <f>Config!$B$3&amp;"?room="&amp;A48</f>
        <v/>
      </c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G49" s="23" t="n"/>
      <c r="H49" s="24" t="n"/>
      <c r="I49" s="23" t="n"/>
      <c r="J49" s="24" t="n"/>
      <c r="K49" s="23" t="n"/>
      <c r="L49" s="10" t="inlineStr">
        <is>
          <t>Typology drawing R01</t>
        </is>
      </c>
      <c r="M49" s="10">
        <f>Config!$B$3&amp;"?room="&amp;A49</f>
        <v/>
      </c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G50" s="23" t="n"/>
      <c r="H50" s="24" t="n"/>
      <c r="I50" s="23" t="n"/>
      <c r="J50" s="24" t="n"/>
      <c r="K50" s="23" t="n"/>
      <c r="L50" s="10" t="inlineStr">
        <is>
          <t>Typology drawing R01</t>
        </is>
      </c>
      <c r="M50" s="10">
        <f>Config!$B$3&amp;"?room="&amp;A50</f>
        <v/>
      </c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G51" s="23" t="n"/>
      <c r="H51" s="24" t="n"/>
      <c r="I51" s="23" t="n"/>
      <c r="J51" s="24" t="n"/>
      <c r="K51" s="23" t="n"/>
      <c r="L51" s="10" t="inlineStr">
        <is>
          <t>Typology drawing R01</t>
        </is>
      </c>
      <c r="M51" s="10">
        <f>Config!$B$3&amp;"?room="&amp;A51</f>
        <v/>
      </c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G52" s="23" t="n"/>
      <c r="H52" s="24" t="n"/>
      <c r="I52" s="23" t="n"/>
      <c r="J52" s="24" t="n"/>
      <c r="K52" s="23" t="n"/>
      <c r="L52" s="10" t="inlineStr">
        <is>
          <t>Typology drawing R01</t>
        </is>
      </c>
      <c r="M52" s="10">
        <f>Config!$B$3&amp;"?room="&amp;A52</f>
        <v/>
      </c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G53" s="23" t="n"/>
      <c r="H53" s="24" t="n"/>
      <c r="I53" s="23" t="n"/>
      <c r="J53" s="24" t="n"/>
      <c r="K53" s="23" t="n"/>
      <c r="L53" s="10" t="inlineStr">
        <is>
          <t>Typology drawing R01</t>
        </is>
      </c>
      <c r="M53" s="10">
        <f>Config!$B$3&amp;"?room="&amp;A53</f>
        <v/>
      </c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G54" s="23" t="n"/>
      <c r="H54" s="24" t="n"/>
      <c r="I54" s="23" t="n"/>
      <c r="J54" s="24" t="n"/>
      <c r="K54" s="23" t="n"/>
      <c r="L54" s="10" t="inlineStr">
        <is>
          <t>Typology drawing R01</t>
        </is>
      </c>
      <c r="M54" s="10">
        <f>Config!$B$3&amp;"?room="&amp;A54</f>
        <v/>
      </c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G55" s="23" t="n"/>
      <c r="H55" s="24" t="n"/>
      <c r="I55" s="23" t="n"/>
      <c r="J55" s="24" t="n"/>
      <c r="K55" s="23" t="n"/>
      <c r="L55" s="10" t="inlineStr">
        <is>
          <t>Typology drawing R01</t>
        </is>
      </c>
      <c r="M55" s="10">
        <f>Config!$B$3&amp;"?room="&amp;A55</f>
        <v/>
      </c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G56" s="23" t="n"/>
      <c r="H56" s="24" t="n"/>
      <c r="I56" s="23" t="n"/>
      <c r="J56" s="24" t="n"/>
      <c r="K56" s="23" t="n"/>
      <c r="L56" s="10" t="inlineStr">
        <is>
          <t>Typology drawing R01</t>
        </is>
      </c>
      <c r="M56" s="10">
        <f>Config!$B$3&amp;"?room="&amp;A56</f>
        <v/>
      </c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G57" s="23" t="n"/>
      <c r="H57" s="24" t="n"/>
      <c r="I57" s="23" t="n"/>
      <c r="J57" s="24" t="n"/>
      <c r="K57" s="23" t="n"/>
      <c r="L57" s="10" t="inlineStr">
        <is>
          <t>Typology drawing R01</t>
        </is>
      </c>
      <c r="M57" s="10">
        <f>Config!$B$3&amp;"?room="&amp;A57</f>
        <v/>
      </c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G58" s="23" t="n"/>
      <c r="H58" s="24" t="n"/>
      <c r="I58" s="23" t="n"/>
      <c r="J58" s="24" t="n"/>
      <c r="K58" s="23" t="n"/>
      <c r="L58" s="10" t="inlineStr">
        <is>
          <t>Typology drawing R01</t>
        </is>
      </c>
      <c r="M58" s="10">
        <f>Config!$B$3&amp;"?room="&amp;A58</f>
        <v/>
      </c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G59" s="23" t="n"/>
      <c r="H59" s="24" t="n"/>
      <c r="I59" s="23" t="n"/>
      <c r="J59" s="24" t="n"/>
      <c r="K59" s="23" t="n"/>
      <c r="L59" s="10" t="inlineStr">
        <is>
          <t>Typology drawing R01</t>
        </is>
      </c>
      <c r="M59" s="10">
        <f>Config!$B$3&amp;"?room="&amp;A59</f>
        <v/>
      </c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G60" s="23" t="n"/>
      <c r="H60" s="24" t="n"/>
      <c r="I60" s="23" t="n"/>
      <c r="J60" s="24" t="n"/>
      <c r="K60" s="23" t="n"/>
      <c r="L60" s="10" t="inlineStr">
        <is>
          <t>Typology drawing R01</t>
        </is>
      </c>
      <c r="M60" s="10">
        <f>Config!$B$3&amp;"?room="&amp;A60</f>
        <v/>
      </c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G61" s="23" t="n"/>
      <c r="H61" s="24" t="n"/>
      <c r="I61" s="23" t="n"/>
      <c r="J61" s="24" t="n"/>
      <c r="K61" s="23" t="n"/>
      <c r="L61" s="10" t="inlineStr">
        <is>
          <t>Typology drawing R01</t>
        </is>
      </c>
      <c r="M61" s="10">
        <f>Config!$B$3&amp;"?room="&amp;A61</f>
        <v/>
      </c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G62" s="23" t="n"/>
      <c r="H62" s="24" t="n"/>
      <c r="I62" s="23" t="n"/>
      <c r="J62" s="24" t="n"/>
      <c r="K62" s="23" t="n"/>
      <c r="L62" s="10" t="inlineStr">
        <is>
          <t>Typology drawing R01</t>
        </is>
      </c>
      <c r="M62" s="10">
        <f>Config!$B$3&amp;"?room="&amp;A62</f>
        <v/>
      </c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G63" s="23" t="n"/>
      <c r="H63" s="24" t="n"/>
      <c r="I63" s="23" t="n"/>
      <c r="J63" s="24" t="n"/>
      <c r="K63" s="23" t="n"/>
      <c r="L63" s="10" t="inlineStr">
        <is>
          <t>Typology drawing R01</t>
        </is>
      </c>
      <c r="M63" s="10">
        <f>Config!$B$3&amp;"?room="&amp;A63</f>
        <v/>
      </c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G64" s="23" t="n"/>
      <c r="H64" s="24" t="n"/>
      <c r="I64" s="23" t="n"/>
      <c r="J64" s="24" t="n"/>
      <c r="K64" s="23" t="n"/>
      <c r="L64" s="10" t="inlineStr">
        <is>
          <t>Typology drawing R01</t>
        </is>
      </c>
      <c r="M64" s="10">
        <f>Config!$B$3&amp;"?room="&amp;A64</f>
        <v/>
      </c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G65" s="23" t="n"/>
      <c r="H65" s="24" t="n"/>
      <c r="I65" s="23" t="n"/>
      <c r="J65" s="24" t="n"/>
      <c r="K65" s="23" t="n"/>
      <c r="L65" s="10" t="inlineStr">
        <is>
          <t>Typology drawing R01</t>
        </is>
      </c>
      <c r="M65" s="10">
        <f>Config!$B$3&amp;"?room="&amp;A65</f>
        <v/>
      </c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G66" s="23" t="n"/>
      <c r="H66" s="24" t="n"/>
      <c r="I66" s="23" t="n"/>
      <c r="J66" s="24" t="n"/>
      <c r="K66" s="23" t="n"/>
      <c r="L66" s="10" t="inlineStr">
        <is>
          <t>Typology drawing R01</t>
        </is>
      </c>
      <c r="M66" s="10">
        <f>Config!$B$3&amp;"?room="&amp;A66</f>
        <v/>
      </c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G67" s="23" t="n"/>
      <c r="H67" s="24" t="n"/>
      <c r="I67" s="23" t="n"/>
      <c r="J67" s="24" t="n"/>
      <c r="K67" s="23" t="n"/>
      <c r="L67" s="10" t="inlineStr">
        <is>
          <t>Typology drawing R01</t>
        </is>
      </c>
      <c r="M67" s="10">
        <f>Config!$B$3&amp;"?room="&amp;A67</f>
        <v/>
      </c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G68" s="23" t="n"/>
      <c r="H68" s="24" t="n"/>
      <c r="I68" s="23" t="n"/>
      <c r="J68" s="24" t="n"/>
      <c r="K68" s="23" t="n"/>
      <c r="L68" s="10" t="inlineStr">
        <is>
          <t>Typology drawing R01</t>
        </is>
      </c>
      <c r="M68" s="10">
        <f>Config!$B$3&amp;"?room="&amp;A68</f>
        <v/>
      </c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G69" s="23" t="n"/>
      <c r="H69" s="24" t="n"/>
      <c r="I69" s="23" t="n"/>
      <c r="J69" s="24" t="n"/>
      <c r="K69" s="23" t="n"/>
      <c r="L69" s="10" t="inlineStr">
        <is>
          <t>Typology drawing R01</t>
        </is>
      </c>
      <c r="M69" s="10">
        <f>Config!$B$3&amp;"?room="&amp;A69</f>
        <v/>
      </c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G70" s="23" t="n"/>
      <c r="H70" s="24" t="n"/>
      <c r="I70" s="23" t="n"/>
      <c r="J70" s="24" t="n"/>
      <c r="K70" s="23" t="n"/>
      <c r="L70" s="10" t="inlineStr">
        <is>
          <t>Typology drawing R01</t>
        </is>
      </c>
      <c r="M70" s="10">
        <f>Config!$B$3&amp;"?room="&amp;A70</f>
        <v/>
      </c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G71" s="23" t="n"/>
      <c r="H71" s="24" t="n"/>
      <c r="I71" s="23" t="n"/>
      <c r="J71" s="24" t="n"/>
      <c r="K71" s="23" t="n"/>
      <c r="L71" s="10" t="inlineStr">
        <is>
          <t>Typology drawing R01</t>
        </is>
      </c>
      <c r="M71" s="10">
        <f>Config!$B$3&amp;"?room="&amp;A71</f>
        <v/>
      </c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G72" s="23" t="n"/>
      <c r="H72" s="24" t="n"/>
      <c r="I72" s="23" t="n"/>
      <c r="J72" s="24" t="n"/>
      <c r="K72" s="23" t="n"/>
      <c r="L72" s="10" t="inlineStr">
        <is>
          <t>Typology drawing R01</t>
        </is>
      </c>
      <c r="M72" s="10">
        <f>Config!$B$3&amp;"?room="&amp;A72</f>
        <v/>
      </c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G73" s="23" t="n"/>
      <c r="H73" s="24" t="n"/>
      <c r="I73" s="23" t="n"/>
      <c r="J73" s="24" t="n"/>
      <c r="K73" s="23" t="n"/>
      <c r="L73" s="10" t="inlineStr">
        <is>
          <t>Typology drawing R01</t>
        </is>
      </c>
      <c r="M73" s="10">
        <f>Config!$B$3&amp;"?room="&amp;A73</f>
        <v/>
      </c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G74" s="23" t="n"/>
      <c r="H74" s="24" t="n"/>
      <c r="I74" s="23" t="n"/>
      <c r="J74" s="24" t="n"/>
      <c r="K74" s="23" t="n"/>
      <c r="L74" s="10" t="inlineStr">
        <is>
          <t>Typology drawing R01</t>
        </is>
      </c>
      <c r="M74" s="10">
        <f>Config!$B$3&amp;"?room="&amp;A74</f>
        <v/>
      </c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G75" s="23" t="n"/>
      <c r="H75" s="24" t="n"/>
      <c r="I75" s="23" t="n"/>
      <c r="J75" s="24" t="n"/>
      <c r="K75" s="23" t="n"/>
      <c r="L75" s="10" t="inlineStr">
        <is>
          <t>Typology drawing R01</t>
        </is>
      </c>
      <c r="M75" s="10">
        <f>Config!$B$3&amp;"?room="&amp;A75</f>
        <v/>
      </c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G76" s="23" t="n"/>
      <c r="H76" s="24" t="n"/>
      <c r="I76" s="23" t="n"/>
      <c r="J76" s="24" t="n"/>
      <c r="K76" s="23" t="n"/>
      <c r="L76" s="10" t="inlineStr">
        <is>
          <t>Typology drawing R01</t>
        </is>
      </c>
      <c r="M76" s="10">
        <f>Config!$B$3&amp;"?room="&amp;A76</f>
        <v/>
      </c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G77" s="23" t="n"/>
      <c r="H77" s="24" t="n"/>
      <c r="I77" s="23" t="n"/>
      <c r="J77" s="24" t="n"/>
      <c r="K77" s="23" t="n"/>
      <c r="L77" s="10" t="inlineStr">
        <is>
          <t>Typology drawing R01</t>
        </is>
      </c>
      <c r="M77" s="10">
        <f>Config!$B$3&amp;"?room="&amp;A77</f>
        <v/>
      </c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G78" s="23" t="n"/>
      <c r="H78" s="24" t="n"/>
      <c r="I78" s="23" t="n"/>
      <c r="J78" s="24" t="n"/>
      <c r="K78" s="23" t="n"/>
      <c r="L78" s="10" t="inlineStr">
        <is>
          <t>Typology drawing R01</t>
        </is>
      </c>
      <c r="M78" s="10">
        <f>Config!$B$3&amp;"?room="&amp;A78</f>
        <v/>
      </c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G79" s="23" t="n"/>
      <c r="H79" s="24" t="n"/>
      <c r="I79" s="23" t="n"/>
      <c r="J79" s="24" t="n"/>
      <c r="K79" s="23" t="n"/>
      <c r="L79" s="10" t="inlineStr">
        <is>
          <t>Typology drawing R01</t>
        </is>
      </c>
      <c r="M79" s="10">
        <f>Config!$B$3&amp;"?room="&amp;A79</f>
        <v/>
      </c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G80" s="23" t="n"/>
      <c r="H80" s="24" t="n"/>
      <c r="I80" s="23" t="n"/>
      <c r="J80" s="24" t="n"/>
      <c r="K80" s="23" t="n"/>
      <c r="L80" s="10" t="inlineStr">
        <is>
          <t>Typology drawing R01</t>
        </is>
      </c>
      <c r="M80" s="10">
        <f>Config!$B$3&amp;"?room="&amp;A80</f>
        <v/>
      </c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G81" s="23" t="n"/>
      <c r="H81" s="24" t="n"/>
      <c r="I81" s="23" t="n"/>
      <c r="J81" s="24" t="n"/>
      <c r="K81" s="23" t="n"/>
      <c r="L81" s="10" t="inlineStr">
        <is>
          <t>Typology drawing R01</t>
        </is>
      </c>
      <c r="M81" s="10">
        <f>Config!$B$3&amp;"?room="&amp;A81</f>
        <v/>
      </c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G82" s="23" t="n"/>
      <c r="H82" s="24" t="n"/>
      <c r="I82" s="23" t="n"/>
      <c r="J82" s="24" t="n"/>
      <c r="K82" s="23" t="n"/>
      <c r="L82" s="10" t="inlineStr">
        <is>
          <t>Typology drawing R01</t>
        </is>
      </c>
      <c r="M82" s="10">
        <f>Config!$B$3&amp;"?room="&amp;A82</f>
        <v/>
      </c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G83" s="23" t="n"/>
      <c r="H83" s="24" t="n"/>
      <c r="I83" s="23" t="n"/>
      <c r="J83" s="24" t="n"/>
      <c r="K83" s="23" t="n"/>
      <c r="L83" s="10" t="inlineStr">
        <is>
          <t>Typology drawing R01</t>
        </is>
      </c>
      <c r="M83" s="10">
        <f>Config!$B$3&amp;"?room="&amp;A83</f>
        <v/>
      </c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G84" s="23" t="n"/>
      <c r="H84" s="24" t="n"/>
      <c r="I84" s="23" t="n"/>
      <c r="J84" s="24" t="n"/>
      <c r="K84" s="23" t="n"/>
      <c r="L84" s="10" t="inlineStr">
        <is>
          <t>Typology drawing R01</t>
        </is>
      </c>
      <c r="M84" s="10">
        <f>Config!$B$3&amp;"?room="&amp;A84</f>
        <v/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G85" s="23" t="n"/>
      <c r="H85" s="24" t="n"/>
      <c r="I85" s="23" t="n"/>
      <c r="J85" s="24" t="n"/>
      <c r="K85" s="23" t="n"/>
      <c r="L85" s="10" t="inlineStr">
        <is>
          <t>Typology drawing R01</t>
        </is>
      </c>
      <c r="M85" s="10">
        <f>Config!$B$3&amp;"?room="&amp;A85</f>
        <v/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G86" s="23" t="n"/>
      <c r="H86" s="24" t="n"/>
      <c r="I86" s="23" t="n"/>
      <c r="J86" s="24" t="n"/>
      <c r="K86" s="23" t="n"/>
      <c r="L86" s="10" t="inlineStr">
        <is>
          <t>Typology drawing R01</t>
        </is>
      </c>
      <c r="M86" s="10">
        <f>Config!$B$3&amp;"?room="&amp;A86</f>
        <v/>
      </c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G87" s="23" t="n"/>
      <c r="H87" s="24" t="n"/>
      <c r="I87" s="23" t="n"/>
      <c r="J87" s="24" t="n"/>
      <c r="K87" s="23" t="n"/>
      <c r="L87" s="10" t="inlineStr">
        <is>
          <t>Typology drawing R01</t>
        </is>
      </c>
      <c r="M87" s="10">
        <f>Config!$B$3&amp;"?room="&amp;A87</f>
        <v/>
      </c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G88" s="23" t="n"/>
      <c r="H88" s="24" t="n"/>
      <c r="I88" s="23" t="n"/>
      <c r="J88" s="24" t="n"/>
      <c r="K88" s="23" t="n"/>
      <c r="L88" s="10" t="inlineStr">
        <is>
          <t>Typology drawing R01</t>
        </is>
      </c>
      <c r="M88" s="10">
        <f>Config!$B$3&amp;"?room="&amp;A88</f>
        <v/>
      </c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G89" s="23" t="n"/>
      <c r="H89" s="24" t="n"/>
      <c r="I89" s="23" t="n"/>
      <c r="J89" s="24" t="n"/>
      <c r="K89" s="23" t="n"/>
      <c r="L89" s="10" t="inlineStr">
        <is>
          <t>Typology drawing R01</t>
        </is>
      </c>
      <c r="M89" s="10">
        <f>Config!$B$3&amp;"?room="&amp;A89</f>
        <v/>
      </c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G90" s="23" t="n"/>
      <c r="H90" s="24" t="n"/>
      <c r="I90" s="23" t="n"/>
      <c r="J90" s="24" t="n"/>
      <c r="K90" s="23" t="n"/>
      <c r="L90" s="10" t="inlineStr">
        <is>
          <t>Typology drawing R01</t>
        </is>
      </c>
      <c r="M90" s="10">
        <f>Config!$B$3&amp;"?room="&amp;A90</f>
        <v/>
      </c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G91" s="23" t="n"/>
      <c r="H91" s="24" t="n"/>
      <c r="I91" s="23" t="n"/>
      <c r="J91" s="24" t="n"/>
      <c r="K91" s="23" t="n"/>
      <c r="L91" s="10" t="inlineStr">
        <is>
          <t>Typology drawing R01</t>
        </is>
      </c>
      <c r="M91" s="10">
        <f>Config!$B$3&amp;"?room="&amp;A91</f>
        <v/>
      </c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G92" s="23" t="n"/>
      <c r="H92" s="24" t="n"/>
      <c r="I92" s="23" t="n"/>
      <c r="J92" s="24" t="n"/>
      <c r="K92" s="23" t="n"/>
      <c r="L92" s="10" t="inlineStr">
        <is>
          <t>Typology drawing R01</t>
        </is>
      </c>
      <c r="M92" s="10">
        <f>Config!$B$3&amp;"?room="&amp;A92</f>
        <v/>
      </c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G93" s="23" t="n"/>
      <c r="H93" s="24" t="n"/>
      <c r="I93" s="23" t="n"/>
      <c r="J93" s="24" t="n"/>
      <c r="K93" s="23" t="n"/>
      <c r="L93" s="10" t="inlineStr">
        <is>
          <t>Typology drawing R01</t>
        </is>
      </c>
      <c r="M93" s="10">
        <f>Config!$B$3&amp;"?room="&amp;A93</f>
        <v/>
      </c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G94" s="23" t="n"/>
      <c r="H94" s="24" t="n"/>
      <c r="I94" s="23" t="n"/>
      <c r="J94" s="24" t="n"/>
      <c r="K94" s="23" t="n"/>
      <c r="L94" s="10" t="inlineStr">
        <is>
          <t>Typology drawing R01</t>
        </is>
      </c>
      <c r="M94" s="10">
        <f>Config!$B$3&amp;"?room="&amp;A94</f>
        <v/>
      </c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G95" s="23" t="n"/>
      <c r="H95" s="24" t="n"/>
      <c r="I95" s="23" t="n"/>
      <c r="J95" s="24" t="n"/>
      <c r="K95" s="23" t="n"/>
      <c r="L95" s="10" t="inlineStr">
        <is>
          <t>Typology drawing R01</t>
        </is>
      </c>
      <c r="M95" s="10">
        <f>Config!$B$3&amp;"?room="&amp;A95</f>
        <v/>
      </c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G96" s="23" t="n"/>
      <c r="H96" s="24" t="n"/>
      <c r="I96" s="23" t="n"/>
      <c r="J96" s="24" t="n"/>
      <c r="K96" s="23" t="n"/>
      <c r="L96" s="10" t="inlineStr">
        <is>
          <t>Typology drawing R01</t>
        </is>
      </c>
      <c r="M96" s="10">
        <f>Config!$B$3&amp;"?room="&amp;A96</f>
        <v/>
      </c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G97" s="23" t="n"/>
      <c r="H97" s="24" t="n"/>
      <c r="I97" s="23" t="n"/>
      <c r="J97" s="24" t="n"/>
      <c r="K97" s="23" t="n"/>
      <c r="L97" s="10" t="inlineStr">
        <is>
          <t>Typology drawing R01</t>
        </is>
      </c>
      <c r="M97" s="10">
        <f>Config!$B$3&amp;"?room="&amp;A97</f>
        <v/>
      </c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G98" s="23" t="n"/>
      <c r="H98" s="24" t="n"/>
      <c r="I98" s="23" t="n"/>
      <c r="J98" s="24" t="n"/>
      <c r="K98" s="23" t="n"/>
      <c r="L98" s="10" t="inlineStr">
        <is>
          <t>Typology drawing R01</t>
        </is>
      </c>
      <c r="M98" s="10">
        <f>Config!$B$3&amp;"?room="&amp;A98</f>
        <v/>
      </c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G99" s="23" t="n"/>
      <c r="H99" s="24" t="n"/>
      <c r="I99" s="23" t="n"/>
      <c r="J99" s="24" t="n"/>
      <c r="K99" s="23" t="n"/>
      <c r="L99" s="10" t="inlineStr">
        <is>
          <t>Typology drawing R01</t>
        </is>
      </c>
      <c r="M99" s="10">
        <f>Config!$B$3&amp;"?room="&amp;A99</f>
        <v/>
      </c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G100" s="23" t="n"/>
      <c r="H100" s="24" t="n"/>
      <c r="I100" s="23" t="n"/>
      <c r="J100" s="24" t="n"/>
      <c r="K100" s="23" t="n"/>
      <c r="L100" s="10" t="inlineStr">
        <is>
          <t>Typology drawing R01</t>
        </is>
      </c>
      <c r="M100" s="10">
        <f>Config!$B$3&amp;"?room="&amp;A100</f>
        <v/>
      </c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G101" s="23" t="n"/>
      <c r="H101" s="24" t="n"/>
      <c r="I101" s="23" t="n"/>
      <c r="J101" s="24" t="n"/>
      <c r="K101" s="23" t="n"/>
      <c r="L101" s="10" t="inlineStr">
        <is>
          <t>Typology drawing R01</t>
        </is>
      </c>
      <c r="M101" s="10">
        <f>Config!$B$3&amp;"?room="&amp;A101</f>
        <v/>
      </c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G102" s="23" t="n"/>
      <c r="H102" s="24" t="n"/>
      <c r="I102" s="23" t="n"/>
      <c r="J102" s="24" t="n"/>
      <c r="K102" s="23" t="n"/>
      <c r="L102" s="10" t="inlineStr">
        <is>
          <t>Typology drawing R01</t>
        </is>
      </c>
      <c r="M102" s="10">
        <f>Config!$B$3&amp;"?room="&amp;A102</f>
        <v/>
      </c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G103" s="23" t="n"/>
      <c r="H103" s="24" t="n"/>
      <c r="I103" s="23" t="n"/>
      <c r="J103" s="24" t="n"/>
      <c r="K103" s="23" t="n"/>
      <c r="L103" s="10" t="inlineStr">
        <is>
          <t>Typology drawing R01</t>
        </is>
      </c>
      <c r="M103" s="10">
        <f>Config!$B$3&amp;"?room="&amp;A103</f>
        <v/>
      </c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G104" s="23" t="n"/>
      <c r="H104" s="24" t="n"/>
      <c r="I104" s="23" t="n"/>
      <c r="J104" s="24" t="n"/>
      <c r="K104" s="23" t="n"/>
      <c r="L104" s="10" t="inlineStr">
        <is>
          <t>Typology drawing R01</t>
        </is>
      </c>
      <c r="M104" s="10">
        <f>Config!$B$3&amp;"?room="&amp;A104</f>
        <v/>
      </c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G105" s="23" t="n"/>
      <c r="H105" s="24" t="n"/>
      <c r="I105" s="23" t="n"/>
      <c r="J105" s="24" t="n"/>
      <c r="K105" s="23" t="n"/>
      <c r="L105" s="10" t="inlineStr">
        <is>
          <t>Typology drawing R01</t>
        </is>
      </c>
      <c r="M105" s="10">
        <f>Config!$B$3&amp;"?room="&amp;A105</f>
        <v/>
      </c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G106" s="23" t="n"/>
      <c r="H106" s="24" t="n"/>
      <c r="I106" s="23" t="n"/>
      <c r="J106" s="24" t="n"/>
      <c r="K106" s="23" t="n"/>
      <c r="L106" s="10" t="inlineStr">
        <is>
          <t>Typology drawing R01</t>
        </is>
      </c>
      <c r="M106" s="10">
        <f>Config!$B$3&amp;"?room="&amp;A106</f>
        <v/>
      </c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G107" s="23" t="n"/>
      <c r="H107" s="24" t="n"/>
      <c r="I107" s="23" t="n"/>
      <c r="J107" s="24" t="n"/>
      <c r="K107" s="23" t="n"/>
      <c r="L107" s="10" t="inlineStr">
        <is>
          <t>Type per Room Matrix (drawing shows F03A)</t>
        </is>
      </c>
      <c r="M107" s="10">
        <f>Config!$B$3&amp;"?room="&amp;A107</f>
        <v/>
      </c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G108" s="23" t="n"/>
      <c r="H108" s="24" t="n"/>
      <c r="I108" s="23" t="n"/>
      <c r="J108" s="24" t="n"/>
      <c r="K108" s="23" t="n"/>
      <c r="L108" s="10" t="inlineStr">
        <is>
          <t>Typology drawing R01</t>
        </is>
      </c>
      <c r="M108" s="10">
        <f>Config!$B$3&amp;"?room="&amp;A108</f>
        <v/>
      </c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G109" s="23" t="n"/>
      <c r="H109" s="24" t="n"/>
      <c r="I109" s="23" t="n"/>
      <c r="J109" s="24" t="n"/>
      <c r="K109" s="23" t="n"/>
      <c r="L109" s="10" t="inlineStr">
        <is>
          <t>Typology drawing R01</t>
        </is>
      </c>
      <c r="M109" s="10">
        <f>Config!$B$3&amp;"?room="&amp;A109</f>
        <v/>
      </c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G110" s="23" t="n"/>
      <c r="H110" s="24" t="n"/>
      <c r="I110" s="23" t="n"/>
      <c r="J110" s="24" t="n"/>
      <c r="K110" s="23" t="n"/>
      <c r="L110" s="10" t="inlineStr">
        <is>
          <t>Typology drawing R01</t>
        </is>
      </c>
      <c r="M110" s="10">
        <f>Config!$B$3&amp;"?room="&amp;A110</f>
        <v/>
      </c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G111" s="23" t="n"/>
      <c r="H111" s="24" t="n"/>
      <c r="I111" s="23" t="n"/>
      <c r="J111" s="24" t="n"/>
      <c r="K111" s="23" t="n"/>
      <c r="L111" s="10" t="inlineStr">
        <is>
          <t>Typology drawing R01</t>
        </is>
      </c>
      <c r="M111" s="10">
        <f>Config!$B$3&amp;"?room="&amp;A111</f>
        <v/>
      </c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G112" s="23" t="n"/>
      <c r="H112" s="24" t="n"/>
      <c r="I112" s="23" t="n"/>
      <c r="J112" s="24" t="n"/>
      <c r="K112" s="23" t="n"/>
      <c r="L112" s="10" t="inlineStr">
        <is>
          <t>Typology drawing R01</t>
        </is>
      </c>
      <c r="M112" s="10">
        <f>Config!$B$3&amp;"?room="&amp;A112</f>
        <v/>
      </c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G113" s="23" t="n"/>
      <c r="H113" s="24" t="n"/>
      <c r="I113" s="23" t="n"/>
      <c r="J113" s="24" t="n"/>
      <c r="K113" s="23" t="n"/>
      <c r="L113" s="10" t="inlineStr">
        <is>
          <t>Typology drawing R01</t>
        </is>
      </c>
      <c r="M113" s="10">
        <f>Config!$B$3&amp;"?room="&amp;A113</f>
        <v/>
      </c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G114" s="23" t="n"/>
      <c r="H114" s="24" t="n"/>
      <c r="I114" s="23" t="n"/>
      <c r="J114" s="24" t="n"/>
      <c r="K114" s="23" t="n"/>
      <c r="L114" s="10" t="inlineStr">
        <is>
          <t>Typology drawing R01</t>
        </is>
      </c>
      <c r="M114" s="10">
        <f>Config!$B$3&amp;"?room="&amp;A114</f>
        <v/>
      </c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G115" s="23" t="n"/>
      <c r="H115" s="24" t="n"/>
      <c r="I115" s="23" t="n"/>
      <c r="J115" s="24" t="n"/>
      <c r="K115" s="23" t="n"/>
      <c r="L115" s="10" t="inlineStr">
        <is>
          <t>Typology drawing R01</t>
        </is>
      </c>
      <c r="M115" s="10">
        <f>Config!$B$3&amp;"?room="&amp;A115</f>
        <v/>
      </c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G116" s="23" t="n"/>
      <c r="H116" s="24" t="n"/>
      <c r="I116" s="23" t="n"/>
      <c r="J116" s="24" t="n"/>
      <c r="K116" s="23" t="n"/>
      <c r="L116" s="10" t="inlineStr">
        <is>
          <t>Typology drawing R01</t>
        </is>
      </c>
      <c r="M116" s="10">
        <f>Config!$B$3&amp;"?room="&amp;A116</f>
        <v/>
      </c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G117" s="23" t="n"/>
      <c r="H117" s="24" t="n"/>
      <c r="I117" s="23" t="n"/>
      <c r="J117" s="24" t="n"/>
      <c r="K117" s="23" t="n"/>
      <c r="L117" s="10" t="inlineStr">
        <is>
          <t>Typology drawing R01</t>
        </is>
      </c>
      <c r="M117" s="10">
        <f>Config!$B$3&amp;"?room="&amp;A117</f>
        <v/>
      </c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G118" s="23" t="n"/>
      <c r="H118" s="24" t="n"/>
      <c r="I118" s="23" t="n"/>
      <c r="J118" s="24" t="n"/>
      <c r="K118" s="23" t="n"/>
      <c r="L118" s="10" t="inlineStr">
        <is>
          <t>Typology drawing R01</t>
        </is>
      </c>
      <c r="M118" s="10">
        <f>Config!$B$3&amp;"?room="&amp;A118</f>
        <v/>
      </c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G119" s="23" t="n"/>
      <c r="H119" s="24" t="n"/>
      <c r="I119" s="23" t="n"/>
      <c r="J119" s="24" t="n"/>
      <c r="K119" s="23" t="n"/>
      <c r="L119" s="10" t="inlineStr">
        <is>
          <t>Typology drawing R01</t>
        </is>
      </c>
      <c r="M119" s="10">
        <f>Config!$B$3&amp;"?room="&amp;A119</f>
        <v/>
      </c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G120" s="23" t="n"/>
      <c r="H120" s="24" t="n"/>
      <c r="I120" s="23" t="n"/>
      <c r="J120" s="24" t="n"/>
      <c r="K120" s="23" t="n"/>
      <c r="L120" s="10" t="inlineStr">
        <is>
          <t>Typology drawing R01</t>
        </is>
      </c>
      <c r="M120" s="10">
        <f>Config!$B$3&amp;"?room="&amp;A120</f>
        <v/>
      </c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G121" s="23" t="n"/>
      <c r="H121" s="24" t="n"/>
      <c r="I121" s="23" t="n"/>
      <c r="J121" s="24" t="n"/>
      <c r="K121" s="23" t="n"/>
      <c r="L121" s="10" t="inlineStr">
        <is>
          <t>Typology drawing R01</t>
        </is>
      </c>
      <c r="M121" s="10">
        <f>Config!$B$3&amp;"?room="&amp;A121</f>
        <v/>
      </c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G122" s="23" t="n"/>
      <c r="H122" s="24" t="n"/>
      <c r="I122" s="23" t="n"/>
      <c r="J122" s="24" t="n"/>
      <c r="K122" s="23" t="n"/>
      <c r="L122" s="10" t="inlineStr">
        <is>
          <t>Typology drawing R01</t>
        </is>
      </c>
      <c r="M122" s="10">
        <f>Config!$B$3&amp;"?room="&amp;A122</f>
        <v/>
      </c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G123" s="23" t="n"/>
      <c r="H123" s="24" t="n"/>
      <c r="I123" s="23" t="n"/>
      <c r="J123" s="24" t="n"/>
      <c r="K123" s="23" t="n"/>
      <c r="L123" s="10" t="inlineStr">
        <is>
          <t>Typology drawing R01</t>
        </is>
      </c>
      <c r="M123" s="10">
        <f>Config!$B$3&amp;"?room="&amp;A123</f>
        <v/>
      </c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G124" s="23" t="n"/>
      <c r="H124" s="24" t="n"/>
      <c r="I124" s="23" t="n"/>
      <c r="J124" s="24" t="n"/>
      <c r="K124" s="23" t="n"/>
      <c r="L124" s="10" t="inlineStr">
        <is>
          <t>Typology drawing R01</t>
        </is>
      </c>
      <c r="M124" s="10">
        <f>Config!$B$3&amp;"?room="&amp;A124</f>
        <v/>
      </c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G125" s="23" t="n"/>
      <c r="H125" s="24" t="n"/>
      <c r="I125" s="23" t="n"/>
      <c r="J125" s="24" t="n"/>
      <c r="K125" s="23" t="n"/>
      <c r="L125" s="10" t="inlineStr">
        <is>
          <t>Typology drawing R01</t>
        </is>
      </c>
      <c r="M125" s="10">
        <f>Config!$B$3&amp;"?room="&amp;A125</f>
        <v/>
      </c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G126" s="23" t="n"/>
      <c r="H126" s="24" t="n"/>
      <c r="I126" s="23" t="n"/>
      <c r="J126" s="24" t="n"/>
      <c r="K126" s="23" t="n"/>
      <c r="L126" s="10" t="inlineStr">
        <is>
          <t>Typology drawing R01</t>
        </is>
      </c>
      <c r="M126" s="10">
        <f>Config!$B$3&amp;"?room="&amp;A126</f>
        <v/>
      </c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G127" s="23" t="n"/>
      <c r="H127" s="24" t="n"/>
      <c r="I127" s="23" t="n"/>
      <c r="J127" s="24" t="n"/>
      <c r="K127" s="23" t="n"/>
      <c r="L127" s="10" t="inlineStr">
        <is>
          <t>Typology drawing R01</t>
        </is>
      </c>
      <c r="M127" s="10">
        <f>Config!$B$3&amp;"?room="&amp;A127</f>
        <v/>
      </c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G128" s="23" t="n"/>
      <c r="H128" s="24" t="n"/>
      <c r="I128" s="23" t="n"/>
      <c r="J128" s="24" t="n"/>
      <c r="K128" s="23" t="n"/>
      <c r="L128" s="10" t="inlineStr">
        <is>
          <t>Typology drawing R01</t>
        </is>
      </c>
      <c r="M128" s="10">
        <f>Config!$B$3&amp;"?room="&amp;A128</f>
        <v/>
      </c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G129" s="23" t="n"/>
      <c r="H129" s="24" t="n"/>
      <c r="I129" s="23" t="n"/>
      <c r="J129" s="24" t="n"/>
      <c r="K129" s="23" t="n"/>
      <c r="L129" s="10" t="inlineStr">
        <is>
          <t>Typology drawing R01</t>
        </is>
      </c>
      <c r="M129" s="10">
        <f>Config!$B$3&amp;"?room="&amp;A129</f>
        <v/>
      </c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G130" s="23" t="n"/>
      <c r="H130" s="24" t="n"/>
      <c r="I130" s="23" t="n"/>
      <c r="J130" s="24" t="n"/>
      <c r="K130" s="23" t="n"/>
      <c r="L130" s="10" t="inlineStr">
        <is>
          <t>Typology drawing R01</t>
        </is>
      </c>
      <c r="M130" s="10">
        <f>Config!$B$3&amp;"?room="&amp;A130</f>
        <v/>
      </c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G131" s="23" t="n"/>
      <c r="H131" s="24" t="n"/>
      <c r="I131" s="23" t="n"/>
      <c r="J131" s="24" t="n"/>
      <c r="K131" s="23" t="n"/>
      <c r="L131" s="10" t="inlineStr">
        <is>
          <t>Typology drawing R01</t>
        </is>
      </c>
      <c r="M131" s="10">
        <f>Config!$B$3&amp;"?room="&amp;A131</f>
        <v/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G132" s="23" t="n"/>
      <c r="H132" s="24" t="n"/>
      <c r="I132" s="23" t="n"/>
      <c r="J132" s="24" t="n"/>
      <c r="K132" s="23" t="n"/>
      <c r="L132" s="10" t="inlineStr">
        <is>
          <t>Typology drawing R01</t>
        </is>
      </c>
      <c r="M132" s="10">
        <f>Config!$B$3&amp;"?room="&amp;A132</f>
        <v/>
      </c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G133" s="23" t="n"/>
      <c r="H133" s="24" t="n"/>
      <c r="I133" s="23" t="n"/>
      <c r="J133" s="24" t="n"/>
      <c r="K133" s="23" t="n"/>
      <c r="L133" s="10" t="inlineStr">
        <is>
          <t>Typology drawing R01</t>
        </is>
      </c>
      <c r="M133" s="10">
        <f>Config!$B$3&amp;"?room="&amp;A133</f>
        <v/>
      </c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G134" s="23" t="n"/>
      <c r="H134" s="24" t="n"/>
      <c r="I134" s="23" t="n"/>
      <c r="J134" s="24" t="n"/>
      <c r="K134" s="23" t="n"/>
      <c r="L134" s="10" t="inlineStr">
        <is>
          <t>Typology drawing R01</t>
        </is>
      </c>
      <c r="M134" s="10">
        <f>Config!$B$3&amp;"?room="&amp;A134</f>
        <v/>
      </c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G135" s="23" t="n"/>
      <c r="H135" s="24" t="n"/>
      <c r="I135" s="23" t="n"/>
      <c r="J135" s="24" t="n"/>
      <c r="K135" s="23" t="n"/>
      <c r="L135" s="10" t="inlineStr">
        <is>
          <t>Typology drawing R01</t>
        </is>
      </c>
      <c r="M135" s="10">
        <f>Config!$B$3&amp;"?room="&amp;A135</f>
        <v/>
      </c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G136" s="23" t="n"/>
      <c r="H136" s="24" t="n"/>
      <c r="I136" s="23" t="n"/>
      <c r="J136" s="24" t="n"/>
      <c r="K136" s="23" t="n"/>
      <c r="L136" s="10" t="inlineStr">
        <is>
          <t>Typology drawing R01</t>
        </is>
      </c>
      <c r="M136" s="10">
        <f>Config!$B$3&amp;"?room="&amp;A136</f>
        <v/>
      </c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G137" s="23" t="n"/>
      <c r="H137" s="24" t="n"/>
      <c r="I137" s="23" t="n"/>
      <c r="J137" s="24" t="n"/>
      <c r="K137" s="23" t="n"/>
      <c r="L137" s="10" t="inlineStr">
        <is>
          <t>Typology drawing R01</t>
        </is>
      </c>
      <c r="M137" s="10">
        <f>Config!$B$3&amp;"?room="&amp;A137</f>
        <v/>
      </c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G138" s="23" t="n"/>
      <c r="H138" s="24" t="n"/>
      <c r="I138" s="23" t="n"/>
      <c r="J138" s="24" t="n"/>
      <c r="K138" s="23" t="n"/>
      <c r="L138" s="10" t="inlineStr">
        <is>
          <t>Typology drawing R01</t>
        </is>
      </c>
      <c r="M138" s="10">
        <f>Config!$B$3&amp;"?room="&amp;A138</f>
        <v/>
      </c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G139" s="23" t="n"/>
      <c r="H139" s="24" t="n"/>
      <c r="I139" s="23" t="n"/>
      <c r="J139" s="24" t="n"/>
      <c r="K139" s="23" t="n"/>
      <c r="L139" s="10" t="inlineStr">
        <is>
          <t>Typology drawing R01</t>
        </is>
      </c>
      <c r="M139" s="10">
        <f>Config!$B$3&amp;"?room="&amp;A139</f>
        <v/>
      </c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G140" s="23" t="n"/>
      <c r="H140" s="24" t="n"/>
      <c r="I140" s="23" t="n"/>
      <c r="J140" s="24" t="n"/>
      <c r="K140" s="23" t="n"/>
      <c r="L140" s="10" t="inlineStr">
        <is>
          <t>Typology drawing R01</t>
        </is>
      </c>
      <c r="M140" s="10">
        <f>Config!$B$3&amp;"?room="&amp;A140</f>
        <v/>
      </c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G141" s="23" t="n"/>
      <c r="H141" s="24" t="n"/>
      <c r="I141" s="23" t="n"/>
      <c r="J141" s="24" t="n"/>
      <c r="K141" s="23" t="n"/>
      <c r="L141" s="10" t="inlineStr">
        <is>
          <t>Typology drawing R01</t>
        </is>
      </c>
      <c r="M141" s="10">
        <f>Config!$B$3&amp;"?room="&amp;A141</f>
        <v/>
      </c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G142" s="23" t="n"/>
      <c r="H142" s="24" t="n"/>
      <c r="I142" s="23" t="n"/>
      <c r="J142" s="24" t="n"/>
      <c r="K142" s="23" t="n"/>
      <c r="L142" s="10" t="inlineStr">
        <is>
          <t>Type per Room Matrix (drawing shows F03A)</t>
        </is>
      </c>
      <c r="M142" s="10">
        <f>Config!$B$3&amp;"?room="&amp;A142</f>
        <v/>
      </c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G143" s="23" t="n"/>
      <c r="H143" s="24" t="n"/>
      <c r="I143" s="23" t="n"/>
      <c r="J143" s="24" t="n"/>
      <c r="K143" s="23" t="n"/>
      <c r="L143" s="10" t="inlineStr">
        <is>
          <t>Typology drawing R01</t>
        </is>
      </c>
      <c r="M143" s="10">
        <f>Config!$B$3&amp;"?room="&amp;A143</f>
        <v/>
      </c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G144" s="23" t="n"/>
      <c r="H144" s="24" t="n"/>
      <c r="I144" s="23" t="n"/>
      <c r="J144" s="24" t="n"/>
      <c r="K144" s="23" t="n"/>
      <c r="L144" s="10" t="inlineStr">
        <is>
          <t>Typology drawing R01</t>
        </is>
      </c>
      <c r="M144" s="10">
        <f>Config!$B$3&amp;"?room="&amp;A144</f>
        <v/>
      </c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G145" s="23" t="n"/>
      <c r="H145" s="24" t="n"/>
      <c r="I145" s="23" t="n"/>
      <c r="J145" s="24" t="n"/>
      <c r="K145" s="23" t="n"/>
      <c r="L145" s="10" t="inlineStr">
        <is>
          <t>Typology drawing R01</t>
        </is>
      </c>
      <c r="M145" s="10">
        <f>Config!$B$3&amp;"?room="&amp;A145</f>
        <v/>
      </c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G146" s="23" t="n"/>
      <c r="H146" s="24" t="n"/>
      <c r="I146" s="23" t="n"/>
      <c r="J146" s="24" t="n"/>
      <c r="K146" s="23" t="n"/>
      <c r="L146" s="10" t="inlineStr">
        <is>
          <t>Typology drawing R01</t>
        </is>
      </c>
      <c r="M146" s="10">
        <f>Config!$B$3&amp;"?room="&amp;A146</f>
        <v/>
      </c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G147" s="23" t="n"/>
      <c r="H147" s="24" t="n"/>
      <c r="I147" s="23" t="n"/>
      <c r="J147" s="24" t="n"/>
      <c r="K147" s="23" t="n"/>
      <c r="L147" s="10" t="inlineStr">
        <is>
          <t>Typology drawing R01</t>
        </is>
      </c>
      <c r="M147" s="10">
        <f>Config!$B$3&amp;"?room="&amp;A147</f>
        <v/>
      </c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G148" s="23" t="n"/>
      <c r="H148" s="24" t="n"/>
      <c r="I148" s="23" t="n"/>
      <c r="J148" s="24" t="n"/>
      <c r="K148" s="23" t="n"/>
      <c r="L148" s="10" t="inlineStr">
        <is>
          <t>Typology drawing R01</t>
        </is>
      </c>
      <c r="M148" s="10">
        <f>Config!$B$3&amp;"?room="&amp;A148</f>
        <v/>
      </c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G149" s="23" t="n"/>
      <c r="H149" s="24" t="n"/>
      <c r="I149" s="23" t="n"/>
      <c r="J149" s="24" t="n"/>
      <c r="K149" s="23" t="n"/>
      <c r="L149" s="10" t="inlineStr">
        <is>
          <t>Typology drawing R01</t>
        </is>
      </c>
      <c r="M149" s="10">
        <f>Config!$B$3&amp;"?room="&amp;A149</f>
        <v/>
      </c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G150" s="23" t="n"/>
      <c r="H150" s="24" t="n"/>
      <c r="I150" s="23" t="n"/>
      <c r="J150" s="24" t="n"/>
      <c r="K150" s="23" t="n"/>
      <c r="L150" s="10" t="inlineStr">
        <is>
          <t>Typology drawing R01</t>
        </is>
      </c>
      <c r="M150" s="10">
        <f>Config!$B$3&amp;"?room="&amp;A150</f>
        <v/>
      </c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G151" s="23" t="n"/>
      <c r="H151" s="24" t="n"/>
      <c r="I151" s="23" t="n"/>
      <c r="J151" s="24" t="n"/>
      <c r="K151" s="23" t="n"/>
      <c r="L151" s="10" t="inlineStr">
        <is>
          <t>Typology drawing R01</t>
        </is>
      </c>
      <c r="M151" s="10">
        <f>Config!$B$3&amp;"?room="&amp;A151</f>
        <v/>
      </c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G152" s="23" t="n"/>
      <c r="H152" s="24" t="n"/>
      <c r="I152" s="23" t="n"/>
      <c r="J152" s="24" t="n"/>
      <c r="K152" s="23" t="n"/>
      <c r="L152" s="10" t="inlineStr">
        <is>
          <t>Typology drawing R01</t>
        </is>
      </c>
      <c r="M152" s="10">
        <f>Config!$B$3&amp;"?room="&amp;A152</f>
        <v/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G153" s="23" t="n"/>
      <c r="H153" s="24" t="n"/>
      <c r="I153" s="23" t="n"/>
      <c r="J153" s="24" t="n"/>
      <c r="K153" s="23" t="n"/>
      <c r="L153" s="10" t="inlineStr">
        <is>
          <t>Typology drawing R01</t>
        </is>
      </c>
      <c r="M153" s="10">
        <f>Config!$B$3&amp;"?room="&amp;A153</f>
        <v/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G154" s="23" t="n"/>
      <c r="H154" s="24" t="n"/>
      <c r="I154" s="23" t="n"/>
      <c r="J154" s="24" t="n"/>
      <c r="K154" s="23" t="n"/>
      <c r="L154" s="10" t="inlineStr">
        <is>
          <t>Typology drawing R01</t>
        </is>
      </c>
      <c r="M154" s="10">
        <f>Config!$B$3&amp;"?room="&amp;A154</f>
        <v/>
      </c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G155" s="23" t="n"/>
      <c r="H155" s="24" t="n"/>
      <c r="I155" s="23" t="n"/>
      <c r="J155" s="24" t="n"/>
      <c r="K155" s="23" t="n"/>
      <c r="L155" s="10" t="inlineStr">
        <is>
          <t>Typology drawing R01</t>
        </is>
      </c>
      <c r="M155" s="10">
        <f>Config!$B$3&amp;"?room="&amp;A155</f>
        <v/>
      </c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G156" s="23" t="n"/>
      <c r="H156" s="24" t="n"/>
      <c r="I156" s="23" t="n"/>
      <c r="J156" s="24" t="n"/>
      <c r="K156" s="23" t="n"/>
      <c r="L156" s="10" t="inlineStr">
        <is>
          <t>Typology drawing R01</t>
        </is>
      </c>
      <c r="M156" s="10">
        <f>Config!$B$3&amp;"?room="&amp;A156</f>
        <v/>
      </c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G157" s="23" t="n"/>
      <c r="H157" s="24" t="n"/>
      <c r="I157" s="23" t="n"/>
      <c r="J157" s="24" t="n"/>
      <c r="K157" s="23" t="n"/>
      <c r="L157" s="10" t="inlineStr">
        <is>
          <t>Typology drawing R01</t>
        </is>
      </c>
      <c r="M157" s="10">
        <f>Config!$B$3&amp;"?room="&amp;A157</f>
        <v/>
      </c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G158" s="23" t="n"/>
      <c r="H158" s="24" t="n"/>
      <c r="I158" s="23" t="n"/>
      <c r="J158" s="24" t="n"/>
      <c r="K158" s="23" t="n"/>
      <c r="L158" s="10" t="inlineStr">
        <is>
          <t>Typology drawing R01</t>
        </is>
      </c>
      <c r="M158" s="10">
        <f>Config!$B$3&amp;"?room="&amp;A158</f>
        <v/>
      </c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G159" s="23" t="n"/>
      <c r="H159" s="24" t="n"/>
      <c r="I159" s="23" t="n"/>
      <c r="J159" s="24" t="n"/>
      <c r="K159" s="23" t="n"/>
      <c r="L159" s="10" t="inlineStr">
        <is>
          <t>Typology drawing R01</t>
        </is>
      </c>
      <c r="M159" s="10">
        <f>Config!$B$3&amp;"?room="&amp;A159</f>
        <v/>
      </c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G160" s="23" t="n"/>
      <c r="H160" s="24" t="n"/>
      <c r="I160" s="23" t="n"/>
      <c r="J160" s="24" t="n"/>
      <c r="K160" s="23" t="n"/>
      <c r="L160" s="10" t="inlineStr">
        <is>
          <t>Typology drawing R01</t>
        </is>
      </c>
      <c r="M160" s="10">
        <f>Config!$B$3&amp;"?room="&amp;A160</f>
        <v/>
      </c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G161" s="23" t="n"/>
      <c r="H161" s="24" t="n"/>
      <c r="I161" s="23" t="n"/>
      <c r="J161" s="24" t="n"/>
      <c r="K161" s="23" t="n"/>
      <c r="L161" s="10" t="inlineStr">
        <is>
          <t>Typology drawing R01</t>
        </is>
      </c>
      <c r="M161" s="10">
        <f>Config!$B$3&amp;"?room="&amp;A161</f>
        <v/>
      </c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G162" s="23" t="n"/>
      <c r="H162" s="24" t="n"/>
      <c r="I162" s="23" t="n"/>
      <c r="J162" s="24" t="n"/>
      <c r="K162" s="23" t="n"/>
      <c r="L162" s="10" t="inlineStr">
        <is>
          <t>Typology drawing R01</t>
        </is>
      </c>
      <c r="M162" s="10">
        <f>Config!$B$3&amp;"?room="&amp;A162</f>
        <v/>
      </c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G163" s="23" t="n"/>
      <c r="H163" s="24" t="n"/>
      <c r="I163" s="23" t="n"/>
      <c r="J163" s="24" t="n"/>
      <c r="K163" s="23" t="n"/>
      <c r="L163" s="10" t="inlineStr">
        <is>
          <t>Typology drawing R01</t>
        </is>
      </c>
      <c r="M163" s="10">
        <f>Config!$B$3&amp;"?room="&amp;A163</f>
        <v/>
      </c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G164" s="23" t="n"/>
      <c r="H164" s="24" t="n"/>
      <c r="I164" s="23" t="n"/>
      <c r="J164" s="24" t="n"/>
      <c r="K164" s="23" t="n"/>
      <c r="L164" s="10" t="inlineStr">
        <is>
          <t>Typology drawing R01</t>
        </is>
      </c>
      <c r="M164" s="10">
        <f>Config!$B$3&amp;"?room="&amp;A164</f>
        <v/>
      </c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G165" s="23" t="n"/>
      <c r="H165" s="24" t="n"/>
      <c r="I165" s="23" t="n"/>
      <c r="J165" s="24" t="n"/>
      <c r="K165" s="23" t="n"/>
      <c r="L165" s="10" t="inlineStr">
        <is>
          <t>Typology drawing R01</t>
        </is>
      </c>
      <c r="M165" s="10">
        <f>Config!$B$3&amp;"?room="&amp;A165</f>
        <v/>
      </c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G166" s="23" t="n"/>
      <c r="H166" s="24" t="n"/>
      <c r="I166" s="23" t="n"/>
      <c r="J166" s="24" t="n"/>
      <c r="K166" s="23" t="n"/>
      <c r="L166" s="10" t="inlineStr">
        <is>
          <t>Typology drawing R01</t>
        </is>
      </c>
      <c r="M166" s="10">
        <f>Config!$B$3&amp;"?room="&amp;A166</f>
        <v/>
      </c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G167" s="23" t="n"/>
      <c r="H167" s="24" t="n"/>
      <c r="I167" s="23" t="n"/>
      <c r="J167" s="24" t="n"/>
      <c r="K167" s="23" t="n"/>
      <c r="L167" s="10" t="inlineStr">
        <is>
          <t>Typology drawing R01</t>
        </is>
      </c>
      <c r="M167" s="10">
        <f>Config!$B$3&amp;"?room="&amp;A167</f>
        <v/>
      </c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G168" s="23" t="n"/>
      <c r="H168" s="24" t="n"/>
      <c r="I168" s="23" t="n"/>
      <c r="J168" s="24" t="n"/>
      <c r="K168" s="23" t="n"/>
      <c r="L168" s="10" t="inlineStr">
        <is>
          <t>Typology drawing R01</t>
        </is>
      </c>
      <c r="M168" s="10">
        <f>Config!$B$3&amp;"?room="&amp;A168</f>
        <v/>
      </c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G169" s="23" t="n"/>
      <c r="H169" s="24" t="n"/>
      <c r="I169" s="23" t="n"/>
      <c r="J169" s="24" t="n"/>
      <c r="K169" s="23" t="n"/>
      <c r="L169" s="10" t="inlineStr">
        <is>
          <t>Typology drawing R01</t>
        </is>
      </c>
      <c r="M169" s="10">
        <f>Config!$B$3&amp;"?room="&amp;A169</f>
        <v/>
      </c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G170" s="23" t="n"/>
      <c r="H170" s="24" t="n"/>
      <c r="I170" s="23" t="n"/>
      <c r="J170" s="24" t="n"/>
      <c r="K170" s="23" t="n"/>
      <c r="L170" s="10" t="inlineStr">
        <is>
          <t>Typology drawing R01</t>
        </is>
      </c>
      <c r="M170" s="10">
        <f>Config!$B$3&amp;"?room="&amp;A170</f>
        <v/>
      </c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G171" s="23" t="n"/>
      <c r="H171" s="24" t="n"/>
      <c r="I171" s="23" t="n"/>
      <c r="J171" s="24" t="n"/>
      <c r="K171" s="23" t="n"/>
      <c r="L171" s="10" t="inlineStr">
        <is>
          <t>Typology drawing R01</t>
        </is>
      </c>
      <c r="M171" s="10">
        <f>Config!$B$3&amp;"?room="&amp;A171</f>
        <v/>
      </c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G172" s="23" t="n"/>
      <c r="H172" s="24" t="n"/>
      <c r="I172" s="23" t="n"/>
      <c r="J172" s="24" t="n"/>
      <c r="K172" s="23" t="n"/>
      <c r="L172" s="10" t="inlineStr">
        <is>
          <t>Typology drawing R01</t>
        </is>
      </c>
      <c r="M172" s="10">
        <f>Config!$B$3&amp;"?room="&amp;A172</f>
        <v/>
      </c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G173" s="23" t="n"/>
      <c r="H173" s="24" t="n"/>
      <c r="I173" s="23" t="n"/>
      <c r="J173" s="24" t="n"/>
      <c r="K173" s="23" t="n"/>
      <c r="L173" s="10" t="inlineStr">
        <is>
          <t>Typology drawing R01</t>
        </is>
      </c>
      <c r="M173" s="10">
        <f>Config!$B$3&amp;"?room="&amp;A173</f>
        <v/>
      </c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G174" s="23" t="n"/>
      <c r="H174" s="24" t="n"/>
      <c r="I174" s="23" t="n"/>
      <c r="J174" s="24" t="n"/>
      <c r="K174" s="23" t="n"/>
      <c r="L174" s="10" t="inlineStr">
        <is>
          <t>Typology drawing R01</t>
        </is>
      </c>
      <c r="M174" s="10">
        <f>Config!$B$3&amp;"?room="&amp;A174</f>
        <v/>
      </c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G175" s="23" t="n"/>
      <c r="H175" s="24" t="n"/>
      <c r="I175" s="23" t="n"/>
      <c r="J175" s="24" t="n"/>
      <c r="K175" s="23" t="n"/>
      <c r="L175" s="10" t="inlineStr">
        <is>
          <t>Typology drawing R01</t>
        </is>
      </c>
      <c r="M175" s="10">
        <f>Config!$B$3&amp;"?room="&amp;A175</f>
        <v/>
      </c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G176" s="23" t="n"/>
      <c r="H176" s="24" t="n"/>
      <c r="I176" s="23" t="n"/>
      <c r="J176" s="24" t="n"/>
      <c r="K176" s="23" t="n"/>
      <c r="L176" s="10" t="inlineStr">
        <is>
          <t>Typology drawing R01</t>
        </is>
      </c>
      <c r="M176" s="10">
        <f>Config!$B$3&amp;"?room="&amp;A176</f>
        <v/>
      </c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G177" s="23" t="n"/>
      <c r="H177" s="24" t="n"/>
      <c r="I177" s="23" t="n"/>
      <c r="J177" s="24" t="n"/>
      <c r="K177" s="23" t="n"/>
      <c r="L177" s="10" t="inlineStr">
        <is>
          <t>Typology drawing R01</t>
        </is>
      </c>
      <c r="M177" s="10">
        <f>Config!$B$3&amp;"?room="&amp;A177</f>
        <v/>
      </c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G178" s="23" t="n"/>
      <c r="H178" s="24" t="n"/>
      <c r="I178" s="23" t="n"/>
      <c r="J178" s="24" t="n"/>
      <c r="K178" s="23" t="n"/>
      <c r="L178" s="10" t="inlineStr">
        <is>
          <t>Typology drawing R01</t>
        </is>
      </c>
      <c r="M178" s="10">
        <f>Config!$B$3&amp;"?room="&amp;A178</f>
        <v/>
      </c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G179" s="23" t="n"/>
      <c r="H179" s="24" t="n"/>
      <c r="I179" s="23" t="n"/>
      <c r="J179" s="24" t="n"/>
      <c r="K179" s="23" t="n"/>
      <c r="L179" s="10" t="inlineStr">
        <is>
          <t>Typology drawing R01</t>
        </is>
      </c>
      <c r="M179" s="10">
        <f>Config!$B$3&amp;"?room="&amp;A179</f>
        <v/>
      </c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G180" s="23" t="n"/>
      <c r="H180" s="24" t="n"/>
      <c r="I180" s="23" t="n"/>
      <c r="J180" s="24" t="n"/>
      <c r="K180" s="23" t="n"/>
      <c r="L180" s="10" t="inlineStr">
        <is>
          <t>Typology drawing R01</t>
        </is>
      </c>
      <c r="M180" s="10">
        <f>Config!$B$3&amp;"?room="&amp;A180</f>
        <v/>
      </c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G181" s="23" t="n"/>
      <c r="H181" s="24" t="n"/>
      <c r="I181" s="23" t="n"/>
      <c r="J181" s="24" t="n"/>
      <c r="K181" s="23" t="n"/>
      <c r="L181" s="10" t="inlineStr">
        <is>
          <t>Typology drawing R01</t>
        </is>
      </c>
      <c r="M181" s="10">
        <f>Config!$B$3&amp;"?room="&amp;A181</f>
        <v/>
      </c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G182" s="23" t="n"/>
      <c r="H182" s="24" t="n"/>
      <c r="I182" s="23" t="n"/>
      <c r="J182" s="24" t="n"/>
      <c r="K182" s="23" t="n"/>
      <c r="L182" s="10" t="inlineStr">
        <is>
          <t>Typology drawing R01</t>
        </is>
      </c>
      <c r="M182" s="10">
        <f>Config!$B$3&amp;"?room="&amp;A182</f>
        <v/>
      </c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G183" s="23" t="n"/>
      <c r="H183" s="24" t="n"/>
      <c r="I183" s="23" t="n"/>
      <c r="J183" s="24" t="n"/>
      <c r="K183" s="23" t="n"/>
      <c r="L183" s="10" t="inlineStr">
        <is>
          <t>Typology drawing R01</t>
        </is>
      </c>
      <c r="M183" s="10">
        <f>Config!$B$3&amp;"?room="&amp;A183</f>
        <v/>
      </c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G184" s="23" t="n"/>
      <c r="H184" s="24" t="n"/>
      <c r="I184" s="23" t="n"/>
      <c r="J184" s="24" t="n"/>
      <c r="K184" s="23" t="n"/>
      <c r="L184" s="10" t="inlineStr">
        <is>
          <t>Typology drawing R01</t>
        </is>
      </c>
      <c r="M184" s="10">
        <f>Config!$B$3&amp;"?room="&amp;A184</f>
        <v/>
      </c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G185" s="23" t="n"/>
      <c r="H185" s="24" t="n"/>
      <c r="I185" s="23" t="n"/>
      <c r="J185" s="24" t="n"/>
      <c r="K185" s="23" t="n"/>
      <c r="L185" s="10" t="inlineStr">
        <is>
          <t>Typology drawing R01</t>
        </is>
      </c>
      <c r="M185" s="10">
        <f>Config!$B$3&amp;"?room="&amp;A185</f>
        <v/>
      </c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G186" s="23" t="n"/>
      <c r="H186" s="24" t="n"/>
      <c r="I186" s="23" t="n"/>
      <c r="J186" s="24" t="n"/>
      <c r="K186" s="23" t="n"/>
      <c r="L186" s="10" t="inlineStr">
        <is>
          <t>Typology drawing R01</t>
        </is>
      </c>
      <c r="M186" s="10">
        <f>Config!$B$3&amp;"?room="&amp;A186</f>
        <v/>
      </c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G187" s="23" t="n"/>
      <c r="H187" s="24" t="n"/>
      <c r="I187" s="23" t="n"/>
      <c r="J187" s="24" t="n"/>
      <c r="K187" s="23" t="n"/>
      <c r="L187" s="10" t="inlineStr">
        <is>
          <t>Typology drawing R01</t>
        </is>
      </c>
      <c r="M187" s="10">
        <f>Config!$B$3&amp;"?room="&amp;A187</f>
        <v/>
      </c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G188" s="23" t="n"/>
      <c r="H188" s="24" t="n"/>
      <c r="I188" s="23" t="n"/>
      <c r="J188" s="24" t="n"/>
      <c r="K188" s="23" t="n"/>
      <c r="L188" s="10" t="inlineStr">
        <is>
          <t>Typology drawing R01</t>
        </is>
      </c>
      <c r="M188" s="10">
        <f>Config!$B$3&amp;"?room="&amp;A188</f>
        <v/>
      </c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G189" s="23" t="n"/>
      <c r="H189" s="24" t="n"/>
      <c r="I189" s="23" t="n"/>
      <c r="J189" s="24" t="n"/>
      <c r="K189" s="23" t="n"/>
      <c r="L189" s="10" t="inlineStr">
        <is>
          <t>Typology drawing R01</t>
        </is>
      </c>
      <c r="M189" s="10">
        <f>Config!$B$3&amp;"?room="&amp;A189</f>
        <v/>
      </c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G190" s="23" t="n"/>
      <c r="H190" s="24" t="n"/>
      <c r="I190" s="23" t="n"/>
      <c r="J190" s="24" t="n"/>
      <c r="K190" s="23" t="n"/>
      <c r="L190" s="10" t="inlineStr">
        <is>
          <t>Typology drawing R01</t>
        </is>
      </c>
      <c r="M190" s="10">
        <f>Config!$B$3&amp;"?room="&amp;A190</f>
        <v/>
      </c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G191" s="23" t="n"/>
      <c r="H191" s="24" t="n"/>
      <c r="I191" s="23" t="n"/>
      <c r="J191" s="24" t="n"/>
      <c r="K191" s="23" t="n"/>
      <c r="L191" s="10" t="inlineStr">
        <is>
          <t>Typology drawing R01</t>
        </is>
      </c>
      <c r="M191" s="10">
        <f>Config!$B$3&amp;"?room="&amp;A191</f>
        <v/>
      </c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G192" s="23" t="n"/>
      <c r="H192" s="24" t="n"/>
      <c r="I192" s="23" t="n"/>
      <c r="J192" s="24" t="n"/>
      <c r="K192" s="23" t="n"/>
      <c r="L192" s="10" t="inlineStr">
        <is>
          <t>Typology drawing R01</t>
        </is>
      </c>
      <c r="M192" s="10">
        <f>Config!$B$3&amp;"?room="&amp;A192</f>
        <v/>
      </c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G193" s="23" t="n"/>
      <c r="H193" s="24" t="n"/>
      <c r="I193" s="23" t="n"/>
      <c r="J193" s="24" t="n"/>
      <c r="K193" s="23" t="n"/>
      <c r="L193" s="10" t="inlineStr">
        <is>
          <t>Typology drawing R01</t>
        </is>
      </c>
      <c r="M193" s="10">
        <f>Config!$B$3&amp;"?room="&amp;A193</f>
        <v/>
      </c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G194" s="23" t="n"/>
      <c r="H194" s="24" t="n"/>
      <c r="I194" s="23" t="n"/>
      <c r="J194" s="24" t="n"/>
      <c r="K194" s="23" t="n"/>
      <c r="L194" s="10" t="inlineStr">
        <is>
          <t>Typology drawing R01</t>
        </is>
      </c>
      <c r="M194" s="10">
        <f>Config!$B$3&amp;"?room="&amp;A194</f>
        <v/>
      </c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G195" s="23" t="n"/>
      <c r="H195" s="24" t="n"/>
      <c r="I195" s="23" t="n"/>
      <c r="J195" s="24" t="n"/>
      <c r="K195" s="23" t="n"/>
      <c r="L195" s="10" t="inlineStr">
        <is>
          <t>Typology drawing R01</t>
        </is>
      </c>
      <c r="M195" s="10">
        <f>Config!$B$3&amp;"?room="&amp;A195</f>
        <v/>
      </c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G196" s="23" t="n"/>
      <c r="H196" s="24" t="n"/>
      <c r="I196" s="23" t="n"/>
      <c r="J196" s="24" t="n"/>
      <c r="K196" s="23" t="n"/>
      <c r="L196" s="10" t="inlineStr">
        <is>
          <t>Typology drawing R01</t>
        </is>
      </c>
      <c r="M196" s="10">
        <f>Config!$B$3&amp;"?room="&amp;A196</f>
        <v/>
      </c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G197" s="23" t="n"/>
      <c r="H197" s="24" t="n"/>
      <c r="I197" s="23" t="n"/>
      <c r="J197" s="24" t="n"/>
      <c r="K197" s="23" t="n"/>
      <c r="L197" s="10" t="inlineStr">
        <is>
          <t>Typology drawing R01</t>
        </is>
      </c>
      <c r="M197" s="10">
        <f>Config!$B$3&amp;"?room="&amp;A197</f>
        <v/>
      </c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G198" s="23" t="n"/>
      <c r="H198" s="24" t="n"/>
      <c r="I198" s="23" t="n"/>
      <c r="J198" s="24" t="n"/>
      <c r="K198" s="23" t="n"/>
      <c r="L198" s="10" t="inlineStr">
        <is>
          <t>Typology drawing R01</t>
        </is>
      </c>
      <c r="M198" s="10">
        <f>Config!$B$3&amp;"?room="&amp;A198</f>
        <v/>
      </c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G199" s="23" t="n"/>
      <c r="H199" s="24" t="n"/>
      <c r="I199" s="23" t="n"/>
      <c r="J199" s="24" t="n"/>
      <c r="K199" s="23" t="n"/>
      <c r="L199" s="10" t="inlineStr">
        <is>
          <t>Typology drawing R01</t>
        </is>
      </c>
      <c r="M199" s="10">
        <f>Config!$B$3&amp;"?room="&amp;A199</f>
        <v/>
      </c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G200" s="23" t="n"/>
      <c r="H200" s="24" t="n"/>
      <c r="I200" s="23" t="n"/>
      <c r="J200" s="24" t="n"/>
      <c r="K200" s="23" t="n"/>
      <c r="L200" s="10" t="inlineStr">
        <is>
          <t>Typology drawing R01</t>
        </is>
      </c>
      <c r="M200" s="10">
        <f>Config!$B$3&amp;"?room="&amp;A200</f>
        <v/>
      </c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G201" s="23" t="n"/>
      <c r="H201" s="24" t="n"/>
      <c r="I201" s="23" t="n"/>
      <c r="J201" s="24" t="n"/>
      <c r="K201" s="23" t="n"/>
      <c r="L201" s="10" t="inlineStr">
        <is>
          <t>Typology drawing R01</t>
        </is>
      </c>
      <c r="M201" s="10">
        <f>Config!$B$3&amp;"?room="&amp;A201</f>
        <v/>
      </c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G202" s="23" t="n"/>
      <c r="H202" s="24" t="n"/>
      <c r="I202" s="23" t="n"/>
      <c r="J202" s="24" t="n"/>
      <c r="K202" s="23" t="n"/>
      <c r="L202" s="10" t="inlineStr">
        <is>
          <t>Typology drawing R01</t>
        </is>
      </c>
      <c r="M202" s="10">
        <f>Config!$B$3&amp;"?room="&amp;A202</f>
        <v/>
      </c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G203" s="23" t="n"/>
      <c r="H203" s="24" t="n"/>
      <c r="I203" s="23" t="n"/>
      <c r="J203" s="24" t="n"/>
      <c r="K203" s="23" t="n"/>
      <c r="L203" s="10" t="inlineStr">
        <is>
          <t>Typology drawing R01</t>
        </is>
      </c>
      <c r="M203" s="10">
        <f>Config!$B$3&amp;"?room="&amp;A203</f>
        <v/>
      </c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G204" s="23" t="n"/>
      <c r="H204" s="24" t="n"/>
      <c r="I204" s="23" t="n"/>
      <c r="J204" s="24" t="n"/>
      <c r="K204" s="23" t="n"/>
      <c r="L204" s="10" t="inlineStr">
        <is>
          <t>Typology drawing R01</t>
        </is>
      </c>
      <c r="M204" s="10">
        <f>Config!$B$3&amp;"?room="&amp;A204</f>
        <v/>
      </c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G205" s="23" t="n"/>
      <c r="H205" s="24" t="n"/>
      <c r="I205" s="23" t="n"/>
      <c r="J205" s="24" t="n"/>
      <c r="K205" s="23" t="n"/>
      <c r="L205" s="10" t="inlineStr">
        <is>
          <t>Typology drawing R01</t>
        </is>
      </c>
      <c r="M205" s="10">
        <f>Config!$B$3&amp;"?room="&amp;A205</f>
        <v/>
      </c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G206" s="23" t="n"/>
      <c r="H206" s="24" t="n"/>
      <c r="I206" s="23" t="n"/>
      <c r="J206" s="24" t="n"/>
      <c r="K206" s="23" t="n"/>
      <c r="L206" s="10" t="inlineStr">
        <is>
          <t>Typology drawing R01</t>
        </is>
      </c>
      <c r="M206" s="10">
        <f>Config!$B$3&amp;"?room="&amp;A206</f>
        <v/>
      </c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G207" s="23" t="n"/>
      <c r="H207" s="24" t="n"/>
      <c r="I207" s="23" t="n"/>
      <c r="J207" s="24" t="n"/>
      <c r="K207" s="23" t="n"/>
      <c r="L207" s="10" t="inlineStr">
        <is>
          <t>Typology drawing R01</t>
        </is>
      </c>
      <c r="M207" s="10">
        <f>Config!$B$3&amp;"?room="&amp;A207</f>
        <v/>
      </c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G208" s="23" t="n"/>
      <c r="H208" s="24" t="n"/>
      <c r="I208" s="23" t="n"/>
      <c r="J208" s="24" t="n"/>
      <c r="K208" s="23" t="n"/>
      <c r="L208" s="10" t="inlineStr">
        <is>
          <t>Typology drawing R01</t>
        </is>
      </c>
      <c r="M208" s="10">
        <f>Config!$B$3&amp;"?room="&amp;A208</f>
        <v/>
      </c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G209" s="23" t="n"/>
      <c r="H209" s="24" t="n"/>
      <c r="I209" s="23" t="n"/>
      <c r="J209" s="24" t="n"/>
      <c r="K209" s="23" t="n"/>
      <c r="L209" s="10" t="inlineStr">
        <is>
          <t>Inferred – verify</t>
        </is>
      </c>
      <c r="M209" s="10">
        <f>Config!$B$3&amp;"?room="&amp;A209</f>
        <v/>
      </c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G210" s="23" t="n"/>
      <c r="H210" s="24" t="n"/>
      <c r="I210" s="23" t="n"/>
      <c r="J210" s="24" t="n"/>
      <c r="K210" s="23" t="n"/>
      <c r="L210" s="10" t="inlineStr">
        <is>
          <t>Typology drawing R01</t>
        </is>
      </c>
      <c r="M210" s="10">
        <f>Config!$B$3&amp;"?room="&amp;A210</f>
        <v/>
      </c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G211" s="23" t="n"/>
      <c r="H211" s="24" t="n"/>
      <c r="I211" s="23" t="n"/>
      <c r="J211" s="24" t="n"/>
      <c r="K211" s="23" t="n"/>
      <c r="L211" s="10" t="inlineStr">
        <is>
          <t>Typology drawing R01</t>
        </is>
      </c>
      <c r="M211" s="10">
        <f>Config!$B$3&amp;"?room="&amp;A211</f>
        <v/>
      </c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G212" s="23" t="n"/>
      <c r="H212" s="24" t="n"/>
      <c r="I212" s="23" t="n"/>
      <c r="J212" s="24" t="n"/>
      <c r="K212" s="23" t="n"/>
      <c r="L212" s="10" t="inlineStr">
        <is>
          <t>Typology drawing R01</t>
        </is>
      </c>
      <c r="M212" s="10">
        <f>Config!$B$3&amp;"?room="&amp;A212</f>
        <v/>
      </c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G213" s="23" t="n"/>
      <c r="H213" s="24" t="n"/>
      <c r="I213" s="23" t="n"/>
      <c r="J213" s="24" t="n"/>
      <c r="K213" s="23" t="n"/>
      <c r="L213" s="10" t="inlineStr">
        <is>
          <t>Typology drawing R01</t>
        </is>
      </c>
      <c r="M213" s="10">
        <f>Config!$B$3&amp;"?room="&amp;A213</f>
        <v/>
      </c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G214" s="23" t="n"/>
      <c r="H214" s="24" t="n"/>
      <c r="I214" s="23" t="n"/>
      <c r="J214" s="24" t="n"/>
      <c r="K214" s="23" t="n"/>
      <c r="L214" s="10" t="inlineStr">
        <is>
          <t>Typology drawing R01</t>
        </is>
      </c>
      <c r="M214" s="10">
        <f>Config!$B$3&amp;"?room="&amp;A214</f>
        <v/>
      </c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G215" s="23" t="n"/>
      <c r="H215" s="24" t="n"/>
      <c r="I215" s="23" t="n"/>
      <c r="J215" s="24" t="n"/>
      <c r="K215" s="23" t="n"/>
      <c r="L215" s="10" t="inlineStr">
        <is>
          <t>Typology drawing R01</t>
        </is>
      </c>
      <c r="M215" s="10">
        <f>Config!$B$3&amp;"?room="&amp;A215</f>
        <v/>
      </c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G216" s="23" t="n"/>
      <c r="H216" s="24" t="n"/>
      <c r="I216" s="23" t="n"/>
      <c r="J216" s="24" t="n"/>
      <c r="K216" s="23" t="n"/>
      <c r="L216" s="10" t="inlineStr">
        <is>
          <t>Typology drawing R01</t>
        </is>
      </c>
      <c r="M216" s="10">
        <f>Config!$B$3&amp;"?room="&amp;A216</f>
        <v/>
      </c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G217" s="23" t="n"/>
      <c r="H217" s="24" t="n"/>
      <c r="I217" s="23" t="n"/>
      <c r="J217" s="24" t="n"/>
      <c r="K217" s="23" t="n"/>
      <c r="L217" s="10" t="inlineStr">
        <is>
          <t>Typology drawing R01</t>
        </is>
      </c>
      <c r="M217" s="10">
        <f>Config!$B$3&amp;"?room="&amp;A217</f>
        <v/>
      </c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G218" s="23" t="n"/>
      <c r="H218" s="24" t="n"/>
      <c r="I218" s="23" t="n"/>
      <c r="J218" s="24" t="n"/>
      <c r="K218" s="23" t="n"/>
      <c r="L218" s="10" t="inlineStr">
        <is>
          <t>Typology drawing R01</t>
        </is>
      </c>
      <c r="M218" s="10">
        <f>Config!$B$3&amp;"?room="&amp;A218</f>
        <v/>
      </c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G219" s="23" t="n"/>
      <c r="H219" s="24" t="n"/>
      <c r="I219" s="23" t="n"/>
      <c r="J219" s="24" t="n"/>
      <c r="K219" s="23" t="n"/>
      <c r="L219" s="10" t="inlineStr">
        <is>
          <t>Typology drawing R01</t>
        </is>
      </c>
      <c r="M219" s="10">
        <f>Config!$B$3&amp;"?room="&amp;A219</f>
        <v/>
      </c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G220" s="23" t="n"/>
      <c r="H220" s="24" t="n"/>
      <c r="I220" s="23" t="n"/>
      <c r="J220" s="24" t="n"/>
      <c r="K220" s="23" t="n"/>
      <c r="L220" s="10" t="inlineStr">
        <is>
          <t>Typology drawing R01</t>
        </is>
      </c>
      <c r="M220" s="10">
        <f>Config!$B$3&amp;"?room="&amp;A220</f>
        <v/>
      </c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G221" s="23" t="n"/>
      <c r="H221" s="24" t="n"/>
      <c r="I221" s="23" t="n"/>
      <c r="J221" s="24" t="n"/>
      <c r="K221" s="23" t="n"/>
      <c r="L221" s="10" t="inlineStr">
        <is>
          <t>Typology drawing R01</t>
        </is>
      </c>
      <c r="M221" s="10">
        <f>Config!$B$3&amp;"?room="&amp;A221</f>
        <v/>
      </c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G222" s="23" t="n"/>
      <c r="H222" s="24" t="n"/>
      <c r="I222" s="23" t="n"/>
      <c r="J222" s="24" t="n"/>
      <c r="K222" s="23" t="n"/>
      <c r="L222" s="10" t="inlineStr">
        <is>
          <t>Typology drawing R01</t>
        </is>
      </c>
      <c r="M222" s="10">
        <f>Config!$B$3&amp;"?room="&amp;A222</f>
        <v/>
      </c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G223" s="23" t="n"/>
      <c r="H223" s="24" t="n"/>
      <c r="I223" s="23" t="n"/>
      <c r="J223" s="24" t="n"/>
      <c r="K223" s="23" t="n"/>
      <c r="L223" s="10" t="inlineStr">
        <is>
          <t>Typology drawing R01</t>
        </is>
      </c>
      <c r="M223" s="10">
        <f>Config!$B$3&amp;"?room="&amp;A223</f>
        <v/>
      </c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G224" s="23" t="n"/>
      <c r="H224" s="24" t="n"/>
      <c r="I224" s="23" t="n"/>
      <c r="J224" s="24" t="n"/>
      <c r="K224" s="23" t="n"/>
      <c r="L224" s="10" t="inlineStr">
        <is>
          <t>Typology drawing R01</t>
        </is>
      </c>
      <c r="M224" s="10">
        <f>Config!$B$3&amp;"?room="&amp;A224</f>
        <v/>
      </c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G225" s="23" t="n"/>
      <c r="H225" s="24" t="n"/>
      <c r="I225" s="23" t="n"/>
      <c r="J225" s="24" t="n"/>
      <c r="K225" s="23" t="n"/>
      <c r="L225" s="10" t="inlineStr">
        <is>
          <t>Typology drawing R01</t>
        </is>
      </c>
      <c r="M225" s="10">
        <f>Config!$B$3&amp;"?room="&amp;A225</f>
        <v/>
      </c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G226" s="23" t="n"/>
      <c r="H226" s="24" t="n"/>
      <c r="I226" s="23" t="n"/>
      <c r="J226" s="24" t="n"/>
      <c r="K226" s="23" t="n"/>
      <c r="L226" s="10" t="inlineStr">
        <is>
          <t>Typology drawing R01</t>
        </is>
      </c>
      <c r="M226" s="10">
        <f>Config!$B$3&amp;"?room="&amp;A226</f>
        <v/>
      </c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G227" s="23" t="n"/>
      <c r="H227" s="24" t="n"/>
      <c r="I227" s="23" t="n"/>
      <c r="J227" s="24" t="n"/>
      <c r="K227" s="23" t="n"/>
      <c r="L227" s="10" t="inlineStr">
        <is>
          <t>Typology drawing R01</t>
        </is>
      </c>
      <c r="M227" s="10">
        <f>Config!$B$3&amp;"?room="&amp;A227</f>
        <v/>
      </c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G228" s="23" t="n"/>
      <c r="H228" s="24" t="n"/>
      <c r="I228" s="23" t="n"/>
      <c r="J228" s="24" t="n"/>
      <c r="K228" s="23" t="n"/>
      <c r="L228" s="10" t="inlineStr">
        <is>
          <t>Typology drawing R01</t>
        </is>
      </c>
      <c r="M228" s="10">
        <f>Config!$B$3&amp;"?room="&amp;A228</f>
        <v/>
      </c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G229" s="23" t="n"/>
      <c r="H229" s="24" t="n"/>
      <c r="I229" s="23" t="n"/>
      <c r="J229" s="24" t="n"/>
      <c r="K229" s="23" t="n"/>
      <c r="L229" s="10" t="inlineStr">
        <is>
          <t>Typology drawing R01</t>
        </is>
      </c>
      <c r="M229" s="10">
        <f>Config!$B$3&amp;"?room="&amp;A229</f>
        <v/>
      </c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G230" s="23" t="n"/>
      <c r="H230" s="24" t="n"/>
      <c r="I230" s="23" t="n"/>
      <c r="J230" s="24" t="n"/>
      <c r="K230" s="23" t="n"/>
      <c r="L230" s="10" t="inlineStr">
        <is>
          <t>Typology drawing R01</t>
        </is>
      </c>
      <c r="M230" s="10">
        <f>Config!$B$3&amp;"?room="&amp;A230</f>
        <v/>
      </c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G231" s="23" t="n"/>
      <c r="H231" s="24" t="n"/>
      <c r="I231" s="23" t="n"/>
      <c r="J231" s="24" t="n"/>
      <c r="K231" s="23" t="n"/>
      <c r="L231" s="10" t="inlineStr">
        <is>
          <t>Typology drawing R01</t>
        </is>
      </c>
      <c r="M231" s="10">
        <f>Config!$B$3&amp;"?room="&amp;A231</f>
        <v/>
      </c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G232" s="23" t="n"/>
      <c r="H232" s="24" t="n"/>
      <c r="I232" s="23" t="n"/>
      <c r="J232" s="24" t="n"/>
      <c r="K232" s="23" t="n"/>
      <c r="L232" s="10" t="inlineStr">
        <is>
          <t>Typology drawing R01</t>
        </is>
      </c>
      <c r="M232" s="10">
        <f>Config!$B$3&amp;"?room="&amp;A232</f>
        <v/>
      </c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G233" s="23" t="n"/>
      <c r="H233" s="24" t="n"/>
      <c r="I233" s="23" t="n"/>
      <c r="J233" s="24" t="n"/>
      <c r="K233" s="23" t="n"/>
      <c r="L233" s="10" t="inlineStr">
        <is>
          <t>Typology drawing R01</t>
        </is>
      </c>
      <c r="M233" s="10">
        <f>Config!$B$3&amp;"?room="&amp;A233</f>
        <v/>
      </c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G234" s="23" t="n"/>
      <c r="H234" s="24" t="n"/>
      <c r="I234" s="23" t="n"/>
      <c r="J234" s="24" t="n"/>
      <c r="K234" s="23" t="n"/>
      <c r="L234" s="10" t="inlineStr">
        <is>
          <t>Typology drawing R01</t>
        </is>
      </c>
      <c r="M234" s="10">
        <f>Config!$B$3&amp;"?room="&amp;A234</f>
        <v/>
      </c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G235" s="23" t="n"/>
      <c r="H235" s="24" t="n"/>
      <c r="I235" s="23" t="n"/>
      <c r="J235" s="24" t="n"/>
      <c r="K235" s="23" t="n"/>
      <c r="L235" s="10" t="inlineStr">
        <is>
          <t>Typology drawing R01</t>
        </is>
      </c>
      <c r="M235" s="10">
        <f>Config!$B$3&amp;"?room="&amp;A235</f>
        <v/>
      </c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G236" s="23" t="n"/>
      <c r="H236" s="24" t="n"/>
      <c r="I236" s="23" t="n"/>
      <c r="J236" s="24" t="n"/>
      <c r="K236" s="23" t="n"/>
      <c r="L236" s="10" t="inlineStr">
        <is>
          <t>Typology drawing R01</t>
        </is>
      </c>
      <c r="M236" s="10">
        <f>Config!$B$3&amp;"?room="&amp;A236</f>
        <v/>
      </c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G237" s="23" t="n"/>
      <c r="H237" s="24" t="n"/>
      <c r="I237" s="23" t="n"/>
      <c r="J237" s="24" t="n"/>
      <c r="K237" s="23" t="n"/>
      <c r="L237" s="10" t="inlineStr">
        <is>
          <t>Typology drawing R01</t>
        </is>
      </c>
      <c r="M237" s="10">
        <f>Config!$B$3&amp;"?room="&amp;A237</f>
        <v/>
      </c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G238" s="23" t="n"/>
      <c r="H238" s="24" t="n"/>
      <c r="I238" s="23" t="n"/>
      <c r="J238" s="24" t="n"/>
      <c r="K238" s="23" t="n"/>
      <c r="L238" s="10" t="inlineStr">
        <is>
          <t>Typology drawing R01</t>
        </is>
      </c>
      <c r="M238" s="10">
        <f>Config!$B$3&amp;"?room="&amp;A238</f>
        <v/>
      </c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G239" s="23" t="n"/>
      <c r="H239" s="24" t="n"/>
      <c r="I239" s="23" t="n"/>
      <c r="J239" s="24" t="n"/>
      <c r="K239" s="23" t="n"/>
      <c r="L239" s="10" t="inlineStr">
        <is>
          <t>Typology drawing R01</t>
        </is>
      </c>
      <c r="M239" s="10">
        <f>Config!$B$3&amp;"?room="&amp;A239</f>
        <v/>
      </c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G240" s="23" t="n"/>
      <c r="H240" s="24" t="n"/>
      <c r="I240" s="23" t="n"/>
      <c r="J240" s="24" t="n"/>
      <c r="K240" s="23" t="n"/>
      <c r="L240" s="10" t="inlineStr">
        <is>
          <t>Typology drawing R01</t>
        </is>
      </c>
      <c r="M240" s="10">
        <f>Config!$B$3&amp;"?room="&amp;A240</f>
        <v/>
      </c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G241" s="23" t="n"/>
      <c r="H241" s="24" t="n"/>
      <c r="I241" s="23" t="n"/>
      <c r="J241" s="24" t="n"/>
      <c r="K241" s="23" t="n"/>
      <c r="L241" s="10" t="inlineStr">
        <is>
          <t>Typology drawing R01</t>
        </is>
      </c>
      <c r="M241" s="10">
        <f>Config!$B$3&amp;"?room="&amp;A241</f>
        <v/>
      </c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G242" s="23" t="n"/>
      <c r="H242" s="24" t="n"/>
      <c r="I242" s="23" t="n"/>
      <c r="J242" s="24" t="n"/>
      <c r="K242" s="23" t="n"/>
      <c r="L242" s="10" t="inlineStr">
        <is>
          <t>Typology drawing R01</t>
        </is>
      </c>
      <c r="M242" s="10">
        <f>Config!$B$3&amp;"?room="&amp;A242</f>
        <v/>
      </c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G243" s="23" t="n"/>
      <c r="H243" s="24" t="n"/>
      <c r="I243" s="23" t="n"/>
      <c r="J243" s="24" t="n"/>
      <c r="K243" s="23" t="n"/>
      <c r="L243" s="10" t="inlineStr">
        <is>
          <t>Typology drawing R01</t>
        </is>
      </c>
      <c r="M243" s="10">
        <f>Config!$B$3&amp;"?room="&amp;A243</f>
        <v/>
      </c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G244" s="23" t="n"/>
      <c r="H244" s="24" t="n"/>
      <c r="I244" s="23" t="n"/>
      <c r="J244" s="24" t="n"/>
      <c r="K244" s="23" t="n"/>
      <c r="L244" s="10" t="inlineStr">
        <is>
          <t>Typology drawing R01</t>
        </is>
      </c>
      <c r="M244" s="10">
        <f>Config!$B$3&amp;"?room="&amp;A244</f>
        <v/>
      </c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G245" s="23" t="n"/>
      <c r="H245" s="24" t="n"/>
      <c r="I245" s="23" t="n"/>
      <c r="J245" s="24" t="n"/>
      <c r="K245" s="23" t="n"/>
      <c r="L245" s="10" t="inlineStr">
        <is>
          <t>Typology drawing R01</t>
        </is>
      </c>
      <c r="M245" s="10">
        <f>Config!$B$3&amp;"?room="&amp;A245</f>
        <v/>
      </c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G246" s="23" t="n"/>
      <c r="H246" s="24" t="n"/>
      <c r="I246" s="23" t="n"/>
      <c r="J246" s="24" t="n"/>
      <c r="K246" s="23" t="n"/>
      <c r="L246" s="10" t="inlineStr">
        <is>
          <t>Typology drawing R01</t>
        </is>
      </c>
      <c r="M246" s="10">
        <f>Config!$B$3&amp;"?room="&amp;A246</f>
        <v/>
      </c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G247" s="23" t="n"/>
      <c r="H247" s="24" t="n"/>
      <c r="I247" s="23" t="n"/>
      <c r="J247" s="24" t="n"/>
      <c r="K247" s="23" t="n"/>
      <c r="L247" s="10" t="inlineStr">
        <is>
          <t>Typology drawing R01</t>
        </is>
      </c>
      <c r="M247" s="10">
        <f>Config!$B$3&amp;"?room="&amp;A247</f>
        <v/>
      </c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G248" s="23" t="n"/>
      <c r="H248" s="24" t="n"/>
      <c r="I248" s="23" t="n"/>
      <c r="J248" s="24" t="n"/>
      <c r="K248" s="23" t="n"/>
      <c r="L248" s="10" t="inlineStr">
        <is>
          <t>Typology drawing R01</t>
        </is>
      </c>
      <c r="M248" s="10">
        <f>Config!$B$3&amp;"?room="&amp;A248</f>
        <v/>
      </c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G249" s="23" t="n"/>
      <c r="H249" s="24" t="n"/>
      <c r="I249" s="23" t="n"/>
      <c r="J249" s="24" t="n"/>
      <c r="K249" s="23" t="n"/>
      <c r="L249" s="10" t="inlineStr">
        <is>
          <t>Typology drawing R01</t>
        </is>
      </c>
      <c r="M249" s="10">
        <f>Config!$B$3&amp;"?room="&amp;A249</f>
        <v/>
      </c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G250" s="23" t="n"/>
      <c r="H250" s="24" t="n"/>
      <c r="I250" s="23" t="n"/>
      <c r="J250" s="24" t="n"/>
      <c r="K250" s="23" t="n"/>
      <c r="L250" s="10" t="inlineStr">
        <is>
          <t>Typology drawing R01</t>
        </is>
      </c>
      <c r="M250" s="10">
        <f>Config!$B$3&amp;"?room="&amp;A250</f>
        <v/>
      </c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G251" s="23" t="n"/>
      <c r="H251" s="24" t="n"/>
      <c r="I251" s="23" t="n"/>
      <c r="J251" s="24" t="n"/>
      <c r="K251" s="23" t="n"/>
      <c r="L251" s="10" t="inlineStr">
        <is>
          <t>Typology drawing R01</t>
        </is>
      </c>
      <c r="M251" s="10">
        <f>Config!$B$3&amp;"?room="&amp;A251</f>
        <v/>
      </c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G252" s="23" t="n"/>
      <c r="H252" s="24" t="n"/>
      <c r="I252" s="23" t="n"/>
      <c r="J252" s="24" t="n"/>
      <c r="K252" s="23" t="n"/>
      <c r="L252" s="10" t="inlineStr">
        <is>
          <t>Typology drawing R01</t>
        </is>
      </c>
      <c r="M252" s="10">
        <f>Config!$B$3&amp;"?room="&amp;A252</f>
        <v/>
      </c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G253" s="23" t="n"/>
      <c r="H253" s="24" t="n"/>
      <c r="I253" s="23" t="n"/>
      <c r="J253" s="24" t="n"/>
      <c r="K253" s="23" t="n"/>
      <c r="L253" s="10" t="inlineStr">
        <is>
          <t>Typology drawing R01</t>
        </is>
      </c>
      <c r="M253" s="10">
        <f>Config!$B$3&amp;"?room="&amp;A253</f>
        <v/>
      </c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G254" s="23" t="n"/>
      <c r="H254" s="24" t="n"/>
      <c r="I254" s="23" t="n"/>
      <c r="J254" s="24" t="n"/>
      <c r="K254" s="23" t="n"/>
      <c r="L254" s="10" t="inlineStr">
        <is>
          <t>Typology drawing R01</t>
        </is>
      </c>
      <c r="M254" s="10">
        <f>Config!$B$3&amp;"?room="&amp;A254</f>
        <v/>
      </c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G255" s="23" t="n"/>
      <c r="H255" s="24" t="n"/>
      <c r="I255" s="23" t="n"/>
      <c r="J255" s="24" t="n"/>
      <c r="K255" s="23" t="n"/>
      <c r="L255" s="10" t="inlineStr">
        <is>
          <t>Typology drawing R01</t>
        </is>
      </c>
      <c r="M255" s="10">
        <f>Config!$B$3&amp;"?room="&amp;A255</f>
        <v/>
      </c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G256" s="23" t="n"/>
      <c r="H256" s="24" t="n"/>
      <c r="I256" s="23" t="n"/>
      <c r="J256" s="24" t="n"/>
      <c r="K256" s="23" t="n"/>
      <c r="L256" s="10" t="inlineStr">
        <is>
          <t>Typology drawing R01</t>
        </is>
      </c>
      <c r="M256" s="10">
        <f>Config!$B$3&amp;"?room="&amp;A256</f>
        <v/>
      </c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G257" s="23" t="n"/>
      <c r="H257" s="24" t="n"/>
      <c r="I257" s="23" t="n"/>
      <c r="J257" s="24" t="n"/>
      <c r="K257" s="23" t="n"/>
      <c r="L257" s="10" t="inlineStr">
        <is>
          <t>Typology drawing R01</t>
        </is>
      </c>
      <c r="M257" s="10">
        <f>Config!$B$3&amp;"?room="&amp;A257</f>
        <v/>
      </c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G258" s="23" t="n"/>
      <c r="H258" s="24" t="n"/>
      <c r="I258" s="23" t="n"/>
      <c r="J258" s="24" t="n"/>
      <c r="K258" s="23" t="n"/>
      <c r="L258" s="10" t="inlineStr">
        <is>
          <t>Typology drawing R01</t>
        </is>
      </c>
      <c r="M258" s="10">
        <f>Config!$B$3&amp;"?room="&amp;A258</f>
        <v/>
      </c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G259" s="23" t="n"/>
      <c r="H259" s="24" t="n"/>
      <c r="I259" s="23" t="n"/>
      <c r="J259" s="24" t="n"/>
      <c r="K259" s="23" t="n"/>
      <c r="L259" s="10" t="inlineStr">
        <is>
          <t>Typology drawing R01</t>
        </is>
      </c>
      <c r="M259" s="10">
        <f>Config!$B$3&amp;"?room="&amp;A259</f>
        <v/>
      </c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G260" s="23" t="n"/>
      <c r="H260" s="24" t="n"/>
      <c r="I260" s="23" t="n"/>
      <c r="J260" s="24" t="n"/>
      <c r="K260" s="23" t="n"/>
      <c r="L260" s="10" t="inlineStr">
        <is>
          <t>Typology drawing R01</t>
        </is>
      </c>
      <c r="M260" s="10">
        <f>Config!$B$3&amp;"?room="&amp;A260</f>
        <v/>
      </c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G261" s="23" t="n"/>
      <c r="H261" s="24" t="n"/>
      <c r="I261" s="23" t="n"/>
      <c r="J261" s="24" t="n"/>
      <c r="K261" s="23" t="n"/>
      <c r="L261" s="10" t="inlineStr">
        <is>
          <t>Typology drawing R01</t>
        </is>
      </c>
      <c r="M261" s="10">
        <f>Config!$B$3&amp;"?room="&amp;A261</f>
        <v/>
      </c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G262" s="23" t="n"/>
      <c r="H262" s="24" t="n"/>
      <c r="I262" s="23" t="n"/>
      <c r="J262" s="24" t="n"/>
      <c r="K262" s="23" t="n"/>
      <c r="L262" s="10" t="inlineStr">
        <is>
          <t>Typology drawing R01</t>
        </is>
      </c>
      <c r="M262" s="10">
        <f>Config!$B$3&amp;"?room="&amp;A262</f>
        <v/>
      </c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G263" s="23" t="n"/>
      <c r="H263" s="24" t="n"/>
      <c r="I263" s="23" t="n"/>
      <c r="J263" s="24" t="n"/>
      <c r="K263" s="23" t="n"/>
      <c r="L263" s="10" t="inlineStr">
        <is>
          <t>Typology drawing R01</t>
        </is>
      </c>
      <c r="M263" s="10">
        <f>Config!$B$3&amp;"?room="&amp;A263</f>
        <v/>
      </c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G264" s="23" t="n"/>
      <c r="H264" s="24" t="n"/>
      <c r="I264" s="23" t="n"/>
      <c r="J264" s="24" t="n"/>
      <c r="K264" s="23" t="n"/>
      <c r="L264" s="10" t="inlineStr">
        <is>
          <t>Typology drawing R01</t>
        </is>
      </c>
      <c r="M264" s="10">
        <f>Config!$B$3&amp;"?room="&amp;A264</f>
        <v/>
      </c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G265" s="23" t="n"/>
      <c r="H265" s="24" t="n"/>
      <c r="I265" s="23" t="n"/>
      <c r="J265" s="24" t="n"/>
      <c r="K265" s="23" t="n"/>
      <c r="L265" s="10" t="inlineStr">
        <is>
          <t>Typology drawing R01</t>
        </is>
      </c>
      <c r="M265" s="10">
        <f>Config!$B$3&amp;"?room="&amp;A265</f>
        <v/>
      </c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G266" s="23" t="n"/>
      <c r="H266" s="24" t="n"/>
      <c r="I266" s="23" t="n"/>
      <c r="J266" s="24" t="n"/>
      <c r="K266" s="23" t="n"/>
      <c r="L266" s="10" t="inlineStr">
        <is>
          <t>Typology drawing R01</t>
        </is>
      </c>
      <c r="M266" s="10">
        <f>Config!$B$3&amp;"?room="&amp;A266</f>
        <v/>
      </c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G267" s="23" t="n"/>
      <c r="H267" s="24" t="n"/>
      <c r="I267" s="23" t="n"/>
      <c r="J267" s="24" t="n"/>
      <c r="K267" s="23" t="n"/>
      <c r="L267" s="10" t="inlineStr">
        <is>
          <t>Typology drawing R01</t>
        </is>
      </c>
      <c r="M267" s="10">
        <f>Config!$B$3&amp;"?room="&amp;A267</f>
        <v/>
      </c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G268" s="23" t="n"/>
      <c r="H268" s="24" t="n"/>
      <c r="I268" s="23" t="n"/>
      <c r="J268" s="24" t="n"/>
      <c r="K268" s="23" t="n"/>
      <c r="L268" s="10" t="inlineStr">
        <is>
          <t>Typology drawing R01</t>
        </is>
      </c>
      <c r="M268" s="10">
        <f>Config!$B$3&amp;"?room="&amp;A268</f>
        <v/>
      </c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G269" s="23" t="n"/>
      <c r="H269" s="24" t="n"/>
      <c r="I269" s="23" t="n"/>
      <c r="J269" s="24" t="n"/>
      <c r="K269" s="23" t="n"/>
      <c r="L269" s="10" t="inlineStr">
        <is>
          <t>Typology drawing R01</t>
        </is>
      </c>
      <c r="M269" s="10">
        <f>Config!$B$3&amp;"?room="&amp;A269</f>
        <v/>
      </c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G270" s="23" t="n"/>
      <c r="H270" s="24" t="n"/>
      <c r="I270" s="23" t="n"/>
      <c r="J270" s="24" t="n"/>
      <c r="K270" s="23" t="n"/>
      <c r="L270" s="10" t="inlineStr">
        <is>
          <t>Typology drawing R01</t>
        </is>
      </c>
      <c r="M270" s="10">
        <f>Config!$B$3&amp;"?room="&amp;A270</f>
        <v/>
      </c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G271" s="23" t="n"/>
      <c r="H271" s="24" t="n"/>
      <c r="I271" s="23" t="n"/>
      <c r="J271" s="24" t="n"/>
      <c r="K271" s="23" t="n"/>
      <c r="L271" s="10" t="inlineStr">
        <is>
          <t>Typology drawing R01</t>
        </is>
      </c>
      <c r="M271" s="10">
        <f>Config!$B$3&amp;"?room="&amp;A271</f>
        <v/>
      </c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G272" s="23" t="n"/>
      <c r="H272" s="24" t="n"/>
      <c r="I272" s="23" t="n"/>
      <c r="J272" s="24" t="n"/>
      <c r="K272" s="23" t="n"/>
      <c r="L272" s="10" t="inlineStr">
        <is>
          <t>Typology drawing R01</t>
        </is>
      </c>
      <c r="M272" s="10">
        <f>Config!$B$3&amp;"?room="&amp;A272</f>
        <v/>
      </c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G273" s="23" t="n"/>
      <c r="H273" s="24" t="n"/>
      <c r="I273" s="23" t="n"/>
      <c r="J273" s="24" t="n"/>
      <c r="K273" s="23" t="n"/>
      <c r="L273" s="10" t="inlineStr">
        <is>
          <t>Typology drawing R01</t>
        </is>
      </c>
      <c r="M273" s="10">
        <f>Config!$B$3&amp;"?room="&amp;A273</f>
        <v/>
      </c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G274" s="23" t="n"/>
      <c r="H274" s="24" t="n"/>
      <c r="I274" s="23" t="n"/>
      <c r="J274" s="24" t="n"/>
      <c r="K274" s="23" t="n"/>
      <c r="L274" s="10" t="inlineStr">
        <is>
          <t>Typology drawing R01</t>
        </is>
      </c>
      <c r="M274" s="10">
        <f>Config!$B$3&amp;"?room="&amp;A274</f>
        <v/>
      </c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G275" s="23" t="n"/>
      <c r="H275" s="24" t="n"/>
      <c r="I275" s="23" t="n"/>
      <c r="J275" s="24" t="n"/>
      <c r="K275" s="23" t="n"/>
      <c r="L275" s="10" t="inlineStr">
        <is>
          <t>Typology drawing R01</t>
        </is>
      </c>
      <c r="M275" s="10">
        <f>Config!$B$3&amp;"?room="&amp;A275</f>
        <v/>
      </c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G276" s="23" t="n"/>
      <c r="H276" s="24" t="n"/>
      <c r="I276" s="23" t="n"/>
      <c r="J276" s="24" t="n"/>
      <c r="K276" s="23" t="n"/>
      <c r="L276" s="10" t="inlineStr">
        <is>
          <t>Typology drawing R01</t>
        </is>
      </c>
      <c r="M276" s="10">
        <f>Config!$B$3&amp;"?room="&amp;A276</f>
        <v/>
      </c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G277" s="23" t="n"/>
      <c r="H277" s="24" t="n"/>
      <c r="I277" s="23" t="n"/>
      <c r="J277" s="24" t="n"/>
      <c r="K277" s="23" t="n"/>
      <c r="L277" s="10" t="inlineStr">
        <is>
          <t>Typology drawing R01</t>
        </is>
      </c>
      <c r="M277" s="10">
        <f>Config!$B$3&amp;"?room="&amp;A277</f>
        <v/>
      </c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G278" s="23" t="n"/>
      <c r="H278" s="24" t="n"/>
      <c r="I278" s="23" t="n"/>
      <c r="J278" s="24" t="n"/>
      <c r="K278" s="23" t="n"/>
      <c r="L278" s="10" t="inlineStr">
        <is>
          <t>Typology drawing R01</t>
        </is>
      </c>
      <c r="M278" s="10">
        <f>Config!$B$3&amp;"?room="&amp;A278</f>
        <v/>
      </c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G279" s="23" t="n"/>
      <c r="H279" s="24" t="n"/>
      <c r="I279" s="23" t="n"/>
      <c r="J279" s="24" t="n"/>
      <c r="K279" s="23" t="n"/>
      <c r="L279" s="10" t="inlineStr">
        <is>
          <t>Typology drawing R01</t>
        </is>
      </c>
      <c r="M279" s="10">
        <f>Config!$B$3&amp;"?room="&amp;A279</f>
        <v/>
      </c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G280" s="23" t="n"/>
      <c r="H280" s="24" t="n"/>
      <c r="I280" s="23" t="n"/>
      <c r="J280" s="24" t="n"/>
      <c r="K280" s="23" t="n"/>
      <c r="L280" s="10" t="inlineStr">
        <is>
          <t>Typology drawing R01</t>
        </is>
      </c>
      <c r="M280" s="10">
        <f>Config!$B$3&amp;"?room="&amp;A280</f>
        <v/>
      </c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G281" s="23" t="n"/>
      <c r="H281" s="24" t="n"/>
      <c r="I281" s="23" t="n"/>
      <c r="J281" s="24" t="n"/>
      <c r="K281" s="23" t="n"/>
      <c r="L281" s="10" t="inlineStr">
        <is>
          <t>Typology drawing R01</t>
        </is>
      </c>
      <c r="M281" s="10">
        <f>Config!$B$3&amp;"?room="&amp;A281</f>
        <v/>
      </c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G282" s="23" t="n"/>
      <c r="H282" s="24" t="n"/>
      <c r="I282" s="23" t="n"/>
      <c r="J282" s="24" t="n"/>
      <c r="K282" s="23" t="n"/>
      <c r="L282" s="10" t="inlineStr">
        <is>
          <t>Typology drawing R01</t>
        </is>
      </c>
      <c r="M282" s="10">
        <f>Config!$B$3&amp;"?room="&amp;A282</f>
        <v/>
      </c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G283" s="23" t="n"/>
      <c r="H283" s="24" t="n"/>
      <c r="I283" s="23" t="n"/>
      <c r="J283" s="24" t="n"/>
      <c r="K283" s="23" t="n"/>
      <c r="L283" s="10" t="inlineStr">
        <is>
          <t>Typology drawing R01</t>
        </is>
      </c>
      <c r="M283" s="10">
        <f>Config!$B$3&amp;"?room="&amp;A283</f>
        <v/>
      </c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G284" s="23" t="n"/>
      <c r="H284" s="24" t="n"/>
      <c r="I284" s="23" t="n"/>
      <c r="J284" s="24" t="n"/>
      <c r="K284" s="23" t="n"/>
      <c r="L284" s="10" t="inlineStr">
        <is>
          <t>Typology drawing R01</t>
        </is>
      </c>
      <c r="M284" s="10">
        <f>Config!$B$3&amp;"?room="&amp;A284</f>
        <v/>
      </c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G285" s="23" t="n"/>
      <c r="H285" s="24" t="n"/>
      <c r="I285" s="23" t="n"/>
      <c r="J285" s="24" t="n"/>
      <c r="K285" s="23" t="n"/>
      <c r="L285" s="10" t="inlineStr">
        <is>
          <t>Typology drawing R01</t>
        </is>
      </c>
      <c r="M285" s="10">
        <f>Config!$B$3&amp;"?room="&amp;A285</f>
        <v/>
      </c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G286" s="23" t="n"/>
      <c r="H286" s="24" t="n"/>
      <c r="I286" s="23" t="n"/>
      <c r="J286" s="24" t="n"/>
      <c r="K286" s="23" t="n"/>
      <c r="L286" s="10" t="inlineStr">
        <is>
          <t>Typology drawing R01</t>
        </is>
      </c>
      <c r="M286" s="10">
        <f>Config!$B$3&amp;"?room="&amp;A286</f>
        <v/>
      </c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G287" s="23" t="n"/>
      <c r="H287" s="24" t="n"/>
      <c r="I287" s="23" t="n"/>
      <c r="J287" s="24" t="n"/>
      <c r="K287" s="23" t="n"/>
      <c r="L287" s="10" t="inlineStr">
        <is>
          <t>Typology drawing R01</t>
        </is>
      </c>
      <c r="M287" s="10">
        <f>Config!$B$3&amp;"?room="&amp;A287</f>
        <v/>
      </c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G288" s="23" t="n"/>
      <c r="H288" s="24" t="n"/>
      <c r="I288" s="23" t="n"/>
      <c r="J288" s="24" t="n"/>
      <c r="K288" s="23" t="n"/>
      <c r="L288" s="10" t="inlineStr">
        <is>
          <t>Typology drawing R01</t>
        </is>
      </c>
      <c r="M288" s="10">
        <f>Config!$B$3&amp;"?room="&amp;A288</f>
        <v/>
      </c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G289" s="23" t="n"/>
      <c r="H289" s="24" t="n"/>
      <c r="I289" s="23" t="n"/>
      <c r="J289" s="24" t="n"/>
      <c r="K289" s="23" t="n"/>
      <c r="L289" s="10" t="inlineStr">
        <is>
          <t>Typology drawing R01</t>
        </is>
      </c>
      <c r="M289" s="10">
        <f>Config!$B$3&amp;"?room="&amp;A289</f>
        <v/>
      </c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G290" s="23" t="n"/>
      <c r="H290" s="24" t="n"/>
      <c r="I290" s="23" t="n"/>
      <c r="J290" s="24" t="n"/>
      <c r="K290" s="23" t="n"/>
      <c r="L290" s="10" t="inlineStr">
        <is>
          <t>Typology drawing R01</t>
        </is>
      </c>
      <c r="M290" s="10">
        <f>Config!$B$3&amp;"?room="&amp;A290</f>
        <v/>
      </c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G291" s="23" t="n"/>
      <c r="H291" s="24" t="n"/>
      <c r="I291" s="23" t="n"/>
      <c r="J291" s="24" t="n"/>
      <c r="K291" s="23" t="n"/>
      <c r="L291" s="10" t="inlineStr">
        <is>
          <t>Typology drawing R01</t>
        </is>
      </c>
      <c r="M291" s="10">
        <f>Config!$B$3&amp;"?room="&amp;A291</f>
        <v/>
      </c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G292" s="23" t="n"/>
      <c r="H292" s="24" t="n"/>
      <c r="I292" s="23" t="n"/>
      <c r="J292" s="24" t="n"/>
      <c r="K292" s="23" t="n"/>
      <c r="L292" s="10" t="inlineStr">
        <is>
          <t>Typology drawing R01</t>
        </is>
      </c>
      <c r="M292" s="10">
        <f>Config!$B$3&amp;"?room="&amp;A292</f>
        <v/>
      </c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G293" s="23" t="n"/>
      <c r="H293" s="24" t="n"/>
      <c r="I293" s="23" t="n"/>
      <c r="J293" s="24" t="n"/>
      <c r="K293" s="23" t="n"/>
      <c r="L293" s="10" t="inlineStr">
        <is>
          <t>Typology drawing R01</t>
        </is>
      </c>
      <c r="M293" s="10">
        <f>Config!$B$3&amp;"?room="&amp;A293</f>
        <v/>
      </c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G294" s="23" t="n"/>
      <c r="H294" s="24" t="n"/>
      <c r="I294" s="23" t="n"/>
      <c r="J294" s="24" t="n"/>
      <c r="K294" s="23" t="n"/>
      <c r="L294" s="10" t="inlineStr">
        <is>
          <t>Typology drawing R01</t>
        </is>
      </c>
      <c r="M294" s="10">
        <f>Config!$B$3&amp;"?room="&amp;A294</f>
        <v/>
      </c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G295" s="23" t="n"/>
      <c r="H295" s="24" t="n"/>
      <c r="I295" s="23" t="n"/>
      <c r="J295" s="24" t="n"/>
      <c r="K295" s="23" t="n"/>
      <c r="L295" s="10" t="inlineStr">
        <is>
          <t>Typology drawing R01</t>
        </is>
      </c>
      <c r="M295" s="10">
        <f>Config!$B$3&amp;"?room="&amp;A295</f>
        <v/>
      </c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G296" s="23" t="n"/>
      <c r="H296" s="24" t="n"/>
      <c r="I296" s="23" t="n"/>
      <c r="J296" s="24" t="n"/>
      <c r="K296" s="23" t="n"/>
      <c r="L296" s="10" t="inlineStr">
        <is>
          <t>Typology drawing R01</t>
        </is>
      </c>
      <c r="M296" s="10">
        <f>Config!$B$3&amp;"?room="&amp;A296</f>
        <v/>
      </c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G297" s="23" t="n"/>
      <c r="H297" s="24" t="n"/>
      <c r="I297" s="23" t="n"/>
      <c r="J297" s="24" t="n"/>
      <c r="K297" s="23" t="n"/>
      <c r="L297" s="10" t="inlineStr">
        <is>
          <t>Typology drawing R01</t>
        </is>
      </c>
      <c r="M297" s="10">
        <f>Config!$B$3&amp;"?room="&amp;A297</f>
        <v/>
      </c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G298" s="23" t="n"/>
      <c r="H298" s="24" t="n"/>
      <c r="I298" s="23" t="n"/>
      <c r="J298" s="24" t="n"/>
      <c r="K298" s="23" t="n"/>
      <c r="L298" s="10" t="inlineStr">
        <is>
          <t>Typology drawing R01</t>
        </is>
      </c>
      <c r="M298" s="10">
        <f>Config!$B$3&amp;"?room="&amp;A298</f>
        <v/>
      </c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G299" s="23" t="n"/>
      <c r="H299" s="24" t="n"/>
      <c r="I299" s="23" t="n"/>
      <c r="J299" s="24" t="n"/>
      <c r="K299" s="23" t="n"/>
      <c r="L299" s="10" t="inlineStr">
        <is>
          <t>Typology drawing R01</t>
        </is>
      </c>
      <c r="M299" s="10">
        <f>Config!$B$3&amp;"?room="&amp;A299</f>
        <v/>
      </c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G300" s="23" t="n"/>
      <c r="H300" s="24" t="n"/>
      <c r="I300" s="23" t="n"/>
      <c r="J300" s="24" t="n"/>
      <c r="K300" s="23" t="n"/>
      <c r="L300" s="10" t="inlineStr">
        <is>
          <t>Typology drawing R01</t>
        </is>
      </c>
      <c r="M300" s="10">
        <f>Config!$B$3&amp;"?room="&amp;A300</f>
        <v/>
      </c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G301" s="23" t="n"/>
      <c r="H301" s="24" t="n"/>
      <c r="I301" s="23" t="n"/>
      <c r="J301" s="24" t="n"/>
      <c r="K301" s="23" t="n"/>
      <c r="L301" s="10" t="inlineStr">
        <is>
          <t>Typology drawing R01</t>
        </is>
      </c>
      <c r="M301" s="10">
        <f>Config!$B$3&amp;"?room="&amp;A301</f>
        <v/>
      </c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G302" s="23" t="n"/>
      <c r="H302" s="24" t="n"/>
      <c r="I302" s="23" t="n"/>
      <c r="J302" s="24" t="n"/>
      <c r="K302" s="23" t="n"/>
      <c r="L302" s="10" t="inlineStr">
        <is>
          <t>Typology drawing R01</t>
        </is>
      </c>
      <c r="M302" s="10">
        <f>Config!$B$3&amp;"?room="&amp;A302</f>
        <v/>
      </c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G303" s="23" t="n"/>
      <c r="H303" s="24" t="n"/>
      <c r="I303" s="23" t="n"/>
      <c r="J303" s="24" t="n"/>
      <c r="K303" s="23" t="n"/>
      <c r="L303" s="10" t="inlineStr">
        <is>
          <t>Typology drawing R01</t>
        </is>
      </c>
      <c r="M303" s="10">
        <f>Config!$B$3&amp;"?room="&amp;A303</f>
        <v/>
      </c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G304" s="23" t="n"/>
      <c r="H304" s="24" t="n"/>
      <c r="I304" s="23" t="n"/>
      <c r="J304" s="24" t="n"/>
      <c r="K304" s="23" t="n"/>
      <c r="L304" s="10" t="inlineStr">
        <is>
          <t>Typology drawing R01</t>
        </is>
      </c>
      <c r="M304" s="10">
        <f>Config!$B$3&amp;"?room="&amp;A304</f>
        <v/>
      </c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G305" s="23" t="n"/>
      <c r="H305" s="24" t="n"/>
      <c r="I305" s="23" t="n"/>
      <c r="J305" s="24" t="n"/>
      <c r="K305" s="23" t="n"/>
      <c r="L305" s="10" t="inlineStr">
        <is>
          <t>Typology drawing R01</t>
        </is>
      </c>
      <c r="M305" s="10">
        <f>Config!$B$3&amp;"?room="&amp;A305</f>
        <v/>
      </c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G306" s="23" t="n"/>
      <c r="H306" s="24" t="n"/>
      <c r="I306" s="23" t="n"/>
      <c r="J306" s="24" t="n"/>
      <c r="K306" s="23" t="n"/>
      <c r="L306" s="10" t="inlineStr">
        <is>
          <t>Typology drawing R01</t>
        </is>
      </c>
      <c r="M306" s="10">
        <f>Config!$B$3&amp;"?room="&amp;A306</f>
        <v/>
      </c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G307" s="23" t="n"/>
      <c r="H307" s="24" t="n"/>
      <c r="I307" s="23" t="n"/>
      <c r="J307" s="24" t="n"/>
      <c r="K307" s="23" t="n"/>
      <c r="L307" s="10" t="inlineStr">
        <is>
          <t>Typology drawing R01</t>
        </is>
      </c>
      <c r="M307" s="10">
        <f>Config!$B$3&amp;"?room="&amp;A307</f>
        <v/>
      </c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G308" s="23" t="n"/>
      <c r="H308" s="24" t="n"/>
      <c r="I308" s="23" t="n"/>
      <c r="J308" s="24" t="n"/>
      <c r="K308" s="23" t="n"/>
      <c r="L308" s="10" t="inlineStr">
        <is>
          <t>Typology drawing R01</t>
        </is>
      </c>
      <c r="M308" s="10">
        <f>Config!$B$3&amp;"?room="&amp;A308</f>
        <v/>
      </c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G309" s="23" t="n"/>
      <c r="H309" s="24" t="n"/>
      <c r="I309" s="23" t="n"/>
      <c r="J309" s="24" t="n"/>
      <c r="K309" s="23" t="n"/>
      <c r="L309" s="10" t="inlineStr">
        <is>
          <t>Typology drawing R01</t>
        </is>
      </c>
      <c r="M309" s="10">
        <f>Config!$B$3&amp;"?room="&amp;A309</f>
        <v/>
      </c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G310" s="23" t="n"/>
      <c r="H310" s="24" t="n"/>
      <c r="I310" s="23" t="n"/>
      <c r="J310" s="24" t="n"/>
      <c r="K310" s="23" t="n"/>
      <c r="L310" s="10" t="inlineStr">
        <is>
          <t>Typology drawing R01</t>
        </is>
      </c>
      <c r="M310" s="10">
        <f>Config!$B$3&amp;"?room="&amp;A310</f>
        <v/>
      </c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G311" s="23" t="n"/>
      <c r="H311" s="24" t="n"/>
      <c r="I311" s="23" t="n"/>
      <c r="J311" s="24" t="n"/>
      <c r="K311" s="23" t="n"/>
      <c r="L311" s="10" t="inlineStr">
        <is>
          <t>Typology drawing R01</t>
        </is>
      </c>
      <c r="M311" s="10">
        <f>Config!$B$3&amp;"?room="&amp;A311</f>
        <v/>
      </c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G312" s="23" t="n"/>
      <c r="H312" s="24" t="n"/>
      <c r="I312" s="23" t="n"/>
      <c r="J312" s="24" t="n"/>
      <c r="K312" s="23" t="n"/>
      <c r="L312" s="10" t="inlineStr">
        <is>
          <t>Typology drawing R01</t>
        </is>
      </c>
      <c r="M312" s="10">
        <f>Config!$B$3&amp;"?room="&amp;A312</f>
        <v/>
      </c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G313" s="23" t="n"/>
      <c r="H313" s="24" t="n"/>
      <c r="I313" s="23" t="n"/>
      <c r="J313" s="24" t="n"/>
      <c r="K313" s="23" t="n"/>
      <c r="L313" s="10" t="inlineStr">
        <is>
          <t>Typology drawing R01</t>
        </is>
      </c>
      <c r="M313" s="10">
        <f>Config!$B$3&amp;"?room="&amp;A313</f>
        <v/>
      </c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G314" s="23" t="n"/>
      <c r="H314" s="24" t="n"/>
      <c r="I314" s="23" t="n"/>
      <c r="J314" s="24" t="n"/>
      <c r="K314" s="23" t="n"/>
      <c r="L314" s="10" t="inlineStr">
        <is>
          <t>Typology drawing R01</t>
        </is>
      </c>
      <c r="M314" s="10">
        <f>Config!$B$3&amp;"?room="&amp;A314</f>
        <v/>
      </c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G315" s="23" t="n"/>
      <c r="H315" s="24" t="n"/>
      <c r="I315" s="23" t="n"/>
      <c r="J315" s="24" t="n"/>
      <c r="K315" s="23" t="n"/>
      <c r="L315" s="10" t="inlineStr">
        <is>
          <t>Typology drawing R01</t>
        </is>
      </c>
      <c r="M315" s="10">
        <f>Config!$B$3&amp;"?room="&amp;A315</f>
        <v/>
      </c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G316" s="23" t="n"/>
      <c r="H316" s="24" t="n"/>
      <c r="I316" s="23" t="n"/>
      <c r="J316" s="24" t="n"/>
      <c r="K316" s="23" t="n"/>
      <c r="L316" s="10" t="inlineStr">
        <is>
          <t>Typology drawing R01</t>
        </is>
      </c>
      <c r="M316" s="10">
        <f>Config!$B$3&amp;"?room="&amp;A316</f>
        <v/>
      </c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G317" s="23" t="n"/>
      <c r="H317" s="24" t="n"/>
      <c r="I317" s="23" t="n"/>
      <c r="J317" s="24" t="n"/>
      <c r="K317" s="23" t="n"/>
      <c r="L317" s="10" t="inlineStr">
        <is>
          <t>Typology drawing R01</t>
        </is>
      </c>
      <c r="M317" s="10">
        <f>Config!$B$3&amp;"?room="&amp;A317</f>
        <v/>
      </c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G318" s="23" t="n"/>
      <c r="H318" s="24" t="n"/>
      <c r="I318" s="23" t="n"/>
      <c r="J318" s="24" t="n"/>
      <c r="K318" s="23" t="n"/>
      <c r="L318" s="10" t="inlineStr">
        <is>
          <t>Typology drawing R01</t>
        </is>
      </c>
      <c r="M318" s="10">
        <f>Config!$B$3&amp;"?room="&amp;A318</f>
        <v/>
      </c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G319" s="23" t="n"/>
      <c r="H319" s="24" t="n"/>
      <c r="I319" s="23" t="n"/>
      <c r="J319" s="24" t="n"/>
      <c r="K319" s="23" t="n"/>
      <c r="L319" s="10" t="inlineStr">
        <is>
          <t>Typology drawing R01</t>
        </is>
      </c>
      <c r="M319" s="10">
        <f>Config!$B$3&amp;"?room="&amp;A319</f>
        <v/>
      </c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G320" s="23" t="n"/>
      <c r="H320" s="24" t="n"/>
      <c r="I320" s="23" t="n"/>
      <c r="J320" s="24" t="n"/>
      <c r="K320" s="23" t="n"/>
      <c r="L320" s="10" t="inlineStr">
        <is>
          <t>Typology drawing R01</t>
        </is>
      </c>
      <c r="M320" s="10">
        <f>Config!$B$3&amp;"?room="&amp;A320</f>
        <v/>
      </c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G321" s="23" t="n"/>
      <c r="H321" s="24" t="n"/>
      <c r="I321" s="23" t="n"/>
      <c r="J321" s="24" t="n"/>
      <c r="K321" s="23" t="n"/>
      <c r="L321" s="10" t="inlineStr">
        <is>
          <t>Typology drawing R01</t>
        </is>
      </c>
      <c r="M321" s="10">
        <f>Config!$B$3&amp;"?room="&amp;A321</f>
        <v/>
      </c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G322" s="23" t="n"/>
      <c r="H322" s="24" t="n"/>
      <c r="I322" s="23" t="n"/>
      <c r="J322" s="24" t="n"/>
      <c r="K322" s="23" t="n"/>
      <c r="L322" s="10" t="inlineStr">
        <is>
          <t>Typology drawing R01</t>
        </is>
      </c>
      <c r="M322" s="10">
        <f>Config!$B$3&amp;"?room="&amp;A322</f>
        <v/>
      </c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G323" s="23" t="n"/>
      <c r="H323" s="24" t="n"/>
      <c r="I323" s="23" t="n"/>
      <c r="J323" s="24" t="n"/>
      <c r="K323" s="23" t="n"/>
      <c r="L323" s="10" t="inlineStr">
        <is>
          <t>Typology drawing R01</t>
        </is>
      </c>
      <c r="M323" s="10">
        <f>Config!$B$3&amp;"?room="&amp;A323</f>
        <v/>
      </c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G324" s="23" t="n"/>
      <c r="H324" s="24" t="n"/>
      <c r="I324" s="23" t="n"/>
      <c r="J324" s="24" t="n"/>
      <c r="K324" s="23" t="n"/>
      <c r="L324" s="10" t="inlineStr">
        <is>
          <t>Typology drawing R01</t>
        </is>
      </c>
      <c r="M324" s="10">
        <f>Config!$B$3&amp;"?room="&amp;A324</f>
        <v/>
      </c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G325" s="23" t="n"/>
      <c r="H325" s="24" t="n"/>
      <c r="I325" s="23" t="n"/>
      <c r="J325" s="24" t="n"/>
      <c r="K325" s="23" t="n"/>
      <c r="L325" s="10" t="inlineStr">
        <is>
          <t>Typology drawing R01</t>
        </is>
      </c>
      <c r="M325" s="10">
        <f>Config!$B$3&amp;"?room="&amp;A325</f>
        <v/>
      </c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G326" s="23" t="n"/>
      <c r="H326" s="24" t="n"/>
      <c r="I326" s="23" t="n"/>
      <c r="J326" s="24" t="n"/>
      <c r="K326" s="23" t="n"/>
      <c r="L326" s="10" t="inlineStr">
        <is>
          <t>Typology drawing R01</t>
        </is>
      </c>
      <c r="M326" s="10">
        <f>Config!$B$3&amp;"?room="&amp;A326</f>
        <v/>
      </c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G327" s="23" t="n"/>
      <c r="H327" s="24" t="n"/>
      <c r="I327" s="23" t="n"/>
      <c r="J327" s="24" t="n"/>
      <c r="K327" s="23" t="n"/>
      <c r="L327" s="10" t="inlineStr">
        <is>
          <t>Typology drawing R01</t>
        </is>
      </c>
      <c r="M327" s="10">
        <f>Config!$B$3&amp;"?room="&amp;A327</f>
        <v/>
      </c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G328" s="23" t="n"/>
      <c r="H328" s="24" t="n"/>
      <c r="I328" s="23" t="n"/>
      <c r="J328" s="24" t="n"/>
      <c r="K328" s="23" t="n"/>
      <c r="L328" s="10" t="inlineStr">
        <is>
          <t>Typology drawing R01</t>
        </is>
      </c>
      <c r="M328" s="10">
        <f>Config!$B$3&amp;"?room="&amp;A328</f>
        <v/>
      </c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G329" s="23" t="n"/>
      <c r="H329" s="24" t="n"/>
      <c r="I329" s="23" t="n"/>
      <c r="J329" s="24" t="n"/>
      <c r="K329" s="23" t="n"/>
      <c r="L329" s="10" t="inlineStr">
        <is>
          <t>Typology drawing R01</t>
        </is>
      </c>
      <c r="M329" s="10">
        <f>Config!$B$3&amp;"?room="&amp;A329</f>
        <v/>
      </c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G330" s="23" t="n"/>
      <c r="H330" s="24" t="n"/>
      <c r="I330" s="23" t="n"/>
      <c r="J330" s="24" t="n"/>
      <c r="K330" s="23" t="n"/>
      <c r="L330" s="10" t="inlineStr">
        <is>
          <t>Typology drawing R01</t>
        </is>
      </c>
      <c r="M330" s="10">
        <f>Config!$B$3&amp;"?room="&amp;A330</f>
        <v/>
      </c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G331" s="23" t="n"/>
      <c r="H331" s="24" t="n"/>
      <c r="I331" s="23" t="n"/>
      <c r="J331" s="24" t="n"/>
      <c r="K331" s="23" t="n"/>
      <c r="L331" s="10" t="inlineStr">
        <is>
          <t>Typology drawing R01</t>
        </is>
      </c>
      <c r="M331" s="10">
        <f>Config!$B$3&amp;"?room="&amp;A331</f>
        <v/>
      </c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G332" s="23" t="n"/>
      <c r="H332" s="24" t="n"/>
      <c r="I332" s="23" t="n"/>
      <c r="J332" s="24" t="n"/>
      <c r="K332" s="23" t="n"/>
      <c r="L332" s="10" t="inlineStr">
        <is>
          <t>Typology drawing R01</t>
        </is>
      </c>
      <c r="M332" s="10">
        <f>Config!$B$3&amp;"?room="&amp;A332</f>
        <v/>
      </c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G333" s="23" t="n"/>
      <c r="H333" s="24" t="n"/>
      <c r="I333" s="23" t="n"/>
      <c r="J333" s="24" t="n"/>
      <c r="K333" s="23" t="n"/>
      <c r="L333" s="10" t="inlineStr">
        <is>
          <t>Typology drawing R01</t>
        </is>
      </c>
      <c r="M333" s="10">
        <f>Config!$B$3&amp;"?room="&amp;A333</f>
        <v/>
      </c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G334" s="23" t="n"/>
      <c r="H334" s="24" t="n"/>
      <c r="I334" s="23" t="n"/>
      <c r="J334" s="24" t="n"/>
      <c r="K334" s="23" t="n"/>
      <c r="L334" s="10" t="inlineStr">
        <is>
          <t>Typology drawing R01</t>
        </is>
      </c>
      <c r="M334" s="10">
        <f>Config!$B$3&amp;"?room="&amp;A334</f>
        <v/>
      </c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G335" s="23" t="n"/>
      <c r="H335" s="24" t="n"/>
      <c r="I335" s="23" t="n"/>
      <c r="J335" s="24" t="n"/>
      <c r="K335" s="23" t="n"/>
      <c r="L335" s="10" t="inlineStr">
        <is>
          <t>Typology drawing R01</t>
        </is>
      </c>
      <c r="M335" s="10">
        <f>Config!$B$3&amp;"?room="&amp;A335</f>
        <v/>
      </c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G336" s="23" t="n"/>
      <c r="H336" s="24" t="n"/>
      <c r="I336" s="23" t="n"/>
      <c r="J336" s="24" t="n"/>
      <c r="K336" s="23" t="n"/>
      <c r="L336" s="10" t="inlineStr">
        <is>
          <t>Typology drawing R01</t>
        </is>
      </c>
      <c r="M336" s="10">
        <f>Config!$B$3&amp;"?room="&amp;A336</f>
        <v/>
      </c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G337" s="23" t="n"/>
      <c r="H337" s="24" t="n"/>
      <c r="I337" s="23" t="n"/>
      <c r="J337" s="24" t="n"/>
      <c r="K337" s="23" t="n"/>
      <c r="L337" s="10" t="inlineStr">
        <is>
          <t>Typology drawing R01</t>
        </is>
      </c>
      <c r="M337" s="10">
        <f>Config!$B$3&amp;"?room="&amp;A337</f>
        <v/>
      </c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G338" s="23" t="n"/>
      <c r="H338" s="24" t="n"/>
      <c r="I338" s="23" t="n"/>
      <c r="J338" s="24" t="n"/>
      <c r="K338" s="23" t="n"/>
      <c r="L338" s="10" t="inlineStr">
        <is>
          <t>Typology drawing R01</t>
        </is>
      </c>
      <c r="M338" s="10">
        <f>Config!$B$3&amp;"?room="&amp;A338</f>
        <v/>
      </c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G339" s="23" t="n"/>
      <c r="H339" s="24" t="n"/>
      <c r="I339" s="23" t="n"/>
      <c r="J339" s="24" t="n"/>
      <c r="K339" s="23" t="n"/>
      <c r="L339" s="10" t="inlineStr">
        <is>
          <t>Typology drawing R01</t>
        </is>
      </c>
      <c r="M339" s="10">
        <f>Config!$B$3&amp;"?room="&amp;A339</f>
        <v/>
      </c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G340" s="23" t="n"/>
      <c r="H340" s="24" t="n"/>
      <c r="I340" s="23" t="n"/>
      <c r="J340" s="24" t="n"/>
      <c r="K340" s="23" t="n"/>
      <c r="L340" s="10" t="inlineStr">
        <is>
          <t>Typology drawing R01</t>
        </is>
      </c>
      <c r="M340" s="10">
        <f>Config!$B$3&amp;"?room="&amp;A340</f>
        <v/>
      </c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G341" s="23" t="n"/>
      <c r="H341" s="24" t="n"/>
      <c r="I341" s="23" t="n"/>
      <c r="J341" s="24" t="n"/>
      <c r="K341" s="23" t="n"/>
      <c r="L341" s="10" t="inlineStr">
        <is>
          <t>Typology drawing R01</t>
        </is>
      </c>
      <c r="M341" s="10">
        <f>Config!$B$3&amp;"?room="&amp;A341</f>
        <v/>
      </c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G342" s="23" t="n"/>
      <c r="H342" s="24" t="n"/>
      <c r="I342" s="23" t="n"/>
      <c r="J342" s="24" t="n"/>
      <c r="K342" s="23" t="n"/>
      <c r="L342" s="10" t="inlineStr">
        <is>
          <t>Typology drawing R01</t>
        </is>
      </c>
      <c r="M342" s="10">
        <f>Config!$B$3&amp;"?room="&amp;A342</f>
        <v/>
      </c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G343" s="23" t="n"/>
      <c r="H343" s="24" t="n"/>
      <c r="I343" s="23" t="n"/>
      <c r="J343" s="24" t="n"/>
      <c r="K343" s="23" t="n"/>
      <c r="L343" s="10" t="inlineStr">
        <is>
          <t>Typology drawing R01</t>
        </is>
      </c>
      <c r="M343" s="10">
        <f>Config!$B$3&amp;"?room="&amp;A343</f>
        <v/>
      </c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G344" s="23" t="n"/>
      <c r="H344" s="24" t="n"/>
      <c r="I344" s="23" t="n"/>
      <c r="J344" s="24" t="n"/>
      <c r="K344" s="23" t="n"/>
      <c r="L344" s="10" t="inlineStr">
        <is>
          <t>Typology drawing R01</t>
        </is>
      </c>
      <c r="M344" s="10">
        <f>Config!$B$3&amp;"?room="&amp;A344</f>
        <v/>
      </c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G345" s="23" t="n"/>
      <c r="H345" s="24" t="n"/>
      <c r="I345" s="23" t="n"/>
      <c r="J345" s="24" t="n"/>
      <c r="K345" s="23" t="n"/>
      <c r="L345" s="10" t="inlineStr">
        <is>
          <t>Typology drawing R01</t>
        </is>
      </c>
      <c r="M345" s="10">
        <f>Config!$B$3&amp;"?room="&amp;A345</f>
        <v/>
      </c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G346" s="23" t="n"/>
      <c r="H346" s="24" t="n"/>
      <c r="I346" s="23" t="n"/>
      <c r="J346" s="24" t="n"/>
      <c r="K346" s="23" t="n"/>
      <c r="L346" s="10" t="inlineStr">
        <is>
          <t>Typology drawing R01</t>
        </is>
      </c>
      <c r="M346" s="10">
        <f>Config!$B$3&amp;"?room="&amp;A346</f>
        <v/>
      </c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G347" s="23" t="n"/>
      <c r="H347" s="24" t="n"/>
      <c r="I347" s="23" t="n"/>
      <c r="J347" s="24" t="n"/>
      <c r="K347" s="23" t="n"/>
      <c r="L347" s="10" t="inlineStr">
        <is>
          <t>Typology drawing R01</t>
        </is>
      </c>
      <c r="M347" s="10">
        <f>Config!$B$3&amp;"?room="&amp;A347</f>
        <v/>
      </c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G348" s="23" t="n"/>
      <c r="H348" s="24" t="n"/>
      <c r="I348" s="23" t="n"/>
      <c r="J348" s="24" t="n"/>
      <c r="K348" s="23" t="n"/>
      <c r="L348" s="10" t="inlineStr">
        <is>
          <t>Typology drawing R01</t>
        </is>
      </c>
      <c r="M348" s="10">
        <f>Config!$B$3&amp;"?room="&amp;A348</f>
        <v/>
      </c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G349" s="23" t="n"/>
      <c r="H349" s="24" t="n"/>
      <c r="I349" s="23" t="n"/>
      <c r="J349" s="24" t="n"/>
      <c r="K349" s="23" t="n"/>
      <c r="L349" s="10" t="inlineStr">
        <is>
          <t>Typology drawing R01</t>
        </is>
      </c>
      <c r="M349" s="10">
        <f>Config!$B$3&amp;"?room="&amp;A349</f>
        <v/>
      </c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G350" s="23" t="n"/>
      <c r="H350" s="24" t="n"/>
      <c r="I350" s="23" t="n"/>
      <c r="J350" s="24" t="n"/>
      <c r="K350" s="23" t="n"/>
      <c r="L350" s="10" t="inlineStr">
        <is>
          <t>Typology drawing R01</t>
        </is>
      </c>
      <c r="M350" s="10">
        <f>Config!$B$3&amp;"?room="&amp;A350</f>
        <v/>
      </c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G351" s="23" t="n"/>
      <c r="H351" s="24" t="n"/>
      <c r="I351" s="23" t="n"/>
      <c r="J351" s="24" t="n"/>
      <c r="K351" s="23" t="n"/>
      <c r="L351" s="10" t="inlineStr">
        <is>
          <t>Typology drawing R01</t>
        </is>
      </c>
      <c r="M351" s="10">
        <f>Config!$B$3&amp;"?room="&amp;A351</f>
        <v/>
      </c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G352" s="23" t="n"/>
      <c r="H352" s="24" t="n"/>
      <c r="I352" s="23" t="n"/>
      <c r="J352" s="24" t="n"/>
      <c r="K352" s="23" t="n"/>
      <c r="L352" s="10" t="inlineStr">
        <is>
          <t>Typology drawing R01</t>
        </is>
      </c>
      <c r="M352" s="10">
        <f>Config!$B$3&amp;"?room="&amp;A352</f>
        <v/>
      </c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G353" s="23" t="n"/>
      <c r="H353" s="24" t="n"/>
      <c r="I353" s="23" t="n"/>
      <c r="J353" s="24" t="n"/>
      <c r="K353" s="23" t="n"/>
      <c r="L353" s="10" t="inlineStr">
        <is>
          <t>Typology drawing R01</t>
        </is>
      </c>
      <c r="M353" s="10">
        <f>Config!$B$3&amp;"?room="&amp;A353</f>
        <v/>
      </c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G354" s="23" t="n"/>
      <c r="H354" s="24" t="n"/>
      <c r="I354" s="23" t="n"/>
      <c r="J354" s="24" t="n"/>
      <c r="K354" s="23" t="n"/>
      <c r="L354" s="10" t="inlineStr">
        <is>
          <t>Typology drawing R01</t>
        </is>
      </c>
      <c r="M354" s="10">
        <f>Config!$B$3&amp;"?room="&amp;A354</f>
        <v/>
      </c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G355" s="23" t="n"/>
      <c r="H355" s="24" t="n"/>
      <c r="I355" s="23" t="n"/>
      <c r="J355" s="24" t="n"/>
      <c r="K355" s="23" t="n"/>
      <c r="L355" s="10" t="inlineStr">
        <is>
          <t>Typology drawing R01</t>
        </is>
      </c>
      <c r="M355" s="10">
        <f>Config!$B$3&amp;"?room="&amp;A355</f>
        <v/>
      </c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G356" s="23" t="n"/>
      <c r="H356" s="24" t="n"/>
      <c r="I356" s="23" t="n"/>
      <c r="J356" s="24" t="n"/>
      <c r="K356" s="23" t="n"/>
      <c r="L356" s="10" t="inlineStr">
        <is>
          <t>Typology drawing R01</t>
        </is>
      </c>
      <c r="M356" s="10">
        <f>Config!$B$3&amp;"?room="&amp;A356</f>
        <v/>
      </c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G357" s="23" t="n"/>
      <c r="H357" s="24" t="n"/>
      <c r="I357" s="23" t="n"/>
      <c r="J357" s="24" t="n"/>
      <c r="K357" s="23" t="n"/>
      <c r="L357" s="10" t="inlineStr">
        <is>
          <t>Typology drawing R01</t>
        </is>
      </c>
      <c r="M357" s="10">
        <f>Config!$B$3&amp;"?room="&amp;A357</f>
        <v/>
      </c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G358" s="23" t="n"/>
      <c r="H358" s="24" t="n"/>
      <c r="I358" s="23" t="n"/>
      <c r="J358" s="24" t="n"/>
      <c r="K358" s="23" t="n"/>
      <c r="L358" s="10" t="inlineStr">
        <is>
          <t>Typology drawing R01</t>
        </is>
      </c>
      <c r="M358" s="10">
        <f>Config!$B$3&amp;"?room="&amp;A358</f>
        <v/>
      </c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G359" s="23" t="n"/>
      <c r="H359" s="24" t="n"/>
      <c r="I359" s="23" t="n"/>
      <c r="J359" s="24" t="n"/>
      <c r="K359" s="23" t="n"/>
      <c r="L359" s="10" t="inlineStr">
        <is>
          <t>Typology drawing R01</t>
        </is>
      </c>
      <c r="M359" s="10">
        <f>Config!$B$3&amp;"?room="&amp;A359</f>
        <v/>
      </c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G360" s="23" t="n"/>
      <c r="H360" s="24" t="n"/>
      <c r="I360" s="23" t="n"/>
      <c r="J360" s="24" t="n"/>
      <c r="K360" s="23" t="n"/>
      <c r="L360" s="10" t="inlineStr">
        <is>
          <t>Typology drawing R01</t>
        </is>
      </c>
      <c r="M360" s="10">
        <f>Config!$B$3&amp;"?room="&amp;A360</f>
        <v/>
      </c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G361" s="23" t="n"/>
      <c r="H361" s="24" t="n"/>
      <c r="I361" s="23" t="n"/>
      <c r="J361" s="24" t="n"/>
      <c r="K361" s="23" t="n"/>
      <c r="L361" s="10" t="inlineStr">
        <is>
          <t>Typology drawing R01</t>
        </is>
      </c>
      <c r="M361" s="10">
        <f>Config!$B$3&amp;"?room="&amp;A361</f>
        <v/>
      </c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G362" s="23" t="n"/>
      <c r="H362" s="24" t="n"/>
      <c r="I362" s="23" t="n"/>
      <c r="J362" s="24" t="n"/>
      <c r="K362" s="23" t="n"/>
      <c r="L362" s="10" t="inlineStr">
        <is>
          <t>Typology drawing R01</t>
        </is>
      </c>
      <c r="M362" s="10">
        <f>Config!$B$3&amp;"?room="&amp;A362</f>
        <v/>
      </c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G363" s="23" t="n"/>
      <c r="H363" s="24" t="n"/>
      <c r="I363" s="23" t="n"/>
      <c r="J363" s="24" t="n"/>
      <c r="K363" s="23" t="n"/>
      <c r="L363" s="10" t="inlineStr">
        <is>
          <t>Typology drawing R01</t>
        </is>
      </c>
      <c r="M363" s="10">
        <f>Config!$B$3&amp;"?room="&amp;A363</f>
        <v/>
      </c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G364" s="23" t="n"/>
      <c r="H364" s="24" t="n"/>
      <c r="I364" s="23" t="n"/>
      <c r="J364" s="24" t="n"/>
      <c r="K364" s="23" t="n"/>
      <c r="L364" s="10" t="inlineStr">
        <is>
          <t>Typology drawing R01</t>
        </is>
      </c>
      <c r="M364" s="10">
        <f>Config!$B$3&amp;"?room="&amp;A364</f>
        <v/>
      </c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G365" s="23" t="n"/>
      <c r="H365" s="24" t="n"/>
      <c r="I365" s="23" t="n"/>
      <c r="J365" s="24" t="n"/>
      <c r="K365" s="23" t="n"/>
      <c r="L365" s="10" t="inlineStr">
        <is>
          <t>Typology drawing R01</t>
        </is>
      </c>
      <c r="M365" s="10">
        <f>Config!$B$3&amp;"?room="&amp;A365</f>
        <v/>
      </c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G366" s="23" t="n"/>
      <c r="H366" s="24" t="n"/>
      <c r="I366" s="23" t="n"/>
      <c r="J366" s="24" t="n"/>
      <c r="K366" s="23" t="n"/>
      <c r="L366" s="10" t="inlineStr">
        <is>
          <t>Typology drawing R01</t>
        </is>
      </c>
      <c r="M366" s="10">
        <f>Config!$B$3&amp;"?room="&amp;A366</f>
        <v/>
      </c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G367" s="23" t="n"/>
      <c r="H367" s="24" t="n"/>
      <c r="I367" s="23" t="n"/>
      <c r="J367" s="24" t="n"/>
      <c r="K367" s="23" t="n"/>
      <c r="L367" s="10" t="inlineStr">
        <is>
          <t>Typology drawing R01</t>
        </is>
      </c>
      <c r="M367" s="10">
        <f>Config!$B$3&amp;"?room="&amp;A367</f>
        <v/>
      </c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G368" s="23" t="n"/>
      <c r="H368" s="24" t="n"/>
      <c r="I368" s="23" t="n"/>
      <c r="J368" s="24" t="n"/>
      <c r="K368" s="23" t="n"/>
      <c r="L368" s="10" t="inlineStr">
        <is>
          <t>Typology drawing R01</t>
        </is>
      </c>
      <c r="M368" s="10">
        <f>Config!$B$3&amp;"?room="&amp;A368</f>
        <v/>
      </c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G369" s="23" t="n"/>
      <c r="H369" s="24" t="n"/>
      <c r="I369" s="23" t="n"/>
      <c r="J369" s="24" t="n"/>
      <c r="K369" s="23" t="n"/>
      <c r="L369" s="10" t="inlineStr">
        <is>
          <t>Typology drawing R01</t>
        </is>
      </c>
      <c r="M369" s="10">
        <f>Config!$B$3&amp;"?room="&amp;A369</f>
        <v/>
      </c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G370" s="23" t="n"/>
      <c r="H370" s="24" t="n"/>
      <c r="I370" s="23" t="n"/>
      <c r="J370" s="24" t="n"/>
      <c r="K370" s="23" t="n"/>
      <c r="L370" s="10" t="inlineStr">
        <is>
          <t>Typology drawing R01</t>
        </is>
      </c>
      <c r="M370" s="10">
        <f>Config!$B$3&amp;"?room="&amp;A370</f>
        <v/>
      </c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G371" s="23" t="n"/>
      <c r="H371" s="24" t="n"/>
      <c r="I371" s="23" t="n"/>
      <c r="J371" s="24" t="n"/>
      <c r="K371" s="23" t="n"/>
      <c r="L371" s="10" t="inlineStr">
        <is>
          <t>Typology drawing R01</t>
        </is>
      </c>
      <c r="M371" s="10">
        <f>Config!$B$3&amp;"?room="&amp;A371</f>
        <v/>
      </c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G372" s="23" t="n"/>
      <c r="H372" s="24" t="n"/>
      <c r="I372" s="23" t="n"/>
      <c r="J372" s="24" t="n"/>
      <c r="K372" s="23" t="n"/>
      <c r="L372" s="10" t="inlineStr">
        <is>
          <t>Typology drawing R01</t>
        </is>
      </c>
      <c r="M372" s="10">
        <f>Config!$B$3&amp;"?room="&amp;A372</f>
        <v/>
      </c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G373" s="23" t="n"/>
      <c r="H373" s="24" t="n"/>
      <c r="I373" s="23" t="n"/>
      <c r="J373" s="24" t="n"/>
      <c r="K373" s="23" t="n"/>
      <c r="L373" s="10" t="inlineStr">
        <is>
          <t>Typology drawing R01</t>
        </is>
      </c>
      <c r="M373" s="10">
        <f>Config!$B$3&amp;"?room="&amp;A373</f>
        <v/>
      </c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G374" s="23" t="n"/>
      <c r="H374" s="24" t="n"/>
      <c r="I374" s="23" t="n"/>
      <c r="J374" s="24" t="n"/>
      <c r="K374" s="23" t="n"/>
      <c r="L374" s="10" t="inlineStr">
        <is>
          <t>Typology drawing R01</t>
        </is>
      </c>
      <c r="M374" s="10">
        <f>Config!$B$3&amp;"?room="&amp;A374</f>
        <v/>
      </c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G375" s="23" t="n"/>
      <c r="H375" s="24" t="n"/>
      <c r="I375" s="23" t="n"/>
      <c r="J375" s="24" t="n"/>
      <c r="K375" s="23" t="n"/>
      <c r="L375" s="10" t="inlineStr">
        <is>
          <t>Typology drawing R01</t>
        </is>
      </c>
      <c r="M375" s="10">
        <f>Config!$B$3&amp;"?room="&amp;A375</f>
        <v/>
      </c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G376" s="23" t="n"/>
      <c r="H376" s="24" t="n"/>
      <c r="I376" s="23" t="n"/>
      <c r="J376" s="24" t="n"/>
      <c r="K376" s="23" t="n"/>
      <c r="L376" s="10" t="inlineStr">
        <is>
          <t>Typology drawing R01</t>
        </is>
      </c>
      <c r="M376" s="10">
        <f>Config!$B$3&amp;"?room="&amp;A376</f>
        <v/>
      </c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G377" s="23" t="n"/>
      <c r="H377" s="24" t="n"/>
      <c r="I377" s="23" t="n"/>
      <c r="J377" s="24" t="n"/>
      <c r="K377" s="23" t="n"/>
      <c r="L377" s="10" t="inlineStr">
        <is>
          <t>Typology drawing R01</t>
        </is>
      </c>
      <c r="M377" s="10">
        <f>Config!$B$3&amp;"?room="&amp;A377</f>
        <v/>
      </c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G378" s="23" t="n"/>
      <c r="H378" s="24" t="n"/>
      <c r="I378" s="23" t="n"/>
      <c r="J378" s="24" t="n"/>
      <c r="K378" s="23" t="n"/>
      <c r="L378" s="10" t="inlineStr">
        <is>
          <t>Typology drawing R01</t>
        </is>
      </c>
      <c r="M378" s="10">
        <f>Config!$B$3&amp;"?room="&amp;A378</f>
        <v/>
      </c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G379" s="23" t="n"/>
      <c r="H379" s="24" t="n"/>
      <c r="I379" s="23" t="n"/>
      <c r="J379" s="24" t="n"/>
      <c r="K379" s="23" t="n"/>
      <c r="L379" s="10" t="inlineStr">
        <is>
          <t>Typology drawing R01</t>
        </is>
      </c>
      <c r="M379" s="10">
        <f>Config!$B$3&amp;"?room="&amp;A379</f>
        <v/>
      </c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G380" s="23" t="n"/>
      <c r="H380" s="24" t="n"/>
      <c r="I380" s="23" t="n"/>
      <c r="J380" s="24" t="n"/>
      <c r="K380" s="23" t="n"/>
      <c r="L380" s="10" t="inlineStr">
        <is>
          <t>Typology drawing R01</t>
        </is>
      </c>
      <c r="M380" s="10">
        <f>Config!$B$3&amp;"?room="&amp;A380</f>
        <v/>
      </c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G381" s="23" t="n"/>
      <c r="H381" s="24" t="n"/>
      <c r="I381" s="23" t="n"/>
      <c r="J381" s="24" t="n"/>
      <c r="K381" s="23" t="n"/>
      <c r="L381" s="10" t="inlineStr">
        <is>
          <t>Typology drawing R01</t>
        </is>
      </c>
      <c r="M381" s="10">
        <f>Config!$B$3&amp;"?room="&amp;A381</f>
        <v/>
      </c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G382" s="23" t="n"/>
      <c r="H382" s="24" t="n"/>
      <c r="I382" s="23" t="n"/>
      <c r="J382" s="24" t="n"/>
      <c r="K382" s="23" t="n"/>
      <c r="L382" s="10" t="inlineStr">
        <is>
          <t>Typology drawing R01</t>
        </is>
      </c>
      <c r="M382" s="10">
        <f>Config!$B$3&amp;"?room="&amp;A382</f>
        <v/>
      </c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G383" s="23" t="n"/>
      <c r="H383" s="24" t="n"/>
      <c r="I383" s="23" t="n"/>
      <c r="J383" s="24" t="n"/>
      <c r="K383" s="23" t="n"/>
      <c r="L383" s="10" t="inlineStr">
        <is>
          <t>Typology drawing R01</t>
        </is>
      </c>
      <c r="M383" s="10">
        <f>Config!$B$3&amp;"?room="&amp;A383</f>
        <v/>
      </c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G384" s="23" t="n"/>
      <c r="H384" s="24" t="n"/>
      <c r="I384" s="23" t="n"/>
      <c r="J384" s="24" t="n"/>
      <c r="K384" s="23" t="n"/>
      <c r="L384" s="10" t="inlineStr">
        <is>
          <t>Typology drawing R01</t>
        </is>
      </c>
      <c r="M384" s="10">
        <f>Config!$B$3&amp;"?room="&amp;A384</f>
        <v/>
      </c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G385" s="23" t="n"/>
      <c r="H385" s="24" t="n"/>
      <c r="I385" s="23" t="n"/>
      <c r="J385" s="24" t="n"/>
      <c r="K385" s="23" t="n"/>
      <c r="L385" s="10" t="inlineStr">
        <is>
          <t>Typology drawing R01</t>
        </is>
      </c>
      <c r="M385" s="10">
        <f>Config!$B$3&amp;"?room="&amp;A385</f>
        <v/>
      </c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G386" s="23" t="n"/>
      <c r="H386" s="24" t="n"/>
      <c r="I386" s="23" t="n"/>
      <c r="J386" s="24" t="n"/>
      <c r="K386" s="23" t="n"/>
      <c r="L386" s="10" t="inlineStr">
        <is>
          <t>Typology drawing R01</t>
        </is>
      </c>
      <c r="M386" s="10">
        <f>Config!$B$3&amp;"?room="&amp;A386</f>
        <v/>
      </c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G387" s="23" t="n"/>
      <c r="H387" s="24" t="n"/>
      <c r="I387" s="23" t="n"/>
      <c r="J387" s="24" t="n"/>
      <c r="K387" s="23" t="n"/>
      <c r="L387" s="10" t="inlineStr">
        <is>
          <t>Typology drawing R01</t>
        </is>
      </c>
      <c r="M387" s="10">
        <f>Config!$B$3&amp;"?room="&amp;A387</f>
        <v/>
      </c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G388" s="23" t="n"/>
      <c r="H388" s="24" t="n"/>
      <c r="I388" s="23" t="n"/>
      <c r="J388" s="24" t="n"/>
      <c r="K388" s="23" t="n"/>
      <c r="L388" s="10" t="inlineStr">
        <is>
          <t>Typology drawing R01</t>
        </is>
      </c>
      <c r="M388" s="10">
        <f>Config!$B$3&amp;"?room="&amp;A388</f>
        <v/>
      </c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G389" s="23" t="n"/>
      <c r="H389" s="24" t="n"/>
      <c r="I389" s="23" t="n"/>
      <c r="J389" s="24" t="n"/>
      <c r="K389" s="23" t="n"/>
      <c r="L389" s="10" t="inlineStr">
        <is>
          <t>Typology drawing R01</t>
        </is>
      </c>
      <c r="M389" s="10">
        <f>Config!$B$3&amp;"?room="&amp;A389</f>
        <v/>
      </c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G390" s="23" t="n"/>
      <c r="H390" s="24" t="n"/>
      <c r="I390" s="23" t="n"/>
      <c r="J390" s="24" t="n"/>
      <c r="K390" s="23" t="n"/>
      <c r="L390" s="10" t="inlineStr">
        <is>
          <t>Typology drawing R01</t>
        </is>
      </c>
      <c r="M390" s="10">
        <f>Config!$B$3&amp;"?room="&amp;A390</f>
        <v/>
      </c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G391" s="23" t="n"/>
      <c r="H391" s="24" t="n"/>
      <c r="I391" s="23" t="n"/>
      <c r="J391" s="24" t="n"/>
      <c r="K391" s="23" t="n"/>
      <c r="L391" s="10" t="inlineStr">
        <is>
          <t>Typology drawing R01</t>
        </is>
      </c>
      <c r="M391" s="10">
        <f>Config!$B$3&amp;"?room="&amp;A391</f>
        <v/>
      </c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G392" s="23" t="n"/>
      <c r="H392" s="24" t="n"/>
      <c r="I392" s="23" t="n"/>
      <c r="J392" s="24" t="n"/>
      <c r="K392" s="23" t="n"/>
      <c r="L392" s="10" t="inlineStr">
        <is>
          <t>Typology drawing R01</t>
        </is>
      </c>
      <c r="M392" s="10">
        <f>Config!$B$3&amp;"?room="&amp;A392</f>
        <v/>
      </c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G393" s="23" t="n"/>
      <c r="H393" s="24" t="n"/>
      <c r="I393" s="23" t="n"/>
      <c r="J393" s="24" t="n"/>
      <c r="K393" s="23" t="n"/>
      <c r="L393" s="10" t="inlineStr">
        <is>
          <t>Typology drawing R01</t>
        </is>
      </c>
      <c r="M393" s="10">
        <f>Config!$B$3&amp;"?room="&amp;A393</f>
        <v/>
      </c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G394" s="23" t="n"/>
      <c r="H394" s="24" t="n"/>
      <c r="I394" s="23" t="n"/>
      <c r="J394" s="24" t="n"/>
      <c r="K394" s="23" t="n"/>
      <c r="L394" s="10" t="inlineStr">
        <is>
          <t>Typology drawing R01</t>
        </is>
      </c>
      <c r="M394" s="10">
        <f>Config!$B$3&amp;"?room="&amp;A394</f>
        <v/>
      </c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G395" s="23" t="n"/>
      <c r="H395" s="24" t="n"/>
      <c r="I395" s="23" t="n"/>
      <c r="J395" s="24" t="n"/>
      <c r="K395" s="23" t="n"/>
      <c r="L395" s="10" t="inlineStr">
        <is>
          <t>Typology drawing R01</t>
        </is>
      </c>
      <c r="M395" s="10">
        <f>Config!$B$3&amp;"?room="&amp;A395</f>
        <v/>
      </c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G396" s="23" t="n"/>
      <c r="H396" s="24" t="n"/>
      <c r="I396" s="23" t="n"/>
      <c r="J396" s="24" t="n"/>
      <c r="K396" s="23" t="n"/>
      <c r="L396" s="10" t="inlineStr">
        <is>
          <t>Typology drawing R01</t>
        </is>
      </c>
      <c r="M396" s="10">
        <f>Config!$B$3&amp;"?room="&amp;A396</f>
        <v/>
      </c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G397" s="23" t="n"/>
      <c r="H397" s="24" t="n"/>
      <c r="I397" s="23" t="n"/>
      <c r="J397" s="24" t="n"/>
      <c r="K397" s="23" t="n"/>
      <c r="L397" s="10" t="inlineStr">
        <is>
          <t>Typology drawing R01</t>
        </is>
      </c>
      <c r="M397" s="10">
        <f>Config!$B$3&amp;"?room="&amp;A397</f>
        <v/>
      </c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G398" s="23" t="n"/>
      <c r="H398" s="24" t="n"/>
      <c r="I398" s="23" t="n"/>
      <c r="J398" s="24" t="n"/>
      <c r="K398" s="23" t="n"/>
      <c r="L398" s="10" t="inlineStr">
        <is>
          <t>Typology drawing R01</t>
        </is>
      </c>
      <c r="M398" s="10">
        <f>Config!$B$3&amp;"?room="&amp;A398</f>
        <v/>
      </c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G399" s="23" t="n"/>
      <c r="H399" s="24" t="n"/>
      <c r="I399" s="23" t="n"/>
      <c r="J399" s="24" t="n"/>
      <c r="K399" s="23" t="n"/>
      <c r="L399" s="10" t="inlineStr">
        <is>
          <t>Typology drawing R01</t>
        </is>
      </c>
      <c r="M399" s="10">
        <f>Config!$B$3&amp;"?room="&amp;A399</f>
        <v/>
      </c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G400" s="23" t="n"/>
      <c r="H400" s="24" t="n"/>
      <c r="I400" s="23" t="n"/>
      <c r="J400" s="24" t="n"/>
      <c r="K400" s="23" t="n"/>
      <c r="L400" s="10" t="inlineStr">
        <is>
          <t>Typology drawing R01</t>
        </is>
      </c>
      <c r="M400" s="10">
        <f>Config!$B$3&amp;"?room="&amp;A400</f>
        <v/>
      </c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G401" s="23" t="n"/>
      <c r="H401" s="24" t="n"/>
      <c r="I401" s="23" t="n"/>
      <c r="J401" s="24" t="n"/>
      <c r="K401" s="23" t="n"/>
      <c r="L401" s="10" t="inlineStr">
        <is>
          <t>Typology drawing R01</t>
        </is>
      </c>
      <c r="M401" s="10">
        <f>Config!$B$3&amp;"?room="&amp;A401</f>
        <v/>
      </c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G402" s="23" t="n"/>
      <c r="H402" s="24" t="n"/>
      <c r="I402" s="23" t="n"/>
      <c r="J402" s="24" t="n"/>
      <c r="K402" s="23" t="n"/>
      <c r="L402" s="10" t="inlineStr">
        <is>
          <t>Typology drawing R01</t>
        </is>
      </c>
      <c r="M402" s="10">
        <f>Config!$B$3&amp;"?room="&amp;A402</f>
        <v/>
      </c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G403" s="23" t="n"/>
      <c r="H403" s="24" t="n"/>
      <c r="I403" s="23" t="n"/>
      <c r="J403" s="24" t="n"/>
      <c r="K403" s="23" t="n"/>
      <c r="L403" s="10" t="inlineStr">
        <is>
          <t>Typology drawing R01</t>
        </is>
      </c>
      <c r="M403" s="10">
        <f>Config!$B$3&amp;"?room="&amp;A403</f>
        <v/>
      </c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G404" s="23" t="n"/>
      <c r="H404" s="24" t="n"/>
      <c r="I404" s="23" t="n"/>
      <c r="J404" s="24" t="n"/>
      <c r="K404" s="23" t="n"/>
      <c r="L404" s="10" t="inlineStr">
        <is>
          <t>Typology drawing R01</t>
        </is>
      </c>
      <c r="M404" s="10">
        <f>Config!$B$3&amp;"?room="&amp;A404</f>
        <v/>
      </c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G405" s="23" t="n"/>
      <c r="H405" s="24" t="n"/>
      <c r="I405" s="23" t="n"/>
      <c r="J405" s="24" t="n"/>
      <c r="K405" s="23" t="n"/>
      <c r="L405" s="10" t="inlineStr">
        <is>
          <t>Typology drawing R01</t>
        </is>
      </c>
      <c r="M405" s="10">
        <f>Config!$B$3&amp;"?room="&amp;A405</f>
        <v/>
      </c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G406" s="23" t="n"/>
      <c r="H406" s="24" t="n"/>
      <c r="I406" s="23" t="n"/>
      <c r="J406" s="24" t="n"/>
      <c r="K406" s="23" t="n"/>
      <c r="L406" s="10" t="inlineStr">
        <is>
          <t>Typology drawing R01</t>
        </is>
      </c>
      <c r="M406" s="10">
        <f>Config!$B$3&amp;"?room="&amp;A406</f>
        <v/>
      </c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G407" s="23" t="n"/>
      <c r="H407" s="24" t="n"/>
      <c r="I407" s="23" t="n"/>
      <c r="J407" s="24" t="n"/>
      <c r="K407" s="23" t="n"/>
      <c r="L407" s="10" t="inlineStr">
        <is>
          <t>Typology drawing R01</t>
        </is>
      </c>
      <c r="M407" s="10">
        <f>Config!$B$3&amp;"?room="&amp;A407</f>
        <v/>
      </c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G408" s="23" t="n"/>
      <c r="H408" s="24" t="n"/>
      <c r="I408" s="23" t="n"/>
      <c r="J408" s="24" t="n"/>
      <c r="K408" s="23" t="n"/>
      <c r="L408" s="10" t="inlineStr">
        <is>
          <t>Typology drawing R01</t>
        </is>
      </c>
      <c r="M408" s="10">
        <f>Config!$B$3&amp;"?room="&amp;A408</f>
        <v/>
      </c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G409" s="23" t="n"/>
      <c r="H409" s="24" t="n"/>
      <c r="I409" s="23" t="n"/>
      <c r="J409" s="24" t="n"/>
      <c r="K409" s="23" t="n"/>
      <c r="L409" s="10" t="inlineStr">
        <is>
          <t>Typology drawing R01</t>
        </is>
      </c>
      <c r="M409" s="10">
        <f>Config!$B$3&amp;"?room="&amp;A409</f>
        <v/>
      </c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G410" s="23" t="n"/>
      <c r="H410" s="24" t="n"/>
      <c r="I410" s="23" t="n"/>
      <c r="J410" s="24" t="n"/>
      <c r="K410" s="23" t="n"/>
      <c r="L410" s="10" t="inlineStr">
        <is>
          <t>Typology drawing R01</t>
        </is>
      </c>
      <c r="M410" s="10">
        <f>Config!$B$3&amp;"?room="&amp;A410</f>
        <v/>
      </c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G411" s="23" t="n"/>
      <c r="H411" s="24" t="n"/>
      <c r="I411" s="23" t="n"/>
      <c r="J411" s="24" t="n"/>
      <c r="K411" s="23" t="n"/>
      <c r="L411" s="10" t="inlineStr">
        <is>
          <t>Typology drawing R01</t>
        </is>
      </c>
      <c r="M411" s="10">
        <f>Config!$B$3&amp;"?room="&amp;A411</f>
        <v/>
      </c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G412" s="23" t="n"/>
      <c r="H412" s="24" t="n"/>
      <c r="I412" s="23" t="n"/>
      <c r="J412" s="24" t="n"/>
      <c r="K412" s="23" t="n"/>
      <c r="L412" s="10" t="inlineStr">
        <is>
          <t>Typology drawing R01</t>
        </is>
      </c>
      <c r="M412" s="10">
        <f>Config!$B$3&amp;"?room="&amp;A412</f>
        <v/>
      </c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G413" s="23" t="n"/>
      <c r="H413" s="24" t="n"/>
      <c r="I413" s="23" t="n"/>
      <c r="J413" s="24" t="n"/>
      <c r="K413" s="23" t="n"/>
      <c r="L413" s="10" t="inlineStr">
        <is>
          <t>Typology drawing R01</t>
        </is>
      </c>
      <c r="M413" s="10">
        <f>Config!$B$3&amp;"?room="&amp;A413</f>
        <v/>
      </c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G414" s="23" t="n"/>
      <c r="H414" s="24" t="n"/>
      <c r="I414" s="23" t="n"/>
      <c r="J414" s="24" t="n"/>
      <c r="K414" s="23" t="n"/>
      <c r="L414" s="10" t="inlineStr">
        <is>
          <t>Typology drawing R01</t>
        </is>
      </c>
      <c r="M414" s="10">
        <f>Config!$B$3&amp;"?room="&amp;A414</f>
        <v/>
      </c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G415" s="23" t="n"/>
      <c r="H415" s="24" t="n"/>
      <c r="I415" s="23" t="n"/>
      <c r="J415" s="24" t="n"/>
      <c r="K415" s="23" t="n"/>
      <c r="L415" s="10" t="inlineStr">
        <is>
          <t>Typology drawing R01</t>
        </is>
      </c>
      <c r="M415" s="10">
        <f>Config!$B$3&amp;"?room="&amp;A415</f>
        <v/>
      </c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G416" s="23" t="n"/>
      <c r="H416" s="24" t="n"/>
      <c r="I416" s="23" t="n"/>
      <c r="J416" s="24" t="n"/>
      <c r="K416" s="23" t="n"/>
      <c r="L416" s="10" t="inlineStr">
        <is>
          <t>Typology drawing R01</t>
        </is>
      </c>
      <c r="M416" s="10">
        <f>Config!$B$3&amp;"?room="&amp;A416</f>
        <v/>
      </c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G417" s="23" t="n"/>
      <c r="H417" s="24" t="n"/>
      <c r="I417" s="23" t="n"/>
      <c r="J417" s="24" t="n"/>
      <c r="K417" s="23" t="n"/>
      <c r="L417" s="10" t="inlineStr">
        <is>
          <t>Typology drawing R01</t>
        </is>
      </c>
      <c r="M417" s="10">
        <f>Config!$B$3&amp;"?room="&amp;A417</f>
        <v/>
      </c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G418" s="23" t="n"/>
      <c r="H418" s="24" t="n"/>
      <c r="I418" s="23" t="n"/>
      <c r="J418" s="24" t="n"/>
      <c r="K418" s="23" t="n"/>
      <c r="L418" s="10" t="inlineStr">
        <is>
          <t>Typology drawing R01</t>
        </is>
      </c>
      <c r="M418" s="10">
        <f>Config!$B$3&amp;"?room="&amp;A418</f>
        <v/>
      </c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G419" s="23" t="n"/>
      <c r="H419" s="24" t="n"/>
      <c r="I419" s="23" t="n"/>
      <c r="J419" s="24" t="n"/>
      <c r="K419" s="23" t="n"/>
      <c r="L419" s="10" t="inlineStr">
        <is>
          <t>Typology drawing R01</t>
        </is>
      </c>
      <c r="M419" s="10">
        <f>Config!$B$3&amp;"?room="&amp;A419</f>
        <v/>
      </c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G420" s="23" t="n"/>
      <c r="H420" s="24" t="n"/>
      <c r="I420" s="23" t="n"/>
      <c r="J420" s="24" t="n"/>
      <c r="K420" s="23" t="n"/>
      <c r="L420" s="10" t="inlineStr">
        <is>
          <t>Typology drawing R01</t>
        </is>
      </c>
      <c r="M420" s="10">
        <f>Config!$B$3&amp;"?room="&amp;A420</f>
        <v/>
      </c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G421" s="23" t="n"/>
      <c r="H421" s="24" t="n"/>
      <c r="I421" s="23" t="n"/>
      <c r="J421" s="24" t="n"/>
      <c r="K421" s="23" t="n"/>
      <c r="L421" s="10" t="inlineStr">
        <is>
          <t>Typology drawing R01</t>
        </is>
      </c>
      <c r="M421" s="10">
        <f>Config!$B$3&amp;"?room="&amp;A421</f>
        <v/>
      </c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G422" s="23" t="n"/>
      <c r="H422" s="24" t="n"/>
      <c r="I422" s="23" t="n"/>
      <c r="J422" s="24" t="n"/>
      <c r="K422" s="23" t="n"/>
      <c r="L422" s="10" t="inlineStr">
        <is>
          <t>Typology drawing R01</t>
        </is>
      </c>
      <c r="M422" s="10">
        <f>Config!$B$3&amp;"?room="&amp;A422</f>
        <v/>
      </c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G423" s="23" t="n"/>
      <c r="H423" s="24" t="n"/>
      <c r="I423" s="23" t="n"/>
      <c r="J423" s="24" t="n"/>
      <c r="K423" s="23" t="n"/>
      <c r="L423" s="10" t="inlineStr">
        <is>
          <t>Typology drawing R01</t>
        </is>
      </c>
      <c r="M423" s="10">
        <f>Config!$B$3&amp;"?room="&amp;A423</f>
        <v/>
      </c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G424" s="23" t="n"/>
      <c r="H424" s="24" t="n"/>
      <c r="I424" s="23" t="n"/>
      <c r="J424" s="24" t="n"/>
      <c r="K424" s="23" t="n"/>
      <c r="L424" s="10" t="inlineStr">
        <is>
          <t>Typology drawing R01</t>
        </is>
      </c>
      <c r="M424" s="10">
        <f>Config!$B$3&amp;"?room="&amp;A424</f>
        <v/>
      </c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G425" s="23" t="n"/>
      <c r="H425" s="24" t="n"/>
      <c r="I425" s="23" t="n"/>
      <c r="J425" s="24" t="n"/>
      <c r="K425" s="23" t="n"/>
      <c r="L425" s="10" t="inlineStr">
        <is>
          <t>Typology drawing R01</t>
        </is>
      </c>
      <c r="M425" s="10">
        <f>Config!$B$3&amp;"?room="&amp;A425</f>
        <v/>
      </c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G426" s="23" t="n"/>
      <c r="H426" s="24" t="n"/>
      <c r="I426" s="23" t="n"/>
      <c r="J426" s="24" t="n"/>
      <c r="K426" s="23" t="n"/>
      <c r="L426" s="10" t="inlineStr">
        <is>
          <t>Typology drawing R01</t>
        </is>
      </c>
      <c r="M426" s="10">
        <f>Config!$B$3&amp;"?room="&amp;A426</f>
        <v/>
      </c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G427" s="23" t="n"/>
      <c r="H427" s="24" t="n"/>
      <c r="I427" s="23" t="n"/>
      <c r="J427" s="24" t="n"/>
      <c r="K427" s="23" t="n"/>
      <c r="L427" s="10" t="inlineStr">
        <is>
          <t>Typology drawing R01</t>
        </is>
      </c>
      <c r="M427" s="10">
        <f>Config!$B$3&amp;"?room="&amp;A427</f>
        <v/>
      </c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G428" s="23" t="n"/>
      <c r="H428" s="24" t="n"/>
      <c r="I428" s="23" t="n"/>
      <c r="J428" s="24" t="n"/>
      <c r="K428" s="23" t="n"/>
      <c r="L428" s="10" t="inlineStr">
        <is>
          <t>Typology drawing R01</t>
        </is>
      </c>
      <c r="M428" s="10">
        <f>Config!$B$3&amp;"?room="&amp;A428</f>
        <v/>
      </c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G429" s="23" t="n"/>
      <c r="H429" s="24" t="n"/>
      <c r="I429" s="23" t="n"/>
      <c r="J429" s="24" t="n"/>
      <c r="K429" s="23" t="n"/>
      <c r="L429" s="10" t="inlineStr">
        <is>
          <t>Typology drawing R01</t>
        </is>
      </c>
      <c r="M429" s="10">
        <f>Config!$B$3&amp;"?room="&amp;A429</f>
        <v/>
      </c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G430" s="23" t="n"/>
      <c r="H430" s="24" t="n"/>
      <c r="I430" s="23" t="n"/>
      <c r="J430" s="24" t="n"/>
      <c r="K430" s="23" t="n"/>
      <c r="L430" s="10" t="inlineStr">
        <is>
          <t>Typology drawing R01</t>
        </is>
      </c>
      <c r="M430" s="10">
        <f>Config!$B$3&amp;"?room="&amp;A430</f>
        <v/>
      </c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G431" s="23" t="n"/>
      <c r="H431" s="24" t="n"/>
      <c r="I431" s="23" t="n"/>
      <c r="J431" s="24" t="n"/>
      <c r="K431" s="23" t="n"/>
      <c r="L431" s="10" t="inlineStr">
        <is>
          <t>Typology drawing R01</t>
        </is>
      </c>
      <c r="M431" s="10">
        <f>Config!$B$3&amp;"?room="&amp;A431</f>
        <v/>
      </c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G432" s="23" t="n"/>
      <c r="H432" s="24" t="n"/>
      <c r="I432" s="23" t="n"/>
      <c r="J432" s="24" t="n"/>
      <c r="K432" s="23" t="n"/>
      <c r="L432" s="10" t="inlineStr">
        <is>
          <t>Typology drawing R01</t>
        </is>
      </c>
      <c r="M432" s="10">
        <f>Config!$B$3&amp;"?room="&amp;A432</f>
        <v/>
      </c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G433" s="23" t="n"/>
      <c r="H433" s="24" t="n"/>
      <c r="I433" s="23" t="n"/>
      <c r="J433" s="24" t="n"/>
      <c r="K433" s="23" t="n"/>
      <c r="L433" s="10" t="inlineStr">
        <is>
          <t>Typology drawing R01</t>
        </is>
      </c>
      <c r="M433" s="10">
        <f>Config!$B$3&amp;"?room="&amp;A433</f>
        <v/>
      </c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G434" s="23" t="n"/>
      <c r="H434" s="24" t="n"/>
      <c r="I434" s="23" t="n"/>
      <c r="J434" s="24" t="n"/>
      <c r="K434" s="23" t="n"/>
      <c r="L434" s="10" t="inlineStr">
        <is>
          <t>Typology drawing R01</t>
        </is>
      </c>
      <c r="M434" s="10">
        <f>Config!$B$3&amp;"?room="&amp;A434</f>
        <v/>
      </c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G435" s="23" t="n"/>
      <c r="H435" s="24" t="n"/>
      <c r="I435" s="23" t="n"/>
      <c r="J435" s="24" t="n"/>
      <c r="K435" s="23" t="n"/>
      <c r="L435" s="10" t="inlineStr">
        <is>
          <t>Typology drawing R01</t>
        </is>
      </c>
      <c r="M435" s="10">
        <f>Config!$B$3&amp;"?room="&amp;A435</f>
        <v/>
      </c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G436" s="23" t="n"/>
      <c r="H436" s="24" t="n"/>
      <c r="I436" s="23" t="n"/>
      <c r="J436" s="24" t="n"/>
      <c r="K436" s="23" t="n"/>
      <c r="L436" s="10" t="inlineStr">
        <is>
          <t>Typology drawing R01</t>
        </is>
      </c>
      <c r="M436" s="10">
        <f>Config!$B$3&amp;"?room="&amp;A436</f>
        <v/>
      </c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G437" s="23" t="n"/>
      <c r="H437" s="24" t="n"/>
      <c r="I437" s="23" t="n"/>
      <c r="J437" s="24" t="n"/>
      <c r="K437" s="23" t="n"/>
      <c r="L437" s="10" t="inlineStr">
        <is>
          <t>Typology drawing R01</t>
        </is>
      </c>
      <c r="M437" s="10">
        <f>Config!$B$3&amp;"?room="&amp;A437</f>
        <v/>
      </c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G438" s="23" t="n"/>
      <c r="H438" s="24" t="n"/>
      <c r="I438" s="23" t="n"/>
      <c r="J438" s="24" t="n"/>
      <c r="K438" s="23" t="n"/>
      <c r="L438" s="10" t="inlineStr">
        <is>
          <t>Typology drawing R01</t>
        </is>
      </c>
      <c r="M438" s="10">
        <f>Config!$B$3&amp;"?room="&amp;A438</f>
        <v/>
      </c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G439" s="23" t="n"/>
      <c r="H439" s="24" t="n"/>
      <c r="I439" s="23" t="n"/>
      <c r="J439" s="24" t="n"/>
      <c r="K439" s="23" t="n"/>
      <c r="L439" s="10" t="inlineStr">
        <is>
          <t>Typology drawing R01</t>
        </is>
      </c>
      <c r="M439" s="10">
        <f>Config!$B$3&amp;"?room="&amp;A439</f>
        <v/>
      </c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G440" s="23" t="n"/>
      <c r="H440" s="24" t="n"/>
      <c r="I440" s="23" t="n"/>
      <c r="J440" s="24" t="n"/>
      <c r="K440" s="23" t="n"/>
      <c r="L440" s="10" t="inlineStr">
        <is>
          <t>Typology drawing R01</t>
        </is>
      </c>
      <c r="M440" s="10">
        <f>Config!$B$3&amp;"?room="&amp;A440</f>
        <v/>
      </c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G441" s="23" t="n"/>
      <c r="H441" s="24" t="n"/>
      <c r="I441" s="23" t="n"/>
      <c r="J441" s="24" t="n"/>
      <c r="K441" s="23" t="n"/>
      <c r="L441" s="10" t="inlineStr">
        <is>
          <t>Typology drawing R01</t>
        </is>
      </c>
      <c r="M441" s="10">
        <f>Config!$B$3&amp;"?room="&amp;A441</f>
        <v/>
      </c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G442" s="23" t="n"/>
      <c r="H442" s="24" t="n"/>
      <c r="I442" s="23" t="n"/>
      <c r="J442" s="24" t="n"/>
      <c r="K442" s="23" t="n"/>
      <c r="L442" s="10" t="inlineStr">
        <is>
          <t>Typology drawing R01</t>
        </is>
      </c>
      <c r="M442" s="10">
        <f>Config!$B$3&amp;"?room="&amp;A442</f>
        <v/>
      </c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G443" s="23" t="n"/>
      <c r="H443" s="24" t="n"/>
      <c r="I443" s="23" t="n"/>
      <c r="J443" s="24" t="n"/>
      <c r="K443" s="23" t="n"/>
      <c r="L443" s="10" t="inlineStr">
        <is>
          <t>Typology drawing R01</t>
        </is>
      </c>
      <c r="M443" s="10">
        <f>Config!$B$3&amp;"?room="&amp;A443</f>
        <v/>
      </c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G444" s="23" t="n"/>
      <c r="H444" s="24" t="n"/>
      <c r="I444" s="23" t="n"/>
      <c r="J444" s="24" t="n"/>
      <c r="K444" s="23" t="n"/>
      <c r="L444" s="10" t="inlineStr">
        <is>
          <t>Typology drawing R01</t>
        </is>
      </c>
      <c r="M444" s="10">
        <f>Config!$B$3&amp;"?room="&amp;A444</f>
        <v/>
      </c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G445" s="23" t="n"/>
      <c r="H445" s="24" t="n"/>
      <c r="I445" s="23" t="n"/>
      <c r="J445" s="24" t="n"/>
      <c r="K445" s="23" t="n"/>
      <c r="L445" s="10" t="inlineStr">
        <is>
          <t>Typology drawing R01</t>
        </is>
      </c>
      <c r="M445" s="10">
        <f>Config!$B$3&amp;"?room="&amp;A445</f>
        <v/>
      </c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G446" s="23" t="n"/>
      <c r="H446" s="24" t="n"/>
      <c r="I446" s="23" t="n"/>
      <c r="J446" s="24" t="n"/>
      <c r="K446" s="23" t="n"/>
      <c r="L446" s="10" t="inlineStr">
        <is>
          <t>Typology drawing R01</t>
        </is>
      </c>
      <c r="M446" s="10">
        <f>Config!$B$3&amp;"?room="&amp;A446</f>
        <v/>
      </c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G447" s="23" t="n"/>
      <c r="H447" s="24" t="n"/>
      <c r="I447" s="23" t="n"/>
      <c r="J447" s="24" t="n"/>
      <c r="K447" s="23" t="n"/>
      <c r="L447" s="10" t="inlineStr">
        <is>
          <t>Typology drawing R01</t>
        </is>
      </c>
      <c r="M447" s="10">
        <f>Config!$B$3&amp;"?room="&amp;A447</f>
        <v/>
      </c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G448" s="23" t="n"/>
      <c r="H448" s="24" t="n"/>
      <c r="I448" s="23" t="n"/>
      <c r="J448" s="24" t="n"/>
      <c r="K448" s="23" t="n"/>
      <c r="L448" s="10" t="inlineStr">
        <is>
          <t>Typology drawing R01</t>
        </is>
      </c>
      <c r="M448" s="10">
        <f>Config!$B$3&amp;"?room="&amp;A448</f>
        <v/>
      </c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G449" s="23" t="n"/>
      <c r="H449" s="24" t="n"/>
      <c r="I449" s="23" t="n"/>
      <c r="J449" s="24" t="n"/>
      <c r="K449" s="23" t="n"/>
      <c r="L449" s="10" t="inlineStr">
        <is>
          <t>Typology drawing R01</t>
        </is>
      </c>
      <c r="M449" s="10">
        <f>Config!$B$3&amp;"?room="&amp;A449</f>
        <v/>
      </c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G450" s="23" t="n"/>
      <c r="H450" s="24" t="n"/>
      <c r="I450" s="23" t="n"/>
      <c r="J450" s="24" t="n"/>
      <c r="K450" s="23" t="n"/>
      <c r="L450" s="10" t="inlineStr">
        <is>
          <t>Typology drawing R01</t>
        </is>
      </c>
      <c r="M450" s="10">
        <f>Config!$B$3&amp;"?room="&amp;A450</f>
        <v/>
      </c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G451" s="23" t="n"/>
      <c r="H451" s="24" t="n"/>
      <c r="I451" s="23" t="n"/>
      <c r="J451" s="24" t="n"/>
      <c r="K451" s="23" t="n"/>
      <c r="L451" s="10" t="inlineStr">
        <is>
          <t>Typology drawing R01</t>
        </is>
      </c>
      <c r="M451" s="10">
        <f>Config!$B$3&amp;"?room="&amp;A451</f>
        <v/>
      </c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G452" s="23" t="n"/>
      <c r="H452" s="24" t="n"/>
      <c r="I452" s="23" t="n"/>
      <c r="J452" s="24" t="n"/>
      <c r="K452" s="23" t="n"/>
      <c r="L452" s="10" t="inlineStr">
        <is>
          <t>Typology drawing R01</t>
        </is>
      </c>
      <c r="M452" s="10">
        <f>Config!$B$3&amp;"?room="&amp;A452</f>
        <v/>
      </c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G453" s="23" t="n"/>
      <c r="H453" s="24" t="n"/>
      <c r="I453" s="23" t="n"/>
      <c r="J453" s="24" t="n"/>
      <c r="K453" s="23" t="n"/>
      <c r="L453" s="10" t="inlineStr">
        <is>
          <t>Typology drawing R01</t>
        </is>
      </c>
      <c r="M453" s="10">
        <f>Config!$B$3&amp;"?room="&amp;A453</f>
        <v/>
      </c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G454" s="23" t="n"/>
      <c r="H454" s="24" t="n"/>
      <c r="I454" s="23" t="n"/>
      <c r="J454" s="24" t="n"/>
      <c r="K454" s="23" t="n"/>
      <c r="L454" s="10" t="inlineStr">
        <is>
          <t>Typology drawing R01</t>
        </is>
      </c>
      <c r="M454" s="10">
        <f>Config!$B$3&amp;"?room="&amp;A454</f>
        <v/>
      </c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G455" s="23" t="n"/>
      <c r="H455" s="24" t="n"/>
      <c r="I455" s="23" t="n"/>
      <c r="J455" s="24" t="n"/>
      <c r="K455" s="23" t="n"/>
      <c r="L455" s="10" t="inlineStr">
        <is>
          <t>Typology drawing R01</t>
        </is>
      </c>
      <c r="M455" s="10">
        <f>Config!$B$3&amp;"?room="&amp;A455</f>
        <v/>
      </c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G456" s="23" t="n"/>
      <c r="H456" s="24" t="n"/>
      <c r="I456" s="23" t="n"/>
      <c r="J456" s="24" t="n"/>
      <c r="K456" s="23" t="n"/>
      <c r="L456" s="10" t="inlineStr">
        <is>
          <t>Typology drawing R01</t>
        </is>
      </c>
      <c r="M456" s="10">
        <f>Config!$B$3&amp;"?room="&amp;A456</f>
        <v/>
      </c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G457" s="23" t="n"/>
      <c r="H457" s="24" t="n"/>
      <c r="I457" s="23" t="n"/>
      <c r="J457" s="24" t="n"/>
      <c r="K457" s="23" t="n"/>
      <c r="L457" s="10" t="inlineStr">
        <is>
          <t>Typology drawing R01</t>
        </is>
      </c>
      <c r="M457" s="10">
        <f>Config!$B$3&amp;"?room="&amp;A457</f>
        <v/>
      </c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G458" s="23" t="n"/>
      <c r="H458" s="24" t="n"/>
      <c r="I458" s="23" t="n"/>
      <c r="J458" s="24" t="n"/>
      <c r="K458" s="23" t="n"/>
      <c r="L458" s="10" t="inlineStr">
        <is>
          <t>Typology drawing R01</t>
        </is>
      </c>
      <c r="M458" s="10">
        <f>Config!$B$3&amp;"?room="&amp;A458</f>
        <v/>
      </c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G459" s="23" t="n"/>
      <c r="H459" s="24" t="n"/>
      <c r="I459" s="23" t="n"/>
      <c r="J459" s="24" t="n"/>
      <c r="K459" s="23" t="n"/>
      <c r="L459" s="10" t="inlineStr">
        <is>
          <t>Typology drawing R01</t>
        </is>
      </c>
      <c r="M459" s="10">
        <f>Config!$B$3&amp;"?room="&amp;A459</f>
        <v/>
      </c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G460" s="23" t="n"/>
      <c r="H460" s="24" t="n"/>
      <c r="I460" s="23" t="n"/>
      <c r="J460" s="24" t="n"/>
      <c r="K460" s="23" t="n"/>
      <c r="L460" s="10" t="inlineStr">
        <is>
          <t>Typology drawing R01</t>
        </is>
      </c>
      <c r="M460" s="10">
        <f>Config!$B$3&amp;"?room="&amp;A460</f>
        <v/>
      </c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G461" s="23" t="n"/>
      <c r="H461" s="24" t="n"/>
      <c r="I461" s="23" t="n"/>
      <c r="J461" s="24" t="n"/>
      <c r="K461" s="23" t="n"/>
      <c r="L461" s="10" t="inlineStr">
        <is>
          <t>Typology drawing R01</t>
        </is>
      </c>
      <c r="M461" s="10">
        <f>Config!$B$3&amp;"?room="&amp;A461</f>
        <v/>
      </c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G462" s="23" t="n"/>
      <c r="H462" s="24" t="n"/>
      <c r="I462" s="23" t="n"/>
      <c r="J462" s="24" t="n"/>
      <c r="K462" s="23" t="n"/>
      <c r="L462" s="10" t="inlineStr">
        <is>
          <t>Typology drawing R01</t>
        </is>
      </c>
      <c r="M462" s="10">
        <f>Config!$B$3&amp;"?room="&amp;A462</f>
        <v/>
      </c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G463" s="23" t="n"/>
      <c r="H463" s="24" t="n"/>
      <c r="I463" s="23" t="n"/>
      <c r="J463" s="24" t="n"/>
      <c r="K463" s="23" t="n"/>
      <c r="L463" s="10" t="inlineStr">
        <is>
          <t>Typology drawing R01</t>
        </is>
      </c>
      <c r="M463" s="10">
        <f>Config!$B$3&amp;"?room="&amp;A463</f>
        <v/>
      </c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G464" s="23" t="n"/>
      <c r="H464" s="24" t="n"/>
      <c r="I464" s="23" t="n"/>
      <c r="J464" s="24" t="n"/>
      <c r="K464" s="23" t="n"/>
      <c r="L464" s="10" t="inlineStr">
        <is>
          <t>Typology drawing R01</t>
        </is>
      </c>
      <c r="M464" s="10">
        <f>Config!$B$3&amp;"?room="&amp;A464</f>
        <v/>
      </c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G465" s="23" t="n"/>
      <c r="H465" s="24" t="n"/>
      <c r="I465" s="23" t="n"/>
      <c r="J465" s="24" t="n"/>
      <c r="K465" s="23" t="n"/>
      <c r="L465" s="10" t="inlineStr">
        <is>
          <t>Typology drawing R01</t>
        </is>
      </c>
      <c r="M465" s="10">
        <f>Config!$B$3&amp;"?room="&amp;A465</f>
        <v/>
      </c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G466" s="23" t="n"/>
      <c r="H466" s="24" t="n"/>
      <c r="I466" s="23" t="n"/>
      <c r="J466" s="24" t="n"/>
      <c r="K466" s="23" t="n"/>
      <c r="L466" s="10" t="inlineStr">
        <is>
          <t>Typology drawing R01</t>
        </is>
      </c>
      <c r="M466" s="10">
        <f>Config!$B$3&amp;"?room="&amp;A466</f>
        <v/>
      </c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G467" s="23" t="n"/>
      <c r="H467" s="24" t="n"/>
      <c r="I467" s="23" t="n"/>
      <c r="J467" s="24" t="n"/>
      <c r="K467" s="23" t="n"/>
      <c r="L467" s="10" t="inlineStr">
        <is>
          <t>Typology drawing R01</t>
        </is>
      </c>
      <c r="M467" s="10">
        <f>Config!$B$3&amp;"?room="&amp;A467</f>
        <v/>
      </c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G468" s="23" t="n"/>
      <c r="H468" s="24" t="n"/>
      <c r="I468" s="23" t="n"/>
      <c r="J468" s="24" t="n"/>
      <c r="K468" s="23" t="n"/>
      <c r="L468" s="10" t="inlineStr">
        <is>
          <t>Typology drawing R01</t>
        </is>
      </c>
      <c r="M468" s="10">
        <f>Config!$B$3&amp;"?room="&amp;A468</f>
        <v/>
      </c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G469" s="23" t="n"/>
      <c r="H469" s="24" t="n"/>
      <c r="I469" s="23" t="n"/>
      <c r="J469" s="24" t="n"/>
      <c r="K469" s="23" t="n"/>
      <c r="L469" s="10" t="inlineStr">
        <is>
          <t>Typology drawing R01</t>
        </is>
      </c>
      <c r="M469" s="10">
        <f>Config!$B$3&amp;"?room="&amp;A469</f>
        <v/>
      </c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G470" s="23" t="n"/>
      <c r="H470" s="24" t="n"/>
      <c r="I470" s="23" t="n"/>
      <c r="J470" s="24" t="n"/>
      <c r="K470" s="23" t="n"/>
      <c r="L470" s="10" t="inlineStr">
        <is>
          <t>Typology drawing R01</t>
        </is>
      </c>
      <c r="M470" s="10">
        <f>Config!$B$3&amp;"?room="&amp;A470</f>
        <v/>
      </c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G471" s="23" t="n"/>
      <c r="H471" s="24" t="n"/>
      <c r="I471" s="23" t="n"/>
      <c r="J471" s="24" t="n"/>
      <c r="K471" s="23" t="n"/>
      <c r="L471" s="10" t="inlineStr">
        <is>
          <t>Typology drawing R01</t>
        </is>
      </c>
      <c r="M471" s="10">
        <f>Config!$B$3&amp;"?room="&amp;A471</f>
        <v/>
      </c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G472" s="23" t="n"/>
      <c r="H472" s="24" t="n"/>
      <c r="I472" s="23" t="n"/>
      <c r="J472" s="24" t="n"/>
      <c r="K472" s="23" t="n"/>
      <c r="L472" s="10" t="inlineStr">
        <is>
          <t>Typology drawing R01</t>
        </is>
      </c>
      <c r="M472" s="10">
        <f>Config!$B$3&amp;"?room="&amp;A472</f>
        <v/>
      </c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G473" s="23" t="n"/>
      <c r="H473" s="24" t="n"/>
      <c r="I473" s="23" t="n"/>
      <c r="J473" s="24" t="n"/>
      <c r="K473" s="23" t="n"/>
      <c r="L473" s="10" t="inlineStr">
        <is>
          <t>Typology drawing R01</t>
        </is>
      </c>
      <c r="M473" s="10">
        <f>Config!$B$3&amp;"?room="&amp;A473</f>
        <v/>
      </c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G474" s="23" t="n"/>
      <c r="H474" s="24" t="n"/>
      <c r="I474" s="23" t="n"/>
      <c r="J474" s="24" t="n"/>
      <c r="K474" s="23" t="n"/>
      <c r="L474" s="10" t="inlineStr">
        <is>
          <t>Typology drawing R01</t>
        </is>
      </c>
      <c r="M474" s="10">
        <f>Config!$B$3&amp;"?room="&amp;A474</f>
        <v/>
      </c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G475" s="23" t="n"/>
      <c r="H475" s="24" t="n"/>
      <c r="I475" s="23" t="n"/>
      <c r="J475" s="24" t="n"/>
      <c r="K475" s="23" t="n"/>
      <c r="L475" s="10" t="inlineStr">
        <is>
          <t>Typology drawing R01</t>
        </is>
      </c>
      <c r="M475" s="10">
        <f>Config!$B$3&amp;"?room="&amp;A475</f>
        <v/>
      </c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G476" s="23" t="n"/>
      <c r="H476" s="24" t="n"/>
      <c r="I476" s="23" t="n"/>
      <c r="J476" s="24" t="n"/>
      <c r="K476" s="23" t="n"/>
      <c r="L476" s="10" t="inlineStr">
        <is>
          <t>Typology drawing R01</t>
        </is>
      </c>
      <c r="M476" s="10">
        <f>Config!$B$3&amp;"?room="&amp;A476</f>
        <v/>
      </c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G477" s="23" t="n"/>
      <c r="H477" s="24" t="n"/>
      <c r="I477" s="23" t="n"/>
      <c r="J477" s="24" t="n"/>
      <c r="K477" s="23" t="n"/>
      <c r="L477" s="10" t="inlineStr">
        <is>
          <t>Typology drawing R01</t>
        </is>
      </c>
      <c r="M477" s="10">
        <f>Config!$B$3&amp;"?room="&amp;A477</f>
        <v/>
      </c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G478" s="23" t="n"/>
      <c r="H478" s="24" t="n"/>
      <c r="I478" s="23" t="n"/>
      <c r="J478" s="24" t="n"/>
      <c r="K478" s="23" t="n"/>
      <c r="L478" s="10" t="inlineStr">
        <is>
          <t>Typology drawing R01</t>
        </is>
      </c>
      <c r="M478" s="10">
        <f>Config!$B$3&amp;"?room="&amp;A478</f>
        <v/>
      </c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G479" s="23" t="n"/>
      <c r="H479" s="24" t="n"/>
      <c r="I479" s="23" t="n"/>
      <c r="J479" s="24" t="n"/>
      <c r="K479" s="23" t="n"/>
      <c r="L479" s="10" t="inlineStr">
        <is>
          <t>Typology drawing R01</t>
        </is>
      </c>
      <c r="M479" s="10">
        <f>Config!$B$3&amp;"?room="&amp;A479</f>
        <v/>
      </c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G480" s="23" t="n"/>
      <c r="H480" s="24" t="n"/>
      <c r="I480" s="23" t="n"/>
      <c r="J480" s="24" t="n"/>
      <c r="K480" s="23" t="n"/>
      <c r="L480" s="10" t="inlineStr">
        <is>
          <t>Typology drawing R01</t>
        </is>
      </c>
      <c r="M480" s="10">
        <f>Config!$B$3&amp;"?room="&amp;A480</f>
        <v/>
      </c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G481" s="23" t="n"/>
      <c r="H481" s="24" t="n"/>
      <c r="I481" s="23" t="n"/>
      <c r="J481" s="24" t="n"/>
      <c r="K481" s="23" t="n"/>
      <c r="L481" s="10" t="inlineStr">
        <is>
          <t>Typology drawing R01</t>
        </is>
      </c>
      <c r="M481" s="10">
        <f>Config!$B$3&amp;"?room="&amp;A481</f>
        <v/>
      </c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G482" s="23" t="n"/>
      <c r="H482" s="24" t="n"/>
      <c r="I482" s="23" t="n"/>
      <c r="J482" s="24" t="n"/>
      <c r="K482" s="23" t="n"/>
      <c r="L482" s="10" t="inlineStr">
        <is>
          <t>Typology drawing R01</t>
        </is>
      </c>
      <c r="M482" s="10">
        <f>Config!$B$3&amp;"?room="&amp;A482</f>
        <v/>
      </c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G483" s="23" t="n"/>
      <c r="H483" s="24" t="n"/>
      <c r="I483" s="23" t="n"/>
      <c r="J483" s="24" t="n"/>
      <c r="K483" s="23" t="n"/>
      <c r="L483" s="10" t="inlineStr">
        <is>
          <t>Typology drawing R01</t>
        </is>
      </c>
      <c r="M483" s="10">
        <f>Config!$B$3&amp;"?room="&amp;A483</f>
        <v/>
      </c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G484" s="23" t="n"/>
      <c r="H484" s="24" t="n"/>
      <c r="I484" s="23" t="n"/>
      <c r="J484" s="24" t="n"/>
      <c r="K484" s="23" t="n"/>
      <c r="L484" s="10" t="inlineStr">
        <is>
          <t>Type per Room Matrix (drawing shows K01C)</t>
        </is>
      </c>
      <c r="M484" s="10">
        <f>Config!$B$3&amp;"?room="&amp;A484</f>
        <v/>
      </c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G485" s="23" t="n"/>
      <c r="H485" s="24" t="n"/>
      <c r="I485" s="23" t="n"/>
      <c r="J485" s="24" t="n"/>
      <c r="K485" s="23" t="n"/>
      <c r="L485" s="10" t="inlineStr">
        <is>
          <t>Type per Room Matrix (drawing shows K01C)</t>
        </is>
      </c>
      <c r="M485" s="10">
        <f>Config!$B$3&amp;"?room="&amp;A485</f>
        <v/>
      </c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G486" s="23" t="n"/>
      <c r="H486" s="24" t="n"/>
      <c r="I486" s="23" t="n"/>
      <c r="J486" s="24" t="n"/>
      <c r="K486" s="23" t="n"/>
      <c r="L486" s="10" t="inlineStr">
        <is>
          <t>Typology drawing R01</t>
        </is>
      </c>
      <c r="M486" s="10">
        <f>Config!$B$3&amp;"?room="&amp;A486</f>
        <v/>
      </c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G487" s="23" t="n"/>
      <c r="H487" s="24" t="n"/>
      <c r="I487" s="23" t="n"/>
      <c r="J487" s="24" t="n"/>
      <c r="K487" s="23" t="n"/>
      <c r="L487" s="10" t="inlineStr">
        <is>
          <t>Typology drawing R01</t>
        </is>
      </c>
      <c r="M487" s="10">
        <f>Config!$B$3&amp;"?room="&amp;A487</f>
        <v/>
      </c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G488" s="23" t="n"/>
      <c r="H488" s="24" t="n"/>
      <c r="I488" s="23" t="n"/>
      <c r="J488" s="24" t="n"/>
      <c r="K488" s="23" t="n"/>
      <c r="L488" s="10" t="inlineStr">
        <is>
          <t>Typology drawing R01</t>
        </is>
      </c>
      <c r="M488" s="10">
        <f>Config!$B$3&amp;"?room="&amp;A488</f>
        <v/>
      </c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G489" s="23" t="n"/>
      <c r="H489" s="24" t="n"/>
      <c r="I489" s="23" t="n"/>
      <c r="J489" s="24" t="n"/>
      <c r="K489" s="23" t="n"/>
      <c r="L489" s="10" t="inlineStr">
        <is>
          <t>Typology drawing R01</t>
        </is>
      </c>
      <c r="M489" s="10">
        <f>Config!$B$3&amp;"?room="&amp;A489</f>
        <v/>
      </c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G490" s="23" t="n"/>
      <c r="H490" s="24" t="n"/>
      <c r="I490" s="23" t="n"/>
      <c r="J490" s="24" t="n"/>
      <c r="K490" s="23" t="n"/>
      <c r="L490" s="10" t="inlineStr">
        <is>
          <t>Typology drawing R01</t>
        </is>
      </c>
      <c r="M490" s="10">
        <f>Config!$B$3&amp;"?room="&amp;A490</f>
        <v/>
      </c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G491" s="23" t="n"/>
      <c r="H491" s="24" t="n"/>
      <c r="I491" s="23" t="n"/>
      <c r="J491" s="24" t="n"/>
      <c r="K491" s="23" t="n"/>
      <c r="L491" s="10" t="inlineStr">
        <is>
          <t>Typology drawing R01</t>
        </is>
      </c>
      <c r="M491" s="10">
        <f>Config!$B$3&amp;"?room="&amp;A491</f>
        <v/>
      </c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G492" s="23" t="n"/>
      <c r="H492" s="24" t="n"/>
      <c r="I492" s="23" t="n"/>
      <c r="J492" s="24" t="n"/>
      <c r="K492" s="23" t="n"/>
      <c r="L492" s="10" t="inlineStr">
        <is>
          <t>Typology drawing R01</t>
        </is>
      </c>
      <c r="M492" s="10">
        <f>Config!$B$3&amp;"?room="&amp;A492</f>
        <v/>
      </c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G493" s="23" t="n"/>
      <c r="H493" s="24" t="n"/>
      <c r="I493" s="23" t="n"/>
      <c r="J493" s="24" t="n"/>
      <c r="K493" s="23" t="n"/>
      <c r="L493" s="10" t="inlineStr">
        <is>
          <t>Typology drawing R01</t>
        </is>
      </c>
      <c r="M493" s="10">
        <f>Config!$B$3&amp;"?room="&amp;A493</f>
        <v/>
      </c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G494" s="23" t="n"/>
      <c r="H494" s="24" t="n"/>
      <c r="I494" s="23" t="n"/>
      <c r="J494" s="24" t="n"/>
      <c r="K494" s="23" t="n"/>
      <c r="L494" s="10" t="inlineStr">
        <is>
          <t>Typology drawing R01</t>
        </is>
      </c>
      <c r="M494" s="10">
        <f>Config!$B$3&amp;"?room="&amp;A494</f>
        <v/>
      </c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G495" s="23" t="n"/>
      <c r="H495" s="24" t="n"/>
      <c r="I495" s="23" t="n"/>
      <c r="J495" s="24" t="n"/>
      <c r="K495" s="23" t="n"/>
      <c r="L495" s="10" t="inlineStr">
        <is>
          <t>Typology drawing R01</t>
        </is>
      </c>
      <c r="M495" s="10">
        <f>Config!$B$3&amp;"?room="&amp;A495</f>
        <v/>
      </c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G496" s="23" t="n"/>
      <c r="H496" s="24" t="n"/>
      <c r="I496" s="23" t="n"/>
      <c r="J496" s="24" t="n"/>
      <c r="K496" s="23" t="n"/>
      <c r="L496" s="10" t="inlineStr">
        <is>
          <t>Typology drawing R01</t>
        </is>
      </c>
      <c r="M496" s="10">
        <f>Config!$B$3&amp;"?room="&amp;A496</f>
        <v/>
      </c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G497" s="23" t="n"/>
      <c r="H497" s="24" t="n"/>
      <c r="I497" s="23" t="n"/>
      <c r="J497" s="24" t="n"/>
      <c r="K497" s="23" t="n"/>
      <c r="L497" s="10" t="inlineStr">
        <is>
          <t>Typology drawing R01</t>
        </is>
      </c>
      <c r="M497" s="10">
        <f>Config!$B$3&amp;"?room="&amp;A497</f>
        <v/>
      </c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G498" s="23" t="n"/>
      <c r="H498" s="24" t="n"/>
      <c r="I498" s="23" t="n"/>
      <c r="J498" s="24" t="n"/>
      <c r="K498" s="23" t="n"/>
      <c r="L498" s="10" t="inlineStr">
        <is>
          <t>Typology drawing R01</t>
        </is>
      </c>
      <c r="M498" s="10">
        <f>Config!$B$3&amp;"?room="&amp;A498</f>
        <v/>
      </c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G499" s="23" t="n"/>
      <c r="H499" s="24" t="n"/>
      <c r="I499" s="23" t="n"/>
      <c r="J499" s="24" t="n"/>
      <c r="K499" s="23" t="n"/>
      <c r="L499" s="10" t="inlineStr">
        <is>
          <t>Typology drawing R01</t>
        </is>
      </c>
      <c r="M499" s="10">
        <f>Config!$B$3&amp;"?room="&amp;A499</f>
        <v/>
      </c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G500" s="23" t="n"/>
      <c r="H500" s="24" t="n"/>
      <c r="I500" s="23" t="n"/>
      <c r="J500" s="24" t="n"/>
      <c r="K500" s="23" t="n"/>
      <c r="L500" s="10" t="inlineStr">
        <is>
          <t>Typology drawing R01</t>
        </is>
      </c>
      <c r="M500" s="10">
        <f>Config!$B$3&amp;"?room="&amp;A500</f>
        <v/>
      </c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G501" s="23" t="n"/>
      <c r="H501" s="24" t="n"/>
      <c r="I501" s="23" t="n"/>
      <c r="J501" s="24" t="n"/>
      <c r="K501" s="23" t="n"/>
      <c r="L501" s="10" t="inlineStr">
        <is>
          <t>Typology drawing R01</t>
        </is>
      </c>
      <c r="M501" s="10">
        <f>Config!$B$3&amp;"?room="&amp;A501</f>
        <v/>
      </c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G502" s="23" t="n"/>
      <c r="H502" s="24" t="n"/>
      <c r="I502" s="23" t="n"/>
      <c r="J502" s="24" t="n"/>
      <c r="K502" s="23" t="n"/>
      <c r="L502" s="10" t="inlineStr">
        <is>
          <t>Typology drawing R01</t>
        </is>
      </c>
      <c r="M502" s="10">
        <f>Config!$B$3&amp;"?room="&amp;A502</f>
        <v/>
      </c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G503" s="23" t="n"/>
      <c r="H503" s="24" t="n"/>
      <c r="I503" s="23" t="n"/>
      <c r="J503" s="24" t="n"/>
      <c r="K503" s="23" t="n"/>
      <c r="L503" s="10" t="inlineStr">
        <is>
          <t>Typology drawing R01</t>
        </is>
      </c>
      <c r="M503" s="10">
        <f>Config!$B$3&amp;"?room="&amp;A503</f>
        <v/>
      </c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G504" s="23" t="n"/>
      <c r="H504" s="24" t="n"/>
      <c r="I504" s="23" t="n"/>
      <c r="J504" s="24" t="n"/>
      <c r="K504" s="23" t="n"/>
      <c r="L504" s="10" t="inlineStr">
        <is>
          <t>Typology drawing R01</t>
        </is>
      </c>
      <c r="M504" s="10">
        <f>Config!$B$3&amp;"?room="&amp;A504</f>
        <v/>
      </c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G505" s="23" t="n"/>
      <c r="H505" s="24" t="n"/>
      <c r="I505" s="23" t="n"/>
      <c r="J505" s="24" t="n"/>
      <c r="K505" s="23" t="n"/>
      <c r="L505" s="10" t="inlineStr">
        <is>
          <t>Inferred – verify</t>
        </is>
      </c>
      <c r="M505" s="10">
        <f>Config!$B$3&amp;"?room="&amp;A505</f>
        <v/>
      </c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G506" s="23" t="n"/>
      <c r="H506" s="24" t="n"/>
      <c r="I506" s="23" t="n"/>
      <c r="J506" s="24" t="n"/>
      <c r="K506" s="23" t="n"/>
      <c r="L506" s="10" t="inlineStr">
        <is>
          <t>Typology drawing R01</t>
        </is>
      </c>
      <c r="M506" s="10">
        <f>Config!$B$3&amp;"?room="&amp;A506</f>
        <v/>
      </c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G507" s="23" t="n"/>
      <c r="H507" s="24" t="n"/>
      <c r="I507" s="23" t="n"/>
      <c r="J507" s="24" t="n"/>
      <c r="K507" s="23" t="n"/>
      <c r="L507" s="10" t="inlineStr">
        <is>
          <t>Typology drawing R01</t>
        </is>
      </c>
      <c r="M507" s="10">
        <f>Config!$B$3&amp;"?room="&amp;A507</f>
        <v/>
      </c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G508" s="23" t="n"/>
      <c r="H508" s="24" t="n"/>
      <c r="I508" s="23" t="n"/>
      <c r="J508" s="24" t="n"/>
      <c r="K508" s="23" t="n"/>
      <c r="L508" s="10" t="inlineStr">
        <is>
          <t>Typology drawing R01</t>
        </is>
      </c>
      <c r="M508" s="10">
        <f>Config!$B$3&amp;"?room="&amp;A508</f>
        <v/>
      </c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G509" s="23" t="n"/>
      <c r="H509" s="24" t="n"/>
      <c r="I509" s="23" t="n"/>
      <c r="J509" s="24" t="n"/>
      <c r="K509" s="23" t="n"/>
      <c r="L509" s="10" t="inlineStr">
        <is>
          <t>Typology drawing R01</t>
        </is>
      </c>
      <c r="M509" s="10">
        <f>Config!$B$3&amp;"?room="&amp;A509</f>
        <v/>
      </c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G510" s="23" t="n"/>
      <c r="H510" s="24" t="n"/>
      <c r="I510" s="23" t="n"/>
      <c r="J510" s="24" t="n"/>
      <c r="K510" s="23" t="n"/>
      <c r="L510" s="10" t="inlineStr">
        <is>
          <t>Typology drawing R01</t>
        </is>
      </c>
      <c r="M510" s="10">
        <f>Config!$B$3&amp;"?room="&amp;A510</f>
        <v/>
      </c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G511" s="23" t="n"/>
      <c r="H511" s="24" t="n"/>
      <c r="I511" s="23" t="n"/>
      <c r="J511" s="24" t="n"/>
      <c r="K511" s="23" t="n"/>
      <c r="L511" s="10" t="inlineStr">
        <is>
          <t>Typology drawing R01</t>
        </is>
      </c>
      <c r="M511" s="10">
        <f>Config!$B$3&amp;"?room="&amp;A511</f>
        <v/>
      </c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G512" s="23" t="n"/>
      <c r="H512" s="24" t="n"/>
      <c r="I512" s="23" t="n"/>
      <c r="J512" s="24" t="n"/>
      <c r="K512" s="23" t="n"/>
      <c r="L512" s="10" t="inlineStr">
        <is>
          <t>Typology drawing R01</t>
        </is>
      </c>
      <c r="M512" s="10">
        <f>Config!$B$3&amp;"?room="&amp;A512</f>
        <v/>
      </c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G513" s="23" t="n"/>
      <c r="H513" s="24" t="n"/>
      <c r="I513" s="23" t="n"/>
      <c r="J513" s="24" t="n"/>
      <c r="K513" s="23" t="n"/>
      <c r="L513" s="10" t="inlineStr">
        <is>
          <t>Typology drawing R01</t>
        </is>
      </c>
      <c r="M513" s="10">
        <f>Config!$B$3&amp;"?room="&amp;A513</f>
        <v/>
      </c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G514" s="23" t="n"/>
      <c r="H514" s="24" t="n"/>
      <c r="I514" s="23" t="n"/>
      <c r="J514" s="24" t="n"/>
      <c r="K514" s="23" t="n"/>
      <c r="L514" s="10" t="inlineStr">
        <is>
          <t>Typology drawing R01</t>
        </is>
      </c>
      <c r="M514" s="10">
        <f>Config!$B$3&amp;"?room="&amp;A514</f>
        <v/>
      </c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G515" s="23" t="n"/>
      <c r="H515" s="24" t="n"/>
      <c r="I515" s="23" t="n"/>
      <c r="J515" s="24" t="n"/>
      <c r="K515" s="23" t="n"/>
      <c r="L515" s="10" t="inlineStr">
        <is>
          <t>Typology drawing R01</t>
        </is>
      </c>
      <c r="M515" s="10">
        <f>Config!$B$3&amp;"?room="&amp;A515</f>
        <v/>
      </c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G516" s="23" t="n"/>
      <c r="H516" s="24" t="n"/>
      <c r="I516" s="23" t="n"/>
      <c r="J516" s="24" t="n"/>
      <c r="K516" s="23" t="n"/>
      <c r="L516" s="10" t="inlineStr">
        <is>
          <t>Inferred – verify</t>
        </is>
      </c>
      <c r="M516" s="10">
        <f>Config!$B$3&amp;"?room="&amp;A516</f>
        <v/>
      </c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G517" s="23" t="n"/>
      <c r="H517" s="24" t="n"/>
      <c r="I517" s="23" t="n"/>
      <c r="J517" s="24" t="n"/>
      <c r="K517" s="23" t="n"/>
      <c r="L517" s="10" t="inlineStr">
        <is>
          <t>Typology drawing R01</t>
        </is>
      </c>
      <c r="M517" s="10">
        <f>Config!$B$3&amp;"?room="&amp;A517</f>
        <v/>
      </c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G518" s="23" t="n"/>
      <c r="H518" s="24" t="n"/>
      <c r="I518" s="23" t="n"/>
      <c r="J518" s="24" t="n"/>
      <c r="K518" s="23" t="n"/>
      <c r="L518" s="10" t="inlineStr">
        <is>
          <t>Typology drawing R01</t>
        </is>
      </c>
      <c r="M518" s="10">
        <f>Config!$B$3&amp;"?room="&amp;A518</f>
        <v/>
      </c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G519" s="23" t="n"/>
      <c r="H519" s="24" t="n"/>
      <c r="I519" s="23" t="n"/>
      <c r="J519" s="24" t="n"/>
      <c r="K519" s="23" t="n"/>
      <c r="L519" s="10" t="inlineStr">
        <is>
          <t>Typology drawing R01</t>
        </is>
      </c>
      <c r="M519" s="10">
        <f>Config!$B$3&amp;"?room="&amp;A519</f>
        <v/>
      </c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G520" s="23" t="n"/>
      <c r="H520" s="24" t="n"/>
      <c r="I520" s="23" t="n"/>
      <c r="J520" s="24" t="n"/>
      <c r="K520" s="23" t="n"/>
      <c r="L520" s="10" t="inlineStr">
        <is>
          <t>Typology drawing R01</t>
        </is>
      </c>
      <c r="M520" s="10">
        <f>Config!$B$3&amp;"?room="&amp;A520</f>
        <v/>
      </c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G521" s="23" t="n"/>
      <c r="H521" s="24" t="n"/>
      <c r="I521" s="23" t="n"/>
      <c r="J521" s="24" t="n"/>
      <c r="K521" s="23" t="n"/>
      <c r="L521" s="10" t="inlineStr">
        <is>
          <t>Typology drawing R01</t>
        </is>
      </c>
      <c r="M521" s="10">
        <f>Config!$B$3&amp;"?room="&amp;A521</f>
        <v/>
      </c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G522" s="23" t="n"/>
      <c r="H522" s="24" t="n"/>
      <c r="I522" s="23" t="n"/>
      <c r="J522" s="24" t="n"/>
      <c r="K522" s="23" t="n"/>
      <c r="L522" s="10" t="inlineStr">
        <is>
          <t>Type per Room Matrix (drawing shows Q02C)</t>
        </is>
      </c>
      <c r="M522" s="10">
        <f>Config!$B$3&amp;"?room="&amp;A522</f>
        <v/>
      </c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G523" s="23" t="n"/>
      <c r="H523" s="24" t="n"/>
      <c r="I523" s="23" t="n"/>
      <c r="J523" s="24" t="n"/>
      <c r="K523" s="23" t="n"/>
      <c r="L523" s="10" t="inlineStr">
        <is>
          <t>Typology drawing R01</t>
        </is>
      </c>
      <c r="M523" s="10">
        <f>Config!$B$3&amp;"?room="&amp;A523</f>
        <v/>
      </c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G524" s="23" t="n"/>
      <c r="H524" s="24" t="n"/>
      <c r="I524" s="23" t="n"/>
      <c r="J524" s="24" t="n"/>
      <c r="K524" s="23" t="n"/>
      <c r="L524" s="10" t="inlineStr">
        <is>
          <t>Typology drawing R01</t>
        </is>
      </c>
      <c r="M524" s="10">
        <f>Config!$B$3&amp;"?room="&amp;A524</f>
        <v/>
      </c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G525" s="23" t="n"/>
      <c r="H525" s="24" t="n"/>
      <c r="I525" s="23" t="n"/>
      <c r="J525" s="24" t="n"/>
      <c r="K525" s="23" t="n"/>
      <c r="L525" s="10" t="inlineStr">
        <is>
          <t>Typology drawing R01</t>
        </is>
      </c>
      <c r="M525" s="10">
        <f>Config!$B$3&amp;"?room="&amp;A525</f>
        <v/>
      </c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G526" s="23" t="n"/>
      <c r="H526" s="24" t="n"/>
      <c r="I526" s="23" t="n"/>
      <c r="J526" s="24" t="n"/>
      <c r="K526" s="23" t="n"/>
      <c r="L526" s="10" t="inlineStr">
        <is>
          <t>Typology drawing R01</t>
        </is>
      </c>
      <c r="M526" s="10">
        <f>Config!$B$3&amp;"?room="&amp;A526</f>
        <v/>
      </c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G527" s="23" t="n"/>
      <c r="H527" s="24" t="n"/>
      <c r="I527" s="23" t="n"/>
      <c r="J527" s="24" t="n"/>
      <c r="K527" s="23" t="n"/>
      <c r="L527" s="10" t="inlineStr">
        <is>
          <t>Typology drawing R01</t>
        </is>
      </c>
      <c r="M527" s="10">
        <f>Config!$B$3&amp;"?room="&amp;A527</f>
        <v/>
      </c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G528" s="23" t="n"/>
      <c r="H528" s="24" t="n"/>
      <c r="I528" s="23" t="n"/>
      <c r="J528" s="24" t="n"/>
      <c r="K528" s="23" t="n"/>
      <c r="L528" s="10" t="inlineStr">
        <is>
          <t>Typology drawing R01</t>
        </is>
      </c>
      <c r="M528" s="10">
        <f>Config!$B$3&amp;"?room="&amp;A528</f>
        <v/>
      </c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G529" s="23" t="n"/>
      <c r="H529" s="24" t="n"/>
      <c r="I529" s="23" t="n"/>
      <c r="J529" s="24" t="n"/>
      <c r="K529" s="23" t="n"/>
      <c r="L529" s="10" t="inlineStr">
        <is>
          <t>Typology drawing R01</t>
        </is>
      </c>
      <c r="M529" s="10">
        <f>Config!$B$3&amp;"?room="&amp;A529</f>
        <v/>
      </c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G530" s="23" t="n"/>
      <c r="H530" s="24" t="n"/>
      <c r="I530" s="23" t="n"/>
      <c r="J530" s="24" t="n"/>
      <c r="K530" s="23" t="n"/>
      <c r="L530" s="10" t="inlineStr">
        <is>
          <t>Inferred – verify</t>
        </is>
      </c>
      <c r="M530" s="10">
        <f>Config!$B$3&amp;"?room="&amp;A530</f>
        <v/>
      </c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G531" s="23" t="n"/>
      <c r="H531" s="24" t="n"/>
      <c r="I531" s="23" t="n"/>
      <c r="J531" s="24" t="n"/>
      <c r="K531" s="23" t="n"/>
      <c r="L531" s="10" t="inlineStr">
        <is>
          <t>Typology drawing R01</t>
        </is>
      </c>
      <c r="M531" s="10">
        <f>Config!$B$3&amp;"?room="&amp;A531</f>
        <v/>
      </c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G532" s="23" t="n"/>
      <c r="H532" s="24" t="n"/>
      <c r="I532" s="23" t="n"/>
      <c r="J532" s="24" t="n"/>
      <c r="K532" s="23" t="n"/>
      <c r="L532" s="10" t="inlineStr">
        <is>
          <t>Typology drawing R01</t>
        </is>
      </c>
      <c r="M532" s="10">
        <f>Config!$B$3&amp;"?room="&amp;A532</f>
        <v/>
      </c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G533" s="23" t="n"/>
      <c r="H533" s="24" t="n"/>
      <c r="I533" s="23" t="n"/>
      <c r="J533" s="24" t="n"/>
      <c r="K533" s="23" t="n"/>
      <c r="L533" s="10" t="inlineStr">
        <is>
          <t>Typology drawing R01</t>
        </is>
      </c>
      <c r="M533" s="10">
        <f>Config!$B$3&amp;"?room="&amp;A533</f>
        <v/>
      </c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G534" s="23" t="n"/>
      <c r="H534" s="24" t="n"/>
      <c r="I534" s="23" t="n"/>
      <c r="J534" s="24" t="n"/>
      <c r="K534" s="23" t="n"/>
      <c r="L534" s="10" t="inlineStr">
        <is>
          <t>Typology drawing R01</t>
        </is>
      </c>
      <c r="M534" s="10">
        <f>Config!$B$3&amp;"?room="&amp;A534</f>
        <v/>
      </c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G535" s="23" t="n"/>
      <c r="H535" s="24" t="n"/>
      <c r="I535" s="23" t="n"/>
      <c r="J535" s="24" t="n"/>
      <c r="K535" s="23" t="n"/>
      <c r="L535" s="10" t="inlineStr">
        <is>
          <t>Typology drawing R01</t>
        </is>
      </c>
      <c r="M535" s="10">
        <f>Config!$B$3&amp;"?room="&amp;A535</f>
        <v/>
      </c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G536" s="23" t="n"/>
      <c r="H536" s="24" t="n"/>
      <c r="I536" s="23" t="n"/>
      <c r="J536" s="24" t="n"/>
      <c r="K536" s="23" t="n"/>
      <c r="L536" s="10" t="inlineStr">
        <is>
          <t>Typology drawing R01</t>
        </is>
      </c>
      <c r="M536" s="10">
        <f>Config!$B$3&amp;"?room="&amp;A536</f>
        <v/>
      </c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G537" s="23" t="n"/>
      <c r="H537" s="24" t="n"/>
      <c r="I537" s="23" t="n"/>
      <c r="J537" s="24" t="n"/>
      <c r="K537" s="23" t="n"/>
      <c r="L537" s="10" t="inlineStr">
        <is>
          <t>Typology drawing R01</t>
        </is>
      </c>
      <c r="M537" s="10">
        <f>Config!$B$3&amp;"?room="&amp;A537</f>
        <v/>
      </c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G538" s="23" t="n"/>
      <c r="H538" s="24" t="n"/>
      <c r="I538" s="23" t="n"/>
      <c r="J538" s="24" t="n"/>
      <c r="K538" s="23" t="n"/>
      <c r="L538" s="10" t="inlineStr">
        <is>
          <t>Typology drawing R01</t>
        </is>
      </c>
      <c r="M538" s="10">
        <f>Config!$B$3&amp;"?room="&amp;A538</f>
        <v/>
      </c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G539" s="23" t="n"/>
      <c r="H539" s="24" t="n"/>
      <c r="I539" s="23" t="n"/>
      <c r="J539" s="24" t="n"/>
      <c r="K539" s="23" t="n"/>
      <c r="L539" s="10" t="inlineStr">
        <is>
          <t>Typology drawing R01</t>
        </is>
      </c>
      <c r="M539" s="10">
        <f>Config!$B$3&amp;"?room="&amp;A539</f>
        <v/>
      </c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G540" s="23" t="n"/>
      <c r="H540" s="24" t="n"/>
      <c r="I540" s="23" t="n"/>
      <c r="J540" s="24" t="n"/>
      <c r="K540" s="23" t="n"/>
      <c r="L540" s="10" t="inlineStr">
        <is>
          <t>Typology drawing R01</t>
        </is>
      </c>
      <c r="M540" s="10">
        <f>Config!$B$3&amp;"?room="&amp;A540</f>
        <v/>
      </c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G541" s="23" t="n"/>
      <c r="H541" s="24" t="n"/>
      <c r="I541" s="23" t="n"/>
      <c r="J541" s="24" t="n"/>
      <c r="K541" s="23" t="n"/>
      <c r="L541" s="10" t="inlineStr">
        <is>
          <t>Inferred – verify</t>
        </is>
      </c>
      <c r="M541" s="10">
        <f>Config!$B$3&amp;"?room="&amp;A541</f>
        <v/>
      </c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G542" s="23" t="n"/>
      <c r="H542" s="24" t="n"/>
      <c r="I542" s="23" t="n"/>
      <c r="J542" s="24" t="n"/>
      <c r="K542" s="23" t="n"/>
      <c r="L542" s="10" t="inlineStr">
        <is>
          <t>Typology drawing R01</t>
        </is>
      </c>
      <c r="M542" s="10">
        <f>Config!$B$3&amp;"?room="&amp;A542</f>
        <v/>
      </c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G543" s="23" t="n"/>
      <c r="H543" s="24" t="n"/>
      <c r="I543" s="23" t="n"/>
      <c r="J543" s="24" t="n"/>
      <c r="K543" s="23" t="n"/>
      <c r="L543" s="10" t="inlineStr">
        <is>
          <t>Typology drawing R01</t>
        </is>
      </c>
      <c r="M543" s="10">
        <f>Config!$B$3&amp;"?room="&amp;A543</f>
        <v/>
      </c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G544" s="23" t="n"/>
      <c r="H544" s="24" t="n"/>
      <c r="I544" s="23" t="n"/>
      <c r="J544" s="24" t="n"/>
      <c r="K544" s="23" t="n"/>
      <c r="L544" s="10" t="inlineStr">
        <is>
          <t>Typology drawing R01</t>
        </is>
      </c>
      <c r="M544" s="10">
        <f>Config!$B$3&amp;"?room="&amp;A544</f>
        <v/>
      </c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G545" s="23" t="n"/>
      <c r="H545" s="24" t="n"/>
      <c r="I545" s="23" t="n"/>
      <c r="J545" s="24" t="n"/>
      <c r="K545" s="23" t="n"/>
      <c r="L545" s="10" t="inlineStr">
        <is>
          <t>Typology drawing R01</t>
        </is>
      </c>
      <c r="M545" s="10">
        <f>Config!$B$3&amp;"?room="&amp;A545</f>
        <v/>
      </c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G546" s="23" t="n"/>
      <c r="H546" s="24" t="n"/>
      <c r="I546" s="23" t="n"/>
      <c r="J546" s="24" t="n"/>
      <c r="K546" s="23" t="n"/>
      <c r="L546" s="10" t="inlineStr">
        <is>
          <t>Typology drawing R01</t>
        </is>
      </c>
      <c r="M546" s="10">
        <f>Config!$B$3&amp;"?room="&amp;A546</f>
        <v/>
      </c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G547" s="23" t="n"/>
      <c r="H547" s="24" t="n"/>
      <c r="I547" s="23" t="n"/>
      <c r="J547" s="24" t="n"/>
      <c r="K547" s="23" t="n"/>
      <c r="L547" s="10" t="inlineStr">
        <is>
          <t>Type per Room Matrix (drawing shows Q02C)</t>
        </is>
      </c>
      <c r="M547" s="10">
        <f>Config!$B$3&amp;"?room="&amp;A547</f>
        <v/>
      </c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G548" s="23" t="n"/>
      <c r="H548" s="24" t="n"/>
      <c r="I548" s="23" t="n"/>
      <c r="J548" s="24" t="n"/>
      <c r="K548" s="23" t="n"/>
      <c r="L548" s="10" t="inlineStr">
        <is>
          <t>Typology drawing R01</t>
        </is>
      </c>
      <c r="M548" s="10">
        <f>Config!$B$3&amp;"?room="&amp;A548</f>
        <v/>
      </c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G549" s="23" t="n"/>
      <c r="H549" s="24" t="n"/>
      <c r="I549" s="23" t="n"/>
      <c r="J549" s="24" t="n"/>
      <c r="K549" s="23" t="n"/>
      <c r="L549" s="10" t="inlineStr">
        <is>
          <t>Typology drawing R01</t>
        </is>
      </c>
      <c r="M549" s="10">
        <f>Config!$B$3&amp;"?room="&amp;A549</f>
        <v/>
      </c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G550" s="23" t="n"/>
      <c r="H550" s="24" t="n"/>
      <c r="I550" s="23" t="n"/>
      <c r="J550" s="24" t="n"/>
      <c r="K550" s="23" t="n"/>
      <c r="L550" s="10" t="inlineStr">
        <is>
          <t>Typology drawing R01</t>
        </is>
      </c>
      <c r="M550" s="10">
        <f>Config!$B$3&amp;"?room="&amp;A550</f>
        <v/>
      </c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G551" s="23" t="n"/>
      <c r="H551" s="24" t="n"/>
      <c r="I551" s="23" t="n"/>
      <c r="J551" s="24" t="n"/>
      <c r="K551" s="23" t="n"/>
      <c r="L551" s="10" t="inlineStr">
        <is>
          <t>Typology drawing R01</t>
        </is>
      </c>
      <c r="M551" s="10">
        <f>Config!$B$3&amp;"?room="&amp;A551</f>
        <v/>
      </c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G552" s="23" t="n"/>
      <c r="H552" s="24" t="n"/>
      <c r="I552" s="23" t="n"/>
      <c r="J552" s="24" t="n"/>
      <c r="K552" s="23" t="n"/>
      <c r="L552" s="10" t="inlineStr">
        <is>
          <t>Typology drawing R01</t>
        </is>
      </c>
      <c r="M552" s="10">
        <f>Config!$B$3&amp;"?room="&amp;A552</f>
        <v/>
      </c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G553" s="23" t="n"/>
      <c r="H553" s="24" t="n"/>
      <c r="I553" s="23" t="n"/>
      <c r="J553" s="24" t="n"/>
      <c r="K553" s="23" t="n"/>
      <c r="L553" s="10" t="inlineStr">
        <is>
          <t>Typology drawing R01</t>
        </is>
      </c>
      <c r="M553" s="10">
        <f>Config!$B$3&amp;"?room="&amp;A553</f>
        <v/>
      </c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G554" s="23" t="n"/>
      <c r="H554" s="24" t="n"/>
      <c r="I554" s="23" t="n"/>
      <c r="J554" s="24" t="n"/>
      <c r="K554" s="23" t="n"/>
      <c r="L554" s="10" t="inlineStr">
        <is>
          <t>Typology drawing R01</t>
        </is>
      </c>
      <c r="M554" s="10">
        <f>Config!$B$3&amp;"?room="&amp;A554</f>
        <v/>
      </c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rank="0" priority="2" equalAverage="0" aboveAverage="0" dxfId="5" text="" percent="0" bottom="0">
      <formula>G2="Provided"</formula>
    </cfRule>
    <cfRule type="expression" rank="0" priority="3" equalAverage="0" aboveAverage="0" dxfId="6" text="" percent="0" bottom="0">
      <formula>G2="Partially Provided"</formula>
    </cfRule>
    <cfRule type="expression" rank="0" priority="4" equalAverage="0" aboveAverage="0" dxfId="7" text="" percent="0" bottom="0">
      <formula>G2="Pending"</formula>
    </cfRule>
  </conditionalFormatting>
  <conditionalFormatting sqref="I2:I554">
    <cfRule type="expression" rank="0" priority="5" equalAverage="0" aboveAverage="0" dxfId="5" text="" percent="0" bottom="0">
      <formula>I2="Provided"</formula>
    </cfRule>
    <cfRule type="expression" rank="0" priority="6" equalAverage="0" aboveAverage="0" dxfId="6" text="" percent="0" bottom="0">
      <formula>I2="Partially Provided"</formula>
    </cfRule>
    <cfRule type="expression" rank="0" priority="7" equalAverage="0" aboveAverage="0" dxfId="7" text="" percent="0" bottom="0">
      <formula>I2="Pending"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  <col width="20" customWidth="1" style="11" min="18" max="18"/>
    <col width="20" customWidth="1" style="11" min="19" max="19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15" t="inlineStr">
        <is>
          <t>ID SD Reference</t>
        </is>
      </c>
      <c r="D1" s="15" t="inlineStr">
        <is>
          <t>ID SD Revision</t>
        </is>
      </c>
      <c r="E1" s="15" t="inlineStr">
        <is>
          <t>ID SD Status</t>
        </is>
      </c>
      <c r="F1" s="15" t="inlineStr">
        <is>
          <t>ID SD Status Date</t>
        </is>
      </c>
      <c r="G1" s="15" t="inlineStr">
        <is>
          <t>MEP SD - Drainage Network</t>
        </is>
      </c>
      <c r="H1" s="15" t="inlineStr">
        <is>
          <t>MEP SD - Water Supply Network</t>
        </is>
      </c>
      <c r="I1" s="15" t="inlineStr">
        <is>
          <t>MEP SD - Chilled Water Network</t>
        </is>
      </c>
      <c r="J1" s="15" t="inlineStr">
        <is>
          <t>MEP SD - Fire Fighting Network</t>
        </is>
      </c>
      <c r="K1" s="15" t="inlineStr">
        <is>
          <t>MEP SD - AC System</t>
        </is>
      </c>
      <c r="L1" s="15" t="inlineStr">
        <is>
          <t>MEP SD - Ventilation System</t>
        </is>
      </c>
      <c r="M1" s="15" t="inlineStr">
        <is>
          <t>MEP SD - CDP System</t>
        </is>
      </c>
      <c r="N1" s="15" t="inlineStr">
        <is>
          <t>MEP SD - Small Power</t>
        </is>
      </c>
      <c r="O1" s="15" t="inlineStr">
        <is>
          <t>MEP SD - Lighting</t>
        </is>
      </c>
      <c r="P1" s="15" t="inlineStr">
        <is>
          <t>ELV SD - ICT System GRMS</t>
        </is>
      </c>
      <c r="Q1" s="15" t="inlineStr">
        <is>
          <t>ELV SD - ICT GRMS Lighting Control</t>
        </is>
      </c>
      <c r="R1" s="15" t="inlineStr">
        <is>
          <t>Coordination Sketch</t>
        </is>
      </c>
      <c r="S1" s="15" t="inlineStr">
        <is>
          <t>Coordination Sketch Date</t>
        </is>
      </c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5" customHeight="1" s="11">
      <c r="A2" s="10" t="inlineStr">
        <is>
          <t>F01</t>
        </is>
      </c>
      <c r="B2" s="10" t="inlineStr">
        <is>
          <t>Family</t>
        </is>
      </c>
      <c r="C2" s="25" t="inlineStr">
        <is>
          <t>WPH-ETC-DRW-SDW-IND-00-ZZZ-42301</t>
        </is>
      </c>
      <c r="D2" s="23" t="n"/>
      <c r="E2" s="23" t="n"/>
      <c r="F2" s="24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7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25" t="inlineStr">
        <is>
          <t>WPH-ETC-DRW-SDW-IND-00-ZZZ-42401</t>
        </is>
      </c>
      <c r="D3" s="23" t="n"/>
      <c r="E3" s="23" t="n"/>
      <c r="F3" s="24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7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25" t="inlineStr">
        <is>
          <t>WPH-ETC-DRW-SDW-IND-00-ZZZ-42501</t>
        </is>
      </c>
      <c r="D4" s="23" t="n"/>
      <c r="E4" s="25" t="inlineStr">
        <is>
          <t>A</t>
        </is>
      </c>
      <c r="F4" s="24" t="n">
        <v>46301</v>
      </c>
      <c r="G4" s="25" t="inlineStr">
        <is>
          <t>A</t>
        </is>
      </c>
      <c r="H4" s="25" t="inlineStr">
        <is>
          <t>A</t>
        </is>
      </c>
      <c r="I4" s="25" t="inlineStr">
        <is>
          <t>A</t>
        </is>
      </c>
      <c r="J4" s="25" t="inlineStr">
        <is>
          <t>A</t>
        </is>
      </c>
      <c r="K4" s="25" t="inlineStr">
        <is>
          <t>A</t>
        </is>
      </c>
      <c r="L4" s="25" t="inlineStr">
        <is>
          <t>A</t>
        </is>
      </c>
      <c r="M4" s="25" t="inlineStr">
        <is>
          <t>A</t>
        </is>
      </c>
      <c r="N4" s="25" t="inlineStr">
        <is>
          <t>A</t>
        </is>
      </c>
      <c r="O4" s="25" t="inlineStr">
        <is>
          <t>A</t>
        </is>
      </c>
      <c r="P4" s="25" t="inlineStr">
        <is>
          <t>A</t>
        </is>
      </c>
      <c r="Q4" s="25" t="inlineStr">
        <is>
          <t>A</t>
        </is>
      </c>
      <c r="R4" s="23" t="n"/>
      <c r="S4" s="27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</row>
    <row r="5" ht="15" customHeight="1" s="11">
      <c r="A5" s="10" t="inlineStr">
        <is>
          <t>F03A</t>
        </is>
      </c>
      <c r="B5" s="10" t="inlineStr">
        <is>
          <t>Family</t>
        </is>
      </c>
      <c r="C5" s="25" t="inlineStr">
        <is>
          <t>(no drawing number in legend)</t>
        </is>
      </c>
      <c r="D5" s="23" t="n"/>
      <c r="E5" s="23" t="n"/>
      <c r="F5" s="24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7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25" t="inlineStr">
        <is>
          <t>(no drawing number in legend)</t>
        </is>
      </c>
      <c r="D6" s="23" t="n"/>
      <c r="E6" s="23" t="n"/>
      <c r="F6" s="24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7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25" t="inlineStr">
        <is>
          <t>WPH-ETC-DRW-SDW-IND-00-ZZZ-42801</t>
        </is>
      </c>
      <c r="D7" s="23" t="n"/>
      <c r="E7" s="23" t="n"/>
      <c r="F7" s="24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7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25" t="inlineStr">
        <is>
          <t>WPH-ETC-DRW-SDW-IND-00-ZZZ-42901</t>
        </is>
      </c>
      <c r="D8" s="23" t="n"/>
      <c r="E8" s="23" t="n"/>
      <c r="F8" s="24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7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25" t="inlineStr">
        <is>
          <t>WPH-ETC-DRW-SDW-IND-00-ZZZ-43001</t>
        </is>
      </c>
      <c r="D9" s="23" t="n"/>
      <c r="E9" s="23" t="n"/>
      <c r="F9" s="24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7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25" t="inlineStr">
        <is>
          <t>WPH-ETC-DRW-SDW-IND-00-ZZZ-43101</t>
        </is>
      </c>
      <c r="D10" s="23" t="n"/>
      <c r="E10" s="23" t="n"/>
      <c r="F10" s="24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7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25" t="inlineStr">
        <is>
          <t>WPH-ETC-DRW-SDW-IND-00-ZZZ-43201</t>
        </is>
      </c>
      <c r="D11" s="23" t="n"/>
      <c r="E11" s="23" t="n"/>
      <c r="F11" s="24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7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25" t="inlineStr">
        <is>
          <t>WPH-ETC-DRW-SDW-IND-00-ZZZ-43301</t>
        </is>
      </c>
      <c r="D12" s="23" t="n"/>
      <c r="E12" s="23" t="n"/>
      <c r="F12" s="24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7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25" t="inlineStr">
        <is>
          <t>WPH-ETC-DRW-SDW-IND-00-ZZZ-40301</t>
        </is>
      </c>
      <c r="D13" s="23" t="n"/>
      <c r="E13" s="23" t="n"/>
      <c r="F13" s="24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7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25" t="inlineStr">
        <is>
          <t>WPH-ETC-DRW-SDW-IND-00-ZZZ-40301</t>
        </is>
      </c>
      <c r="D14" s="23" t="n"/>
      <c r="E14" s="23" t="n"/>
      <c r="F14" s="24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7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25" t="inlineStr">
        <is>
          <t>WPH-ETC-DRW-SDW-IND-00-ZZZ-40301</t>
        </is>
      </c>
      <c r="D15" s="23" t="n"/>
      <c r="E15" s="23" t="n"/>
      <c r="F15" s="24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7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25" t="inlineStr">
        <is>
          <t>WPH-ETC-DRW-SDW-IND-00-ZZZ-40301</t>
        </is>
      </c>
      <c r="D16" s="23" t="n"/>
      <c r="E16" s="23" t="n"/>
      <c r="F16" s="24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7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25" t="inlineStr">
        <is>
          <t>WPH-ETC-DRW-SDW-IND-00-ZZZ-40301</t>
        </is>
      </c>
      <c r="D17" s="23" t="n"/>
      <c r="E17" s="23" t="n"/>
      <c r="F17" s="24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7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25" t="inlineStr">
        <is>
          <t>WPH-ETC-DRW-SDW-IND-00-ZZZ-40301</t>
        </is>
      </c>
      <c r="D18" s="23" t="n"/>
      <c r="E18" s="23" t="n"/>
      <c r="F18" s="24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7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25" t="inlineStr">
        <is>
          <t>WPH-ETC-DRW-SDW-IND-00-ZZZ-40701</t>
        </is>
      </c>
      <c r="D19" s="23" t="n"/>
      <c r="E19" s="23" t="n"/>
      <c r="F19" s="24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7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25" t="inlineStr">
        <is>
          <t>WPH-ETC-DRW-SDW-IND-00-ZZZ-40701</t>
        </is>
      </c>
      <c r="D20" s="23" t="n"/>
      <c r="E20" s="23" t="n"/>
      <c r="F20" s="24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7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25" t="inlineStr">
        <is>
          <t>WPH-ETC-DRW-SDW-IND-00-ZZZ-40701</t>
        </is>
      </c>
      <c r="D21" s="23" t="n"/>
      <c r="E21" s="23" t="n"/>
      <c r="F21" s="24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7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25" t="inlineStr">
        <is>
          <t>WPH-ETC-DRW-SDW-IND-00-ZZZ-40701</t>
        </is>
      </c>
      <c r="D22" s="23" t="n"/>
      <c r="E22" s="23" t="n"/>
      <c r="F22" s="24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7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25" t="inlineStr">
        <is>
          <t>WPH-ETC-DRW-SDW-IND-00-ZZZ-40701</t>
        </is>
      </c>
      <c r="D23" s="23" t="n"/>
      <c r="E23" s="23" t="n"/>
      <c r="F23" s="24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7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25" t="inlineStr">
        <is>
          <t>WPH-ETC-DRW-SDW-IND-00-ZZZ-40701</t>
        </is>
      </c>
      <c r="D24" s="23" t="n"/>
      <c r="E24" s="23" t="n"/>
      <c r="F24" s="24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7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25" t="inlineStr">
        <is>
          <t>WPH-ETC-DRW-SDW-IND-00-ZZZ-40701</t>
        </is>
      </c>
      <c r="D25" s="23" t="n"/>
      <c r="E25" s="23" t="n"/>
      <c r="F25" s="24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7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25" t="inlineStr">
        <is>
          <t>WPH-ETC-DRW-SDW-IND-00-ZZZ-41101</t>
        </is>
      </c>
      <c r="D26" s="23" t="n"/>
      <c r="E26" s="23" t="n"/>
      <c r="F26" s="24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7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25" t="inlineStr">
        <is>
          <t>WPH-ETC-DRW-SDW-IND-00-ZZZ-41201</t>
        </is>
      </c>
      <c r="D27" s="23" t="n"/>
      <c r="E27" s="23" t="n"/>
      <c r="F27" s="24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7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25" t="inlineStr">
        <is>
          <t>(no drawing number in legend)</t>
        </is>
      </c>
      <c r="D28" s="23" t="n"/>
      <c r="E28" s="23" t="n"/>
      <c r="F28" s="24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7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25" t="inlineStr">
        <is>
          <t>WPH-ETC-DRW-SDW-IND-00-ZZZ-41401</t>
        </is>
      </c>
      <c r="D29" s="23" t="n"/>
      <c r="E29" s="23" t="n"/>
      <c r="F29" s="24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7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25" t="inlineStr">
        <is>
          <t>WPH-ETC-DRW-SDW-IND-00-ZZZ-41401</t>
        </is>
      </c>
      <c r="D30" s="23" t="n"/>
      <c r="E30" s="23" t="n"/>
      <c r="F30" s="24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7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25" t="inlineStr">
        <is>
          <t>WPH-ETC-DRW-SDW-IND-00-ZZZ-41401</t>
        </is>
      </c>
      <c r="D31" s="23" t="n"/>
      <c r="E31" s="23" t="n"/>
      <c r="F31" s="24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7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25" t="inlineStr">
        <is>
          <t>WPH-ETC-DRW-SDW-IND-00-ZZZ-41601</t>
        </is>
      </c>
      <c r="D32" s="23" t="n"/>
      <c r="E32" s="23" t="n"/>
      <c r="F32" s="24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7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25" t="inlineStr">
        <is>
          <t>WPH-ETC-DRW-SDW-IND-00-ZZZ-41601</t>
        </is>
      </c>
      <c r="D33" s="23" t="n"/>
      <c r="E33" s="23" t="n"/>
      <c r="F33" s="24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7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25" t="inlineStr">
        <is>
          <t>WPH-ETC-DRW-SDW-IND-00-ZZZ-41601</t>
        </is>
      </c>
      <c r="D34" s="23" t="n"/>
      <c r="E34" s="23" t="n"/>
      <c r="F34" s="24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7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25" t="inlineStr">
        <is>
          <t>WPH-ETC-DRW-SDW-IND-00-ZZZ-41601</t>
        </is>
      </c>
      <c r="D35" s="23" t="n"/>
      <c r="E35" s="23" t="n"/>
      <c r="F35" s="24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7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25" t="inlineStr">
        <is>
          <t>WPH-ETC-DRW-SDW-IND-00-ZZZ-41601</t>
        </is>
      </c>
      <c r="D36" s="23" t="n"/>
      <c r="E36" s="23" t="n"/>
      <c r="F36" s="24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7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25" t="inlineStr">
        <is>
          <t>WPH-ETC-DRW-SDW-IND-00-ZZZ-41601</t>
        </is>
      </c>
      <c r="D37" s="23" t="n"/>
      <c r="E37" s="23" t="n"/>
      <c r="F37" s="24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7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25" t="inlineStr">
        <is>
          <t>WPH-ETC-DRW-SDW-IND-00-ZZZ-42001</t>
        </is>
      </c>
      <c r="D38" s="23" t="n"/>
      <c r="E38" s="23" t="n"/>
      <c r="F38" s="24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7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25" t="inlineStr">
        <is>
          <t>WPH-ETC-DRW-SDW-IND-00-ZZZ-42101</t>
        </is>
      </c>
      <c r="D39" s="23" t="n"/>
      <c r="E39" s="23" t="n"/>
      <c r="F39" s="24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7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25" t="inlineStr">
        <is>
          <t>WPH-ETC-DRW-SDW-IND-00-ZZZ-42101</t>
        </is>
      </c>
      <c r="D40" s="23" t="n"/>
      <c r="E40" s="23" t="n"/>
      <c r="F40" s="24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7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25" t="inlineStr">
        <is>
          <t>WPH-ETC-DRW-SDW-IND-00-ZZZ-41501</t>
        </is>
      </c>
      <c r="D41" s="23" t="n"/>
      <c r="E41" s="23" t="n"/>
      <c r="F41" s="24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7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25" t="inlineStr">
        <is>
          <t>WPH-ETC-DRW-SDW-IND-00-ZZZ-41701</t>
        </is>
      </c>
      <c r="D42" s="23" t="n"/>
      <c r="E42" s="23" t="n"/>
      <c r="F42" s="24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7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25" t="inlineStr">
        <is>
          <t>WPH-ETC-DRW-SDW-IND-00-ZZZ-41801</t>
        </is>
      </c>
      <c r="D43" s="23" t="n"/>
      <c r="E43" s="23" t="n"/>
      <c r="F43" s="24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7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25" t="inlineStr">
        <is>
          <t>WPH-ETC-DRW-SDW-IND-00-ZZZ-41801</t>
        </is>
      </c>
      <c r="D44" s="23" t="n"/>
      <c r="E44" s="23" t="n"/>
      <c r="F44" s="24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7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25" t="inlineStr">
        <is>
          <t>WPH-ETC-DRW-SDW-IND-00-ZZZ-42201</t>
        </is>
      </c>
      <c r="D45" s="23" t="n"/>
      <c r="E45" s="23" t="n"/>
      <c r="F45" s="24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7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25" t="inlineStr">
        <is>
          <t>(no drawing number in legend)</t>
        </is>
      </c>
      <c r="D46" s="23" t="n"/>
      <c r="E46" s="23" t="n"/>
      <c r="F46" s="24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7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25" t="inlineStr">
        <is>
          <t>WPH-ETC-DRW-SDW-IND-00-ZZZ-43401</t>
        </is>
      </c>
      <c r="D47" s="23" t="n"/>
      <c r="E47" s="23" t="n"/>
      <c r="F47" s="24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7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25" t="inlineStr">
        <is>
          <t>WPH-ETC-DRW-SDW-IND-00-ZZZ-43501</t>
        </is>
      </c>
      <c r="D48" s="23" t="n"/>
      <c r="E48" s="23" t="n"/>
      <c r="F48" s="24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7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25" t="inlineStr">
        <is>
          <t>WPH-ETC-DRW-SDW-IND-00-ZZZ-43601</t>
        </is>
      </c>
      <c r="D49" s="23" t="n"/>
      <c r="E49" s="23" t="n"/>
      <c r="F49" s="24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7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25" t="inlineStr">
        <is>
          <t>WPH-ETC-DRW-SDW-IND-00-ZZZ-43701</t>
        </is>
      </c>
      <c r="D50" s="23" t="n"/>
      <c r="E50" s="23" t="n"/>
      <c r="F50" s="24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7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25" t="inlineStr">
        <is>
          <t>WPH-ETC-DRW-SDW-IND-00-ZZZ-43801</t>
        </is>
      </c>
      <c r="D51" s="23" t="n"/>
      <c r="E51" s="23" t="n"/>
      <c r="F51" s="24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7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25" t="inlineStr">
        <is>
          <t>WPH-ETC-DRW-SDW-IND-00-ZZZ-43901</t>
        </is>
      </c>
      <c r="D52" s="23" t="n"/>
      <c r="E52" s="23" t="n"/>
      <c r="F52" s="24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7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25" t="inlineStr">
        <is>
          <t>WPH-ETC-DRW-SDW-IND-00-ZZZ-44001</t>
        </is>
      </c>
      <c r="D53" s="23" t="n"/>
      <c r="E53" s="23" t="n"/>
      <c r="F53" s="24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7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25" t="inlineStr">
        <is>
          <t>WPH-ETC-DRW-SDW-IND-00-ZZZ-44101</t>
        </is>
      </c>
      <c r="D54" s="23" t="n"/>
      <c r="E54" s="23" t="n"/>
      <c r="F54" s="24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7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25" t="inlineStr">
        <is>
          <t>(no drawing number in legend)</t>
        </is>
      </c>
      <c r="D55" s="23" t="n"/>
      <c r="E55" s="23" t="n"/>
      <c r="F55" s="24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7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25" t="inlineStr">
        <is>
          <t>WPH-ETC-DRW-SDW-IND-00-ZZZ-44301</t>
        </is>
      </c>
      <c r="D56" s="23" t="n"/>
      <c r="E56" s="23" t="n"/>
      <c r="F56" s="24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7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25" t="inlineStr">
        <is>
          <t>WPH-ETC-DRW-SDW-IND-00-ZZZ-44401</t>
        </is>
      </c>
      <c r="D57" s="23" t="n"/>
      <c r="E57" s="23" t="n"/>
      <c r="F57" s="24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7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25" t="inlineStr">
        <is>
          <t>WPH-ETC-DRW-SDW-IND-00-ZZZ-44501</t>
        </is>
      </c>
      <c r="D58" s="23" t="n"/>
      <c r="E58" s="23" t="n"/>
      <c r="F58" s="24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7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25" t="inlineStr">
        <is>
          <t>WPH-ETC-DRW-SDW-IND-00-ZZZ-44901</t>
        </is>
      </c>
      <c r="D59" s="23" t="n"/>
      <c r="E59" s="23" t="n"/>
      <c r="F59" s="24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7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25" t="inlineStr">
        <is>
          <t>WPH-ETC-DRW-SDW-IND-00-ZZZ-44601</t>
        </is>
      </c>
      <c r="D60" s="23" t="n"/>
      <c r="E60" s="23" t="n"/>
      <c r="F60" s="24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7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25" t="inlineStr">
        <is>
          <t>WPH-ETC-DRW-SDW-IND-00-ZZZ-44701</t>
        </is>
      </c>
      <c r="D61" s="23" t="n"/>
      <c r="E61" s="23" t="n"/>
      <c r="F61" s="24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7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25" t="inlineStr">
        <is>
          <t>WPH-ETC-DRW-SDW-IND-00-ZZZ-44801</t>
        </is>
      </c>
      <c r="D62" s="23" t="n"/>
      <c r="E62" s="23" t="n"/>
      <c r="F62" s="24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7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E2:E62 G2:Q62">
    <cfRule type="expression" priority="1" dxfId="9">
      <formula>UPPER(E2)="A"</formula>
    </cfRule>
    <cfRule type="expression" priority="2" dxfId="9">
      <formula>UPPER(E2)="B"</formula>
    </cfRule>
    <cfRule type="expression" priority="3" dxfId="10">
      <formula>UPPER(E2)="UR"</formula>
    </cfRule>
    <cfRule type="expression" priority="4" dxfId="11">
      <formula>UPPER(E2)="C"</formula>
    </cfRule>
    <cfRule type="expression" priority="5" dxfId="12">
      <formula>UPPER(E2)="TBS"</formula>
    </cfRule>
  </conditionalFormatting>
  <conditionalFormatting sqref="R2:R62">
    <cfRule type="expression" priority="6" dxfId="13">
      <formula>R2="Provided"</formula>
    </cfRule>
  </conditionalFormatting>
  <dataValidations count="4">
    <dataValidation sqref="E2:E62 G2:Q62" showDropDown="0" showInputMessage="0" showErrorMessage="1" allowBlank="1" error="Use A, B, UR, C or TBS" type="list" errorStyle="stop" operator="between">
      <formula1>Lists!$A$2:$A$6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  <dataValidation sqref="R2:R62" showDropDown="0" showInputMessage="0" showErrorMessage="0" allowBlank="1" type="list">
      <formula1>"Provided,Not Provided"</formula1>
    </dataValidation>
    <dataValidation sqref="S2:S62" showDropDown="0" showInputMessage="0" showErrorMessage="0" allowBlank="1" type="date"/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Room Tag</t>
        </is>
      </c>
      <c r="B32" s="10" t="inlineStr">
        <is>
          <t>Room tag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A34" s="10" t="inlineStr">
        <is>
          <t>Coordination Sketch</t>
        </is>
      </c>
      <c r="B34" s="10" t="inlineStr">
        <is>
          <t>Coordination sketch (MEP/ELV with ID)</t>
        </is>
      </c>
      <c r="C34" s="10" t="inlineStr">
        <is>
          <t>Coordination sketch</t>
        </is>
      </c>
      <c r="D34" s="10" t="n">
        <v>25</v>
      </c>
      <c r="E34" s="10" t="inlineStr">
        <is>
          <t>Y</t>
        </is>
      </c>
      <c r="F34" s="10" t="inlineStr">
        <is>
          <t>status</t>
        </is>
      </c>
    </row>
    <row r="35" ht="15" customHeight="1" s="11">
      <c r="A35" s="10" t="inlineStr">
        <is>
          <t>Coordination Sketch Date</t>
        </is>
      </c>
      <c r="B35" s="10" t="inlineStr">
        <is>
          <t>Sketch date</t>
        </is>
      </c>
      <c r="C35" s="10" t="inlineStr">
        <is>
          <t>Coordination sketch</t>
        </is>
      </c>
      <c r="D35" s="10" t="n">
        <v>26</v>
      </c>
      <c r="E35" s="10" t="inlineStr">
        <is>
          <t>Y</t>
        </is>
      </c>
      <c r="F35" s="10" t="inlineStr">
        <is>
          <t>date</t>
        </is>
      </c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  <row r="201">
      <c r="A201" s="22" t="n"/>
      <c r="B201" s="22" t="n"/>
      <c r="C201" s="22" t="n"/>
      <c r="D201" s="22" t="n"/>
      <c r="E201" s="22" t="n"/>
      <c r="F201" s="22" t="n"/>
    </row>
    <row r="202">
      <c r="A202" s="22" t="n"/>
      <c r="B202" s="22" t="n"/>
      <c r="C202" s="22" t="n"/>
      <c r="D202" s="22" t="n"/>
      <c r="E202" s="22" t="n"/>
      <c r="F202" s="22" t="n"/>
    </row>
    <row r="203">
      <c r="A203" s="22" t="n"/>
      <c r="B203" s="22" t="n"/>
      <c r="C203" s="22" t="n"/>
      <c r="D203" s="22" t="n"/>
      <c r="E203" s="22" t="n"/>
      <c r="F203" s="22" t="n"/>
    </row>
    <row r="204">
      <c r="A204" s="22" t="n"/>
      <c r="B204" s="22" t="n"/>
      <c r="C204" s="22" t="n"/>
      <c r="D204" s="22" t="n"/>
      <c r="E204" s="22" t="n"/>
      <c r="F204" s="22" t="n"/>
    </row>
    <row r="205">
      <c r="A205" s="22" t="n"/>
      <c r="B205" s="22" t="n"/>
      <c r="C205" s="22" t="n"/>
      <c r="D205" s="22" t="n"/>
      <c r="E205" s="22" t="n"/>
      <c r="F205" s="22" t="n"/>
    </row>
    <row r="206">
      <c r="A206" s="22" t="n"/>
      <c r="B206" s="22" t="n"/>
      <c r="C206" s="22" t="n"/>
      <c r="D206" s="22" t="n"/>
      <c r="E206" s="22" t="n"/>
      <c r="F206" s="22" t="n"/>
    </row>
    <row r="207">
      <c r="A207" s="22" t="n"/>
      <c r="B207" s="22" t="n"/>
      <c r="C207" s="22" t="n"/>
      <c r="D207" s="22" t="n"/>
      <c r="E207" s="22" t="n"/>
      <c r="F207" s="22" t="n"/>
    </row>
    <row r="208">
      <c r="A208" s="22" t="n"/>
      <c r="B208" s="22" t="n"/>
      <c r="C208" s="22" t="n"/>
      <c r="D208" s="22" t="n"/>
      <c r="E208" s="22" t="n"/>
      <c r="F208" s="22" t="n"/>
    </row>
    <row r="209">
      <c r="A209" s="22" t="n"/>
      <c r="B209" s="22" t="n"/>
      <c r="C209" s="22" t="n"/>
      <c r="D209" s="22" t="n"/>
      <c r="E209" s="22" t="n"/>
      <c r="F209" s="22" t="n"/>
    </row>
    <row r="210">
      <c r="A210" s="22" t="n"/>
      <c r="B210" s="22" t="n"/>
      <c r="C210" s="22" t="n"/>
      <c r="D210" s="22" t="n"/>
      <c r="E210" s="22" t="n"/>
      <c r="F210" s="22" t="n"/>
    </row>
    <row r="211">
      <c r="A211" s="22" t="n"/>
      <c r="B211" s="22" t="n"/>
      <c r="C211" s="22" t="n"/>
      <c r="D211" s="22" t="n"/>
      <c r="E211" s="22" t="n"/>
      <c r="F211" s="22" t="n"/>
    </row>
    <row r="212">
      <c r="A212" s="22" t="n"/>
      <c r="B212" s="22" t="n"/>
      <c r="C212" s="22" t="n"/>
      <c r="D212" s="22" t="n"/>
      <c r="E212" s="22" t="n"/>
      <c r="F212" s="22" t="n"/>
    </row>
    <row r="213">
      <c r="A213" s="22" t="n"/>
      <c r="B213" s="22" t="n"/>
      <c r="C213" s="22" t="n"/>
      <c r="D213" s="22" t="n"/>
      <c r="E213" s="22" t="n"/>
      <c r="F213" s="22" t="n"/>
    </row>
    <row r="214">
      <c r="A214" s="22" t="n"/>
      <c r="B214" s="22" t="n"/>
      <c r="C214" s="22" t="n"/>
      <c r="D214" s="22" t="n"/>
      <c r="E214" s="22" t="n"/>
      <c r="F214" s="22" t="n"/>
    </row>
    <row r="215">
      <c r="A215" s="22" t="n"/>
      <c r="B215" s="22" t="n"/>
      <c r="C215" s="22" t="n"/>
      <c r="D215" s="22" t="n"/>
      <c r="E215" s="22" t="n"/>
      <c r="F215" s="22" t="n"/>
    </row>
    <row r="216">
      <c r="A216" s="22" t="n"/>
      <c r="B216" s="22" t="n"/>
      <c r="C216" s="22" t="n"/>
      <c r="D216" s="22" t="n"/>
      <c r="E216" s="22" t="n"/>
      <c r="F216" s="22" t="n"/>
    </row>
    <row r="217">
      <c r="A217" s="22" t="n"/>
      <c r="B217" s="22" t="n"/>
      <c r="C217" s="22" t="n"/>
      <c r="D217" s="22" t="n"/>
      <c r="E217" s="22" t="n"/>
      <c r="F217" s="22" t="n"/>
    </row>
    <row r="218">
      <c r="A218" s="22" t="n"/>
      <c r="B218" s="22" t="n"/>
      <c r="C218" s="22" t="n"/>
      <c r="D218" s="22" t="n"/>
      <c r="E218" s="22" t="n"/>
      <c r="F218" s="22" t="n"/>
    </row>
    <row r="219">
      <c r="A219" s="22" t="n"/>
      <c r="B219" s="22" t="n"/>
      <c r="C219" s="22" t="n"/>
      <c r="D219" s="22" t="n"/>
      <c r="E219" s="22" t="n"/>
      <c r="F219" s="22" t="n"/>
    </row>
    <row r="220">
      <c r="A220" s="22" t="n"/>
      <c r="B220" s="22" t="n"/>
      <c r="C220" s="22" t="n"/>
      <c r="D220" s="22" t="n"/>
      <c r="E220" s="22" t="n"/>
      <c r="F220" s="22" t="n"/>
    </row>
    <row r="221">
      <c r="A221" s="22" t="n"/>
      <c r="B221" s="22" t="n"/>
      <c r="C221" s="22" t="n"/>
      <c r="D221" s="22" t="n"/>
      <c r="E221" s="22" t="n"/>
      <c r="F221" s="22" t="n"/>
    </row>
    <row r="222">
      <c r="A222" s="22" t="n"/>
      <c r="B222" s="22" t="n"/>
      <c r="C222" s="22" t="n"/>
      <c r="D222" s="22" t="n"/>
      <c r="E222" s="22" t="n"/>
      <c r="F222" s="22" t="n"/>
    </row>
    <row r="223">
      <c r="A223" s="22" t="n"/>
      <c r="B223" s="22" t="n"/>
      <c r="C223" s="22" t="n"/>
      <c r="D223" s="22" t="n"/>
      <c r="E223" s="22" t="n"/>
      <c r="F223" s="22" t="n"/>
    </row>
    <row r="224">
      <c r="A224" s="22" t="n"/>
      <c r="B224" s="22" t="n"/>
      <c r="C224" s="22" t="n"/>
      <c r="D224" s="22" t="n"/>
      <c r="E224" s="22" t="n"/>
      <c r="F224" s="22" t="n"/>
    </row>
    <row r="225">
      <c r="A225" s="22" t="n"/>
      <c r="B225" s="22" t="n"/>
      <c r="C225" s="22" t="n"/>
      <c r="D225" s="22" t="n"/>
      <c r="E225" s="22" t="n"/>
      <c r="F225" s="22" t="n"/>
    </row>
    <row r="226">
      <c r="A226" s="22" t="n"/>
      <c r="B226" s="22" t="n"/>
      <c r="C226" s="22" t="n"/>
      <c r="D226" s="22" t="n"/>
      <c r="E226" s="22" t="n"/>
      <c r="F226" s="22" t="n"/>
    </row>
    <row r="227">
      <c r="A227" s="22" t="n"/>
      <c r="B227" s="22" t="n"/>
      <c r="C227" s="22" t="n"/>
      <c r="D227" s="22" t="n"/>
      <c r="E227" s="22" t="n"/>
      <c r="F227" s="22" t="n"/>
    </row>
    <row r="228">
      <c r="A228" s="22" t="n"/>
      <c r="B228" s="22" t="n"/>
      <c r="C228" s="22" t="n"/>
      <c r="D228" s="22" t="n"/>
      <c r="E228" s="22" t="n"/>
      <c r="F228" s="22" t="n"/>
    </row>
    <row r="229">
      <c r="A229" s="22" t="n"/>
      <c r="B229" s="22" t="n"/>
      <c r="C229" s="22" t="n"/>
      <c r="D229" s="22" t="n"/>
      <c r="E229" s="22" t="n"/>
      <c r="F229" s="22" t="n"/>
    </row>
    <row r="230">
      <c r="A230" s="22" t="n"/>
      <c r="B230" s="22" t="n"/>
      <c r="C230" s="22" t="n"/>
      <c r="D230" s="22" t="n"/>
      <c r="E230" s="22" t="n"/>
      <c r="F230" s="22" t="n"/>
    </row>
    <row r="231">
      <c r="A231" s="22" t="n"/>
      <c r="B231" s="22" t="n"/>
      <c r="C231" s="22" t="n"/>
      <c r="D231" s="22" t="n"/>
      <c r="E231" s="22" t="n"/>
      <c r="F231" s="22" t="n"/>
    </row>
    <row r="232">
      <c r="A232" s="22" t="n"/>
      <c r="B232" s="22" t="n"/>
      <c r="C232" s="22" t="n"/>
      <c r="D232" s="22" t="n"/>
      <c r="E232" s="22" t="n"/>
      <c r="F232" s="22" t="n"/>
    </row>
    <row r="233">
      <c r="A233" s="22" t="n"/>
      <c r="B233" s="22" t="n"/>
      <c r="C233" s="22" t="n"/>
      <c r="D233" s="22" t="n"/>
      <c r="E233" s="22" t="n"/>
      <c r="F233" s="22" t="n"/>
    </row>
    <row r="234">
      <c r="A234" s="22" t="n"/>
      <c r="B234" s="22" t="n"/>
      <c r="C234" s="22" t="n"/>
      <c r="D234" s="22" t="n"/>
      <c r="E234" s="22" t="n"/>
      <c r="F234" s="22" t="n"/>
    </row>
    <row r="235">
      <c r="A235" s="22" t="n"/>
      <c r="B235" s="22" t="n"/>
      <c r="C235" s="22" t="n"/>
      <c r="D235" s="22" t="n"/>
      <c r="E235" s="22" t="n"/>
      <c r="F235" s="22" t="n"/>
    </row>
    <row r="236">
      <c r="A236" s="22" t="n"/>
      <c r="B236" s="22" t="n"/>
      <c r="C236" s="22" t="n"/>
      <c r="D236" s="22" t="n"/>
      <c r="E236" s="22" t="n"/>
      <c r="F236" s="22" t="n"/>
    </row>
    <row r="237">
      <c r="A237" s="22" t="n"/>
      <c r="B237" s="22" t="n"/>
      <c r="C237" s="22" t="n"/>
      <c r="D237" s="22" t="n"/>
      <c r="E237" s="22" t="n"/>
      <c r="F237" s="22" t="n"/>
    </row>
    <row r="238">
      <c r="A238" s="22" t="n"/>
      <c r="B238" s="22" t="n"/>
      <c r="C238" s="22" t="n"/>
      <c r="D238" s="22" t="n"/>
      <c r="E238" s="22" t="n"/>
      <c r="F238" s="22" t="n"/>
    </row>
    <row r="239">
      <c r="A239" s="22" t="n"/>
      <c r="B239" s="22" t="n"/>
      <c r="C239" s="22" t="n"/>
      <c r="D239" s="22" t="n"/>
      <c r="E239" s="22" t="n"/>
      <c r="F239" s="22" t="n"/>
    </row>
    <row r="240">
      <c r="A240" s="22" t="n"/>
      <c r="B240" s="22" t="n"/>
      <c r="C240" s="22" t="n"/>
      <c r="D240" s="22" t="n"/>
      <c r="E240" s="22" t="n"/>
      <c r="F240" s="22" t="n"/>
    </row>
    <row r="241">
      <c r="A241" s="22" t="n"/>
      <c r="B241" s="22" t="n"/>
      <c r="C241" s="22" t="n"/>
      <c r="D241" s="22" t="n"/>
      <c r="E241" s="22" t="n"/>
      <c r="F241" s="22" t="n"/>
    </row>
    <row r="242">
      <c r="A242" s="22" t="n"/>
      <c r="B242" s="22" t="n"/>
      <c r="C242" s="22" t="n"/>
      <c r="D242" s="22" t="n"/>
      <c r="E242" s="22" t="n"/>
      <c r="F242" s="22" t="n"/>
    </row>
    <row r="243">
      <c r="A243" s="22" t="n"/>
      <c r="B243" s="22" t="n"/>
      <c r="C243" s="22" t="n"/>
      <c r="D243" s="22" t="n"/>
      <c r="E243" s="22" t="n"/>
      <c r="F243" s="22" t="n"/>
    </row>
    <row r="244">
      <c r="A244" s="22" t="n"/>
      <c r="B244" s="22" t="n"/>
      <c r="C244" s="22" t="n"/>
      <c r="D244" s="22" t="n"/>
      <c r="E244" s="22" t="n"/>
      <c r="F244" s="22" t="n"/>
    </row>
    <row r="245">
      <c r="A245" s="22" t="n"/>
      <c r="B245" s="22" t="n"/>
      <c r="C245" s="22" t="n"/>
      <c r="D245" s="22" t="n"/>
      <c r="E245" s="22" t="n"/>
      <c r="F245" s="22" t="n"/>
    </row>
    <row r="246">
      <c r="A246" s="22" t="n"/>
      <c r="B246" s="22" t="n"/>
      <c r="C246" s="22" t="n"/>
      <c r="D246" s="22" t="n"/>
      <c r="E246" s="22" t="n"/>
      <c r="F246" s="22" t="n"/>
    </row>
    <row r="247">
      <c r="A247" s="22" t="n"/>
      <c r="B247" s="22" t="n"/>
      <c r="C247" s="22" t="n"/>
      <c r="D247" s="22" t="n"/>
      <c r="E247" s="22" t="n"/>
      <c r="F247" s="22" t="n"/>
    </row>
    <row r="248">
      <c r="A248" s="22" t="n"/>
      <c r="B248" s="22" t="n"/>
      <c r="C248" s="22" t="n"/>
      <c r="D248" s="22" t="n"/>
      <c r="E248" s="22" t="n"/>
      <c r="F248" s="22" t="n"/>
    </row>
    <row r="249">
      <c r="A249" s="22" t="n"/>
      <c r="B249" s="22" t="n"/>
      <c r="C249" s="22" t="n"/>
      <c r="D249" s="22" t="n"/>
      <c r="E249" s="22" t="n"/>
      <c r="F249" s="22" t="n"/>
    </row>
    <row r="250">
      <c r="A250" s="22" t="n"/>
      <c r="B250" s="22" t="n"/>
      <c r="C250" s="22" t="n"/>
      <c r="D250" s="22" t="n"/>
      <c r="E250" s="22" t="n"/>
      <c r="F250" s="22" t="n"/>
    </row>
    <row r="251">
      <c r="A251" s="22" t="n"/>
      <c r="B251" s="22" t="n"/>
      <c r="C251" s="22" t="n"/>
      <c r="D251" s="22" t="n"/>
      <c r="E251" s="22" t="n"/>
      <c r="F251" s="22" t="n"/>
    </row>
    <row r="252">
      <c r="A252" s="22" t="n"/>
      <c r="B252" s="22" t="n"/>
      <c r="C252" s="22" t="n"/>
      <c r="D252" s="22" t="n"/>
      <c r="E252" s="22" t="n"/>
      <c r="F252" s="22" t="n"/>
    </row>
    <row r="253">
      <c r="A253" s="22" t="n"/>
      <c r="B253" s="22" t="n"/>
      <c r="C253" s="22" t="n"/>
      <c r="D253" s="22" t="n"/>
      <c r="E253" s="22" t="n"/>
      <c r="F253" s="22" t="n"/>
    </row>
    <row r="254">
      <c r="A254" s="22" t="n"/>
      <c r="B254" s="22" t="n"/>
      <c r="C254" s="22" t="n"/>
      <c r="D254" s="22" t="n"/>
      <c r="E254" s="22" t="n"/>
      <c r="F254" s="22" t="n"/>
    </row>
    <row r="255">
      <c r="A255" s="22" t="n"/>
      <c r="B255" s="22" t="n"/>
      <c r="C255" s="22" t="n"/>
      <c r="D255" s="22" t="n"/>
      <c r="E255" s="22" t="n"/>
      <c r="F255" s="22" t="n"/>
    </row>
    <row r="256">
      <c r="A256" s="22" t="n"/>
      <c r="B256" s="22" t="n"/>
      <c r="C256" s="22" t="n"/>
      <c r="D256" s="22" t="n"/>
      <c r="E256" s="22" t="n"/>
      <c r="F256" s="22" t="n"/>
    </row>
    <row r="257">
      <c r="A257" s="22" t="n"/>
      <c r="B257" s="22" t="n"/>
      <c r="C257" s="22" t="n"/>
      <c r="D257" s="22" t="n"/>
      <c r="E257" s="22" t="n"/>
      <c r="F257" s="22" t="n"/>
    </row>
    <row r="258">
      <c r="A258" s="22" t="n"/>
      <c r="B258" s="22" t="n"/>
      <c r="C258" s="22" t="n"/>
      <c r="D258" s="22" t="n"/>
      <c r="E258" s="22" t="n"/>
      <c r="F258" s="22" t="n"/>
    </row>
    <row r="259">
      <c r="A259" s="22" t="n"/>
      <c r="B259" s="22" t="n"/>
      <c r="C259" s="22" t="n"/>
      <c r="D259" s="22" t="n"/>
      <c r="E259" s="22" t="n"/>
      <c r="F259" s="22" t="n"/>
    </row>
    <row r="260">
      <c r="A260" s="22" t="n"/>
      <c r="B260" s="22" t="n"/>
      <c r="C260" s="22" t="n"/>
      <c r="D260" s="22" t="n"/>
      <c r="E260" s="22" t="n"/>
      <c r="F260" s="22" t="n"/>
    </row>
    <row r="261">
      <c r="A261" s="28" t="n"/>
      <c r="B261" s="28" t="n"/>
      <c r="C261" s="28" t="n"/>
      <c r="D261" s="28" t="n"/>
      <c r="E261" s="28" t="n"/>
      <c r="F261" s="28" t="n"/>
    </row>
    <row r="262">
      <c r="A262" s="28" t="n"/>
      <c r="B262" s="28" t="n"/>
      <c r="C262" s="28" t="n"/>
      <c r="D262" s="28" t="n"/>
      <c r="E262" s="28" t="n"/>
      <c r="F262" s="28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COUNTIFS(Clearances!$E:$E,$A2,Clearances!$B:$B,"Tower A")</f>
        <v/>
      </c>
      <c r="D2" s="17">
        <f>C2/COUNTIF(Clearances!$B:$B,"Tower A")</f>
        <v/>
      </c>
      <c r="E2" s="10">
        <f>COUNTIFS(Clearances!$E:$E,$A2,Clearances!$B:$B,"Tower B")</f>
        <v/>
      </c>
      <c r="F2" s="17">
        <f>E2/COUNTIF(Clearances!$B:$B,"Tower B")</f>
        <v/>
      </c>
      <c r="G2" s="10">
        <f>C2+E2</f>
        <v/>
      </c>
      <c r="H2" s="17">
        <f>G2/(COUNTA(Clearances!$A:$A)-1)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COUNTIFS(Clearances!$E:$E,$A3,Clearances!$B:$B,"Tower A")</f>
        <v/>
      </c>
      <c r="D3" s="17">
        <f>C3/COUNTIF(Clearances!$B:$B,"Tower A")</f>
        <v/>
      </c>
      <c r="E3" s="10">
        <f>COUNTIFS(Clearances!$E:$E,$A3,Clearances!$B:$B,"Tower B")</f>
        <v/>
      </c>
      <c r="F3" s="17">
        <f>E3/COUNTIF(Clearances!$B:$B,"Tower B")</f>
        <v/>
      </c>
      <c r="G3" s="10">
        <f>C3+E3</f>
        <v/>
      </c>
      <c r="H3" s="17">
        <f>G3/(COUNTA(Clearances!$A:$A)-1)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COUNTIFS(Clearances!$E:$E,$A4,Clearances!$B:$B,"Tower A")</f>
        <v/>
      </c>
      <c r="D4" s="17">
        <f>C4/COUNTIF(Clearances!$B:$B,"Tower A")</f>
        <v/>
      </c>
      <c r="E4" s="10">
        <f>COUNTIFS(Clearances!$E:$E,$A4,Clearances!$B:$B,"Tower B")</f>
        <v/>
      </c>
      <c r="F4" s="17">
        <f>E4/COUNTIF(Clearances!$B:$B,"Tower B")</f>
        <v/>
      </c>
      <c r="G4" s="10">
        <f>C4+E4</f>
        <v/>
      </c>
      <c r="H4" s="17">
        <f>G4/(COUNTA(Clearances!$A:$A)-1)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COUNTIFS(Clearances!$E:$E,$A5,Clearances!$B:$B,"Tower A")</f>
        <v/>
      </c>
      <c r="D5" s="17">
        <f>C5/COUNTIF(Clearances!$B:$B,"Tower A")</f>
        <v/>
      </c>
      <c r="E5" s="10">
        <f>COUNTIFS(Clearances!$E:$E,$A5,Clearances!$B:$B,"Tower B")</f>
        <v/>
      </c>
      <c r="F5" s="17">
        <f>E5/COUNTIF(Clearances!$B:$B,"Tower B")</f>
        <v/>
      </c>
      <c r="G5" s="10">
        <f>C5+E5</f>
        <v/>
      </c>
      <c r="H5" s="17">
        <f>G5/(COUNTA(Clearances!$A:$A)-1)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COUNTIFS(Clearances!$E:$E,$A6,Clearances!$B:$B,"Tower A")</f>
        <v/>
      </c>
      <c r="D6" s="17">
        <f>C6/COUNTIF(Clearances!$B:$B,"Tower A")</f>
        <v/>
      </c>
      <c r="E6" s="10">
        <f>COUNTIFS(Clearances!$E:$E,$A6,Clearances!$B:$B,"Tower B")</f>
        <v/>
      </c>
      <c r="F6" s="17">
        <f>E6/COUNTIF(Clearances!$B:$B,"Tower B")</f>
        <v/>
      </c>
      <c r="G6" s="10">
        <f>C6+E6</f>
        <v/>
      </c>
      <c r="H6" s="17">
        <f>G6/(COUNTA(Clearances!$A:$A)-1)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COUNTIFS(Clearances!$E:$E,$A7,Clearances!$B:$B,"Tower A")</f>
        <v/>
      </c>
      <c r="D7" s="17">
        <f>C7/COUNTIF(Clearances!$B:$B,"Tower A")</f>
        <v/>
      </c>
      <c r="E7" s="10">
        <f>COUNTIFS(Clearances!$E:$E,$A7,Clearances!$B:$B,"Tower B")</f>
        <v/>
      </c>
      <c r="F7" s="17">
        <f>E7/COUNTIF(Clearances!$B:$B,"Tower B")</f>
        <v/>
      </c>
      <c r="G7" s="10">
        <f>C7+E7</f>
        <v/>
      </c>
      <c r="H7" s="17">
        <f>G7/(COUNTA(Clearances!$A:$A)-1)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COUNTIFS(Clearances!$E:$E,$A8,Clearances!$B:$B,"Tower A")</f>
        <v/>
      </c>
      <c r="D8" s="17">
        <f>C8/COUNTIF(Clearances!$B:$B,"Tower A")</f>
        <v/>
      </c>
      <c r="E8" s="10">
        <f>COUNTIFS(Clearances!$E:$E,$A8,Clearances!$B:$B,"Tower B")</f>
        <v/>
      </c>
      <c r="F8" s="17">
        <f>E8/COUNTIF(Clearances!$B:$B,"Tower B")</f>
        <v/>
      </c>
      <c r="G8" s="10">
        <f>C8+E8</f>
        <v/>
      </c>
      <c r="H8" s="17">
        <f>G8/(COUNTA(Clearances!$A:$A)-1)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COUNTIFS(Clearances!$E:$E,$A9,Clearances!$B:$B,"Tower A")</f>
        <v/>
      </c>
      <c r="D9" s="17">
        <f>C9/COUNTIF(Clearances!$B:$B,"Tower A")</f>
        <v/>
      </c>
      <c r="E9" s="10">
        <f>COUNTIFS(Clearances!$E:$E,$A9,Clearances!$B:$B,"Tower B")</f>
        <v/>
      </c>
      <c r="F9" s="17">
        <f>E9/COUNTIF(Clearances!$B:$B,"Tower B")</f>
        <v/>
      </c>
      <c r="G9" s="10">
        <f>C9+E9</f>
        <v/>
      </c>
      <c r="H9" s="17">
        <f>G9/(COUNTA(Clearances!$A:$A)-1)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COUNTIFS(Clearances!$E:$E,$A10,Clearances!$B:$B,"Tower A")</f>
        <v/>
      </c>
      <c r="D10" s="17">
        <f>C10/COUNTIF(Clearances!$B:$B,"Tower A")</f>
        <v/>
      </c>
      <c r="E10" s="10">
        <f>COUNTIFS(Clearances!$E:$E,$A10,Clearances!$B:$B,"Tower B")</f>
        <v/>
      </c>
      <c r="F10" s="17">
        <f>E10/COUNTIF(Clearances!$B:$B,"Tower B")</f>
        <v/>
      </c>
      <c r="G10" s="10">
        <f>C10+E10</f>
        <v/>
      </c>
      <c r="H10" s="17">
        <f>G10/(COUNTA(Clearances!$A:$A)-1)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COUNTIFS(Clearances!$E:$E,$A11,Clearances!$B:$B,"Tower A")</f>
        <v/>
      </c>
      <c r="D11" s="17">
        <f>C11/COUNTIF(Clearances!$B:$B,"Tower A")</f>
        <v/>
      </c>
      <c r="E11" s="10">
        <f>COUNTIFS(Clearances!$E:$E,$A11,Clearances!$B:$B,"Tower B")</f>
        <v/>
      </c>
      <c r="F11" s="17">
        <f>E11/COUNTIF(Clearances!$B:$B,"Tower B")</f>
        <v/>
      </c>
      <c r="G11" s="10">
        <f>C11+E11</f>
        <v/>
      </c>
      <c r="H11" s="17">
        <f>G11/(COUNTA(Clearances!$A:$A)-1)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COUNTIFS(Clearances!$E:$E,$A12,Clearances!$B:$B,"Tower A")</f>
        <v/>
      </c>
      <c r="D12" s="17">
        <f>C12/COUNTIF(Clearances!$B:$B,"Tower A")</f>
        <v/>
      </c>
      <c r="E12" s="10">
        <f>COUNTIFS(Clearances!$E:$E,$A12,Clearances!$B:$B,"Tower B")</f>
        <v/>
      </c>
      <c r="F12" s="17">
        <f>E12/COUNTIF(Clearances!$B:$B,"Tower B")</f>
        <v/>
      </c>
      <c r="G12" s="10">
        <f>C12+E12</f>
        <v/>
      </c>
      <c r="H12" s="17">
        <f>G12/(COUNTA(Clearances!$A:$A)-1)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COUNTIFS(Clearances!$E:$E,$A13,Clearances!$B:$B,"Tower A")</f>
        <v/>
      </c>
      <c r="D13" s="17">
        <f>C13/COUNTIF(Clearances!$B:$B,"Tower A")</f>
        <v/>
      </c>
      <c r="E13" s="10">
        <f>COUNTIFS(Clearances!$E:$E,$A13,Clearances!$B:$B,"Tower B")</f>
        <v/>
      </c>
      <c r="F13" s="17">
        <f>E13/COUNTIF(Clearances!$B:$B,"Tower B")</f>
        <v/>
      </c>
      <c r="G13" s="10">
        <f>C13+E13</f>
        <v/>
      </c>
      <c r="H13" s="17">
        <f>G13/(COUNTA(Clearances!$A:$A)-1)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COUNTIFS(Clearances!$E:$E,$A14,Clearances!$B:$B,"Tower A")</f>
        <v/>
      </c>
      <c r="D14" s="17">
        <f>C14/COUNTIF(Clearances!$B:$B,"Tower A")</f>
        <v/>
      </c>
      <c r="E14" s="10">
        <f>COUNTIFS(Clearances!$E:$E,$A14,Clearances!$B:$B,"Tower B")</f>
        <v/>
      </c>
      <c r="F14" s="17">
        <f>E14/COUNTIF(Clearances!$B:$B,"Tower B")</f>
        <v/>
      </c>
      <c r="G14" s="10">
        <f>C14+E14</f>
        <v/>
      </c>
      <c r="H14" s="17">
        <f>G14/(COUNTA(Clearances!$A:$A)-1)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COUNTIFS(Clearances!$E:$E,$A15,Clearances!$B:$B,"Tower A")</f>
        <v/>
      </c>
      <c r="D15" s="17">
        <f>C15/COUNTIF(Clearances!$B:$B,"Tower A")</f>
        <v/>
      </c>
      <c r="E15" s="10">
        <f>COUNTIFS(Clearances!$E:$E,$A15,Clearances!$B:$B,"Tower B")</f>
        <v/>
      </c>
      <c r="F15" s="17">
        <f>E15/COUNTIF(Clearances!$B:$B,"Tower B")</f>
        <v/>
      </c>
      <c r="G15" s="10">
        <f>C15+E15</f>
        <v/>
      </c>
      <c r="H15" s="17">
        <f>G15/(COUNTA(Clearances!$A:$A)-1)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COUNTIFS(Clearances!$E:$E,$A16,Clearances!$B:$B,"Tower A")</f>
        <v/>
      </c>
      <c r="D16" s="17">
        <f>C16/COUNTIF(Clearances!$B:$B,"Tower A")</f>
        <v/>
      </c>
      <c r="E16" s="10">
        <f>COUNTIFS(Clearances!$E:$E,$A16,Clearances!$B:$B,"Tower B")</f>
        <v/>
      </c>
      <c r="F16" s="17">
        <f>E16/COUNTIF(Clearances!$B:$B,"Tower B")</f>
        <v/>
      </c>
      <c r="G16" s="10">
        <f>C16+E16</f>
        <v/>
      </c>
      <c r="H16" s="17">
        <f>G16/(COUNTA(Clearances!$A:$A)-1)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COUNTIFS(Clearances!$E:$E,$A17,Clearances!$B:$B,"Tower A")</f>
        <v/>
      </c>
      <c r="D17" s="17">
        <f>C17/COUNTIF(Clearances!$B:$B,"Tower A")</f>
        <v/>
      </c>
      <c r="E17" s="10">
        <f>COUNTIFS(Clearances!$E:$E,$A17,Clearances!$B:$B,"Tower B")</f>
        <v/>
      </c>
      <c r="F17" s="17">
        <f>E17/COUNTIF(Clearances!$B:$B,"Tower B")</f>
        <v/>
      </c>
      <c r="G17" s="10">
        <f>C17+E17</f>
        <v/>
      </c>
      <c r="H17" s="17">
        <f>G17/(COUNTA(Clearances!$A:$A)-1)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COUNTIFS(Clearances!$E:$E,$A18,Clearances!$B:$B,"Tower A")</f>
        <v/>
      </c>
      <c r="D18" s="17">
        <f>C18/COUNTIF(Clearances!$B:$B,"Tower A")</f>
        <v/>
      </c>
      <c r="E18" s="10">
        <f>COUNTIFS(Clearances!$E:$E,$A18,Clearances!$B:$B,"Tower B")</f>
        <v/>
      </c>
      <c r="F18" s="17">
        <f>E18/COUNTIF(Clearances!$B:$B,"Tower B")</f>
        <v/>
      </c>
      <c r="G18" s="10">
        <f>C18+E18</f>
        <v/>
      </c>
      <c r="H18" s="17">
        <f>G18/(COUNTA(Clearances!$A:$A)-1)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COUNTIFS(Clearances!$E:$E,$A19,Clearances!$B:$B,"Tower A")</f>
        <v/>
      </c>
      <c r="D19" s="17">
        <f>C19/COUNTIF(Clearances!$B:$B,"Tower A")</f>
        <v/>
      </c>
      <c r="E19" s="10">
        <f>COUNTIFS(Clearances!$E:$E,$A19,Clearances!$B:$B,"Tower B")</f>
        <v/>
      </c>
      <c r="F19" s="17">
        <f>E19/COUNTIF(Clearances!$B:$B,"Tower B")</f>
        <v/>
      </c>
      <c r="G19" s="10">
        <f>C19+E19</f>
        <v/>
      </c>
      <c r="H19" s="17">
        <f>G19/(COUNTA(Clearances!$A:$A)-1)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COUNTIFS(Clearances!$E:$E,$A20,Clearances!$B:$B,"Tower A")</f>
        <v/>
      </c>
      <c r="D20" s="17">
        <f>C20/COUNTIF(Clearances!$B:$B,"Tower A")</f>
        <v/>
      </c>
      <c r="E20" s="10">
        <f>COUNTIFS(Clearances!$E:$E,$A20,Clearances!$B:$B,"Tower B")</f>
        <v/>
      </c>
      <c r="F20" s="17">
        <f>E20/COUNTIF(Clearances!$B:$B,"Tower B")</f>
        <v/>
      </c>
      <c r="G20" s="10">
        <f>C20+E20</f>
        <v/>
      </c>
      <c r="H20" s="17">
        <f>G20/(COUNTA(Clearances!$A:$A)-1)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COUNTIFS(Clearances!$E:$E,$A21,Clearances!$B:$B,"Tower A")</f>
        <v/>
      </c>
      <c r="D21" s="17">
        <f>C21/COUNTIF(Clearances!$B:$B,"Tower A")</f>
        <v/>
      </c>
      <c r="E21" s="10">
        <f>COUNTIFS(Clearances!$E:$E,$A21,Clearances!$B:$B,"Tower B")</f>
        <v/>
      </c>
      <c r="F21" s="17">
        <f>E21/COUNTIF(Clearances!$B:$B,"Tower B")</f>
        <v/>
      </c>
      <c r="G21" s="10">
        <f>C21+E21</f>
        <v/>
      </c>
      <c r="H21" s="17">
        <f>G21/(COUNTA(Clearances!$A:$A)-1)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COUNTIFS(Clearances!$E:$E,$A22,Clearances!$B:$B,"Tower A")</f>
        <v/>
      </c>
      <c r="D22" s="17">
        <f>C22/COUNTIF(Clearances!$B:$B,"Tower A")</f>
        <v/>
      </c>
      <c r="E22" s="10">
        <f>COUNTIFS(Clearances!$E:$E,$A22,Clearances!$B:$B,"Tower B")</f>
        <v/>
      </c>
      <c r="F22" s="17">
        <f>E22/COUNTIF(Clearances!$B:$B,"Tower B")</f>
        <v/>
      </c>
      <c r="G22" s="10">
        <f>C22+E22</f>
        <v/>
      </c>
      <c r="H22" s="17">
        <f>G22/(COUNTA(Clearances!$A:$A)-1)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COUNTIFS(Clearances!$E:$E,$A23,Clearances!$B:$B,"Tower A")</f>
        <v/>
      </c>
      <c r="D23" s="17">
        <f>C23/COUNTIF(Clearances!$B:$B,"Tower A")</f>
        <v/>
      </c>
      <c r="E23" s="10">
        <f>COUNTIFS(Clearances!$E:$E,$A23,Clearances!$B:$B,"Tower B")</f>
        <v/>
      </c>
      <c r="F23" s="17">
        <f>E23/COUNTIF(Clearances!$B:$B,"Tower B")</f>
        <v/>
      </c>
      <c r="G23" s="10">
        <f>C23+E23</f>
        <v/>
      </c>
      <c r="H23" s="17">
        <f>G23/(COUNTA(Clearances!$A:$A)-1)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COUNTIFS(Clearances!$E:$E,$A24,Clearances!$B:$B,"Tower A")</f>
        <v/>
      </c>
      <c r="D24" s="17">
        <f>C24/COUNTIF(Clearances!$B:$B,"Tower A")</f>
        <v/>
      </c>
      <c r="E24" s="10">
        <f>COUNTIFS(Clearances!$E:$E,$A24,Clearances!$B:$B,"Tower B")</f>
        <v/>
      </c>
      <c r="F24" s="17">
        <f>E24/COUNTIF(Clearances!$B:$B,"Tower B")</f>
        <v/>
      </c>
      <c r="G24" s="10">
        <f>C24+E24</f>
        <v/>
      </c>
      <c r="H24" s="17">
        <f>G24/(COUNTA(Clearances!$A:$A)-1)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COUNTIFS(Clearances!$E:$E,$A25,Clearances!$B:$B,"Tower A")</f>
        <v/>
      </c>
      <c r="D25" s="17">
        <f>C25/COUNTIF(Clearances!$B:$B,"Tower A")</f>
        <v/>
      </c>
      <c r="E25" s="10">
        <f>COUNTIFS(Clearances!$E:$E,$A25,Clearances!$B:$B,"Tower B")</f>
        <v/>
      </c>
      <c r="F25" s="17">
        <f>E25/COUNTIF(Clearances!$B:$B,"Tower B")</f>
        <v/>
      </c>
      <c r="G25" s="10">
        <f>C25+E25</f>
        <v/>
      </c>
      <c r="H25" s="17">
        <f>G25/(COUNTA(Clearances!$A:$A)-1)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COUNTIFS(Clearances!$E:$E,$A26,Clearances!$B:$B,"Tower A")</f>
        <v/>
      </c>
      <c r="D26" s="17">
        <f>C26/COUNTIF(Clearances!$B:$B,"Tower A")</f>
        <v/>
      </c>
      <c r="E26" s="10">
        <f>COUNTIFS(Clearances!$E:$E,$A26,Clearances!$B:$B,"Tower B")</f>
        <v/>
      </c>
      <c r="F26" s="17">
        <f>E26/COUNTIF(Clearances!$B:$B,"Tower B")</f>
        <v/>
      </c>
      <c r="G26" s="10">
        <f>C26+E26</f>
        <v/>
      </c>
      <c r="H26" s="17">
        <f>G26/(COUNTA(Clearances!$A:$A)-1)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COUNTIFS(Clearances!$E:$E,$A27,Clearances!$B:$B,"Tower A")</f>
        <v/>
      </c>
      <c r="D27" s="17">
        <f>C27/COUNTIF(Clearances!$B:$B,"Tower A")</f>
        <v/>
      </c>
      <c r="E27" s="10">
        <f>COUNTIFS(Clearances!$E:$E,$A27,Clearances!$B:$B,"Tower B")</f>
        <v/>
      </c>
      <c r="F27" s="17">
        <f>E27/COUNTIF(Clearances!$B:$B,"Tower B")</f>
        <v/>
      </c>
      <c r="G27" s="10">
        <f>C27+E27</f>
        <v/>
      </c>
      <c r="H27" s="17">
        <f>G27/(COUNTA(Clearances!$A:$A)-1)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COUNTIFS(Clearances!$E:$E,$A28,Clearances!$B:$B,"Tower A")</f>
        <v/>
      </c>
      <c r="D28" s="17">
        <f>C28/COUNTIF(Clearances!$B:$B,"Tower A")</f>
        <v/>
      </c>
      <c r="E28" s="10">
        <f>COUNTIFS(Clearances!$E:$E,$A28,Clearances!$B:$B,"Tower B")</f>
        <v/>
      </c>
      <c r="F28" s="17">
        <f>E28/COUNTIF(Clearances!$B:$B,"Tower B")</f>
        <v/>
      </c>
      <c r="G28" s="10">
        <f>C28+E28</f>
        <v/>
      </c>
      <c r="H28" s="17">
        <f>G28/(COUNTA(Clearances!$A:$A)-1)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COUNTIFS(Clearances!$E:$E,$A29,Clearances!$B:$B,"Tower A")</f>
        <v/>
      </c>
      <c r="D29" s="17">
        <f>C29/COUNTIF(Clearances!$B:$B,"Tower A")</f>
        <v/>
      </c>
      <c r="E29" s="10">
        <f>COUNTIFS(Clearances!$E:$E,$A29,Clearances!$B:$B,"Tower B")</f>
        <v/>
      </c>
      <c r="F29" s="17">
        <f>E29/COUNTIF(Clearances!$B:$B,"Tower B")</f>
        <v/>
      </c>
      <c r="G29" s="10">
        <f>C29+E29</f>
        <v/>
      </c>
      <c r="H29" s="17">
        <f>G29/(COUNTA(Clearances!$A:$A)-1)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COUNTIFS(Clearances!$E:$E,$A30,Clearances!$B:$B,"Tower A")</f>
        <v/>
      </c>
      <c r="D30" s="17">
        <f>C30/COUNTIF(Clearances!$B:$B,"Tower A")</f>
        <v/>
      </c>
      <c r="E30" s="10">
        <f>COUNTIFS(Clearances!$E:$E,$A30,Clearances!$B:$B,"Tower B")</f>
        <v/>
      </c>
      <c r="F30" s="17">
        <f>E30/COUNTIF(Clearances!$B:$B,"Tower B")</f>
        <v/>
      </c>
      <c r="G30" s="10">
        <f>C30+E30</f>
        <v/>
      </c>
      <c r="H30" s="17">
        <f>G30/(COUNTA(Clearances!$A:$A)-1)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COUNTIFS(Clearances!$E:$E,$A31,Clearances!$B:$B,"Tower A")</f>
        <v/>
      </c>
      <c r="D31" s="17">
        <f>C31/COUNTIF(Clearances!$B:$B,"Tower A")</f>
        <v/>
      </c>
      <c r="E31" s="10">
        <f>COUNTIFS(Clearances!$E:$E,$A31,Clearances!$B:$B,"Tower B")</f>
        <v/>
      </c>
      <c r="F31" s="17">
        <f>E31/COUNTIF(Clearances!$B:$B,"Tower B")</f>
        <v/>
      </c>
      <c r="G31" s="10">
        <f>C31+E31</f>
        <v/>
      </c>
      <c r="H31" s="17">
        <f>G31/(COUNTA(Clearances!$A:$A)-1)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COUNTIFS(Clearances!$E:$E,$A32,Clearances!$B:$B,"Tower A")</f>
        <v/>
      </c>
      <c r="D32" s="17">
        <f>C32/COUNTIF(Clearances!$B:$B,"Tower A")</f>
        <v/>
      </c>
      <c r="E32" s="10">
        <f>COUNTIFS(Clearances!$E:$E,$A32,Clearances!$B:$B,"Tower B")</f>
        <v/>
      </c>
      <c r="F32" s="17">
        <f>E32/COUNTIF(Clearances!$B:$B,"Tower B")</f>
        <v/>
      </c>
      <c r="G32" s="10">
        <f>C32+E32</f>
        <v/>
      </c>
      <c r="H32" s="17">
        <f>G32/(COUNTA(Clearances!$A:$A)-1)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COUNTIFS(Clearances!$E:$E,$A33,Clearances!$B:$B,"Tower A")</f>
        <v/>
      </c>
      <c r="D33" s="17">
        <f>C33/COUNTIF(Clearances!$B:$B,"Tower A")</f>
        <v/>
      </c>
      <c r="E33" s="10">
        <f>COUNTIFS(Clearances!$E:$E,$A33,Clearances!$B:$B,"Tower B")</f>
        <v/>
      </c>
      <c r="F33" s="17">
        <f>E33/COUNTIF(Clearances!$B:$B,"Tower B")</f>
        <v/>
      </c>
      <c r="G33" s="10">
        <f>C33+E33</f>
        <v/>
      </c>
      <c r="H33" s="17">
        <f>G33/(COUNTA(Clearances!$A:$A)-1)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COUNTIFS(Clearances!$E:$E,$A34,Clearances!$B:$B,"Tower A")</f>
        <v/>
      </c>
      <c r="D34" s="17">
        <f>C34/COUNTIF(Clearances!$B:$B,"Tower A")</f>
        <v/>
      </c>
      <c r="E34" s="10">
        <f>COUNTIFS(Clearances!$E:$E,$A34,Clearances!$B:$B,"Tower B")</f>
        <v/>
      </c>
      <c r="F34" s="17">
        <f>E34/COUNTIF(Clearances!$B:$B,"Tower B")</f>
        <v/>
      </c>
      <c r="G34" s="10">
        <f>C34+E34</f>
        <v/>
      </c>
      <c r="H34" s="17">
        <f>G34/(COUNTA(Clearances!$A:$A)-1)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COUNTIFS(Clearances!$E:$E,$A35,Clearances!$B:$B,"Tower A")</f>
        <v/>
      </c>
      <c r="D35" s="17">
        <f>C35/COUNTIF(Clearances!$B:$B,"Tower A")</f>
        <v/>
      </c>
      <c r="E35" s="10">
        <f>COUNTIFS(Clearances!$E:$E,$A35,Clearances!$B:$B,"Tower B")</f>
        <v/>
      </c>
      <c r="F35" s="17">
        <f>E35/COUNTIF(Clearances!$B:$B,"Tower B")</f>
        <v/>
      </c>
      <c r="G35" s="10">
        <f>C35+E35</f>
        <v/>
      </c>
      <c r="H35" s="17">
        <f>G35/(COUNTA(Clearances!$A:$A)-1)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COUNTIFS(Clearances!$E:$E,$A36,Clearances!$B:$B,"Tower A")</f>
        <v/>
      </c>
      <c r="D36" s="17">
        <f>C36/COUNTIF(Clearances!$B:$B,"Tower A")</f>
        <v/>
      </c>
      <c r="E36" s="10">
        <f>COUNTIFS(Clearances!$E:$E,$A36,Clearances!$B:$B,"Tower B")</f>
        <v/>
      </c>
      <c r="F36" s="17">
        <f>E36/COUNTIF(Clearances!$B:$B,"Tower B")</f>
        <v/>
      </c>
      <c r="G36" s="10">
        <f>C36+E36</f>
        <v/>
      </c>
      <c r="H36" s="17">
        <f>G36/(COUNTA(Clearances!$A:$A)-1)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COUNTIFS(Clearances!$E:$E,$A37,Clearances!$B:$B,"Tower A")</f>
        <v/>
      </c>
      <c r="D37" s="17">
        <f>C37/COUNTIF(Clearances!$B:$B,"Tower A")</f>
        <v/>
      </c>
      <c r="E37" s="10">
        <f>COUNTIFS(Clearances!$E:$E,$A37,Clearances!$B:$B,"Tower B")</f>
        <v/>
      </c>
      <c r="F37" s="17">
        <f>E37/COUNTIF(Clearances!$B:$B,"Tower B")</f>
        <v/>
      </c>
      <c r="G37" s="10">
        <f>C37+E37</f>
        <v/>
      </c>
      <c r="H37" s="17">
        <f>G37/(COUNTA(Clearances!$A:$A)-1)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COUNTIFS(Clearances!$E:$E,$A38,Clearances!$B:$B,"Tower A")</f>
        <v/>
      </c>
      <c r="D38" s="17">
        <f>C38/COUNTIF(Clearances!$B:$B,"Tower A")</f>
        <v/>
      </c>
      <c r="E38" s="10">
        <f>COUNTIFS(Clearances!$E:$E,$A38,Clearances!$B:$B,"Tower B")</f>
        <v/>
      </c>
      <c r="F38" s="17">
        <f>E38/COUNTIF(Clearances!$B:$B,"Tower B")</f>
        <v/>
      </c>
      <c r="G38" s="10">
        <f>C38+E38</f>
        <v/>
      </c>
      <c r="H38" s="17">
        <f>G38/(COUNTA(Clearances!$A:$A)-1)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COUNTIFS(Clearances!$E:$E,$A39,Clearances!$B:$B,"Tower A")</f>
        <v/>
      </c>
      <c r="D39" s="17">
        <f>C39/COUNTIF(Clearances!$B:$B,"Tower A")</f>
        <v/>
      </c>
      <c r="E39" s="10">
        <f>COUNTIFS(Clearances!$E:$E,$A39,Clearances!$B:$B,"Tower B")</f>
        <v/>
      </c>
      <c r="F39" s="17">
        <f>E39/COUNTIF(Clearances!$B:$B,"Tower B")</f>
        <v/>
      </c>
      <c r="G39" s="10">
        <f>C39+E39</f>
        <v/>
      </c>
      <c r="H39" s="17">
        <f>G39/(COUNTA(Clearances!$A:$A)-1)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COUNTIFS(Clearances!$E:$E,$A40,Clearances!$B:$B,"Tower A")</f>
        <v/>
      </c>
      <c r="D40" s="17">
        <f>C40/COUNTIF(Clearances!$B:$B,"Tower A")</f>
        <v/>
      </c>
      <c r="E40" s="10">
        <f>COUNTIFS(Clearances!$E:$E,$A40,Clearances!$B:$B,"Tower B")</f>
        <v/>
      </c>
      <c r="F40" s="17">
        <f>E40/COUNTIF(Clearances!$B:$B,"Tower B")</f>
        <v/>
      </c>
      <c r="G40" s="10">
        <f>C40+E40</f>
        <v/>
      </c>
      <c r="H40" s="17">
        <f>G40/(COUNTA(Clearances!$A:$A)-1)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COUNTIFS(Clearances!$E:$E,$A41,Clearances!$B:$B,"Tower A")</f>
        <v/>
      </c>
      <c r="D41" s="17">
        <f>C41/COUNTIF(Clearances!$B:$B,"Tower A")</f>
        <v/>
      </c>
      <c r="E41" s="10">
        <f>COUNTIFS(Clearances!$E:$E,$A41,Clearances!$B:$B,"Tower B")</f>
        <v/>
      </c>
      <c r="F41" s="17">
        <f>E41/COUNTIF(Clearances!$B:$B,"Tower B")</f>
        <v/>
      </c>
      <c r="G41" s="10">
        <f>C41+E41</f>
        <v/>
      </c>
      <c r="H41" s="17">
        <f>G41/(COUNTA(Clearances!$A:$A)-1)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COUNTIFS(Clearances!$E:$E,$A42,Clearances!$B:$B,"Tower A")</f>
        <v/>
      </c>
      <c r="D42" s="17">
        <f>C42/COUNTIF(Clearances!$B:$B,"Tower A")</f>
        <v/>
      </c>
      <c r="E42" s="10">
        <f>COUNTIFS(Clearances!$E:$E,$A42,Clearances!$B:$B,"Tower B")</f>
        <v/>
      </c>
      <c r="F42" s="17">
        <f>E42/COUNTIF(Clearances!$B:$B,"Tower B")</f>
        <v/>
      </c>
      <c r="G42" s="10">
        <f>C42+E42</f>
        <v/>
      </c>
      <c r="H42" s="17">
        <f>G42/(COUNTA(Clearances!$A:$A)-1)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COUNTIFS(Clearances!$E:$E,$A43,Clearances!$B:$B,"Tower A")</f>
        <v/>
      </c>
      <c r="D43" s="17">
        <f>C43/COUNTIF(Clearances!$B:$B,"Tower A")</f>
        <v/>
      </c>
      <c r="E43" s="10">
        <f>COUNTIFS(Clearances!$E:$E,$A43,Clearances!$B:$B,"Tower B")</f>
        <v/>
      </c>
      <c r="F43" s="17">
        <f>E43/COUNTIF(Clearances!$B:$B,"Tower B")</f>
        <v/>
      </c>
      <c r="G43" s="10">
        <f>C43+E43</f>
        <v/>
      </c>
      <c r="H43" s="17">
        <f>G43/(COUNTA(Clearances!$A:$A)-1)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COUNTIFS(Clearances!$E:$E,$A44,Clearances!$B:$B,"Tower A")</f>
        <v/>
      </c>
      <c r="D44" s="17">
        <f>C44/COUNTIF(Clearances!$B:$B,"Tower A")</f>
        <v/>
      </c>
      <c r="E44" s="10">
        <f>COUNTIFS(Clearances!$E:$E,$A44,Clearances!$B:$B,"Tower B")</f>
        <v/>
      </c>
      <c r="F44" s="17">
        <f>E44/COUNTIF(Clearances!$B:$B,"Tower B")</f>
        <v/>
      </c>
      <c r="G44" s="10">
        <f>C44+E44</f>
        <v/>
      </c>
      <c r="H44" s="17">
        <f>G44/(COUNTA(Clearances!$A:$A)-1)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COUNTIFS(Clearances!$E:$E,$A45,Clearances!$B:$B,"Tower A")</f>
        <v/>
      </c>
      <c r="D45" s="17">
        <f>C45/COUNTIF(Clearances!$B:$B,"Tower A")</f>
        <v/>
      </c>
      <c r="E45" s="10">
        <f>COUNTIFS(Clearances!$E:$E,$A45,Clearances!$B:$B,"Tower B")</f>
        <v/>
      </c>
      <c r="F45" s="17">
        <f>E45/COUNTIF(Clearances!$B:$B,"Tower B")</f>
        <v/>
      </c>
      <c r="G45" s="10">
        <f>C45+E45</f>
        <v/>
      </c>
      <c r="H45" s="17">
        <f>G45/(COUNTA(Clearances!$A:$A)-1)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COUNTIFS(Clearances!$E:$E,$A46,Clearances!$B:$B,"Tower A")</f>
        <v/>
      </c>
      <c r="D46" s="17">
        <f>C46/COUNTIF(Clearances!$B:$B,"Tower A")</f>
        <v/>
      </c>
      <c r="E46" s="10">
        <f>COUNTIFS(Clearances!$E:$E,$A46,Clearances!$B:$B,"Tower B")</f>
        <v/>
      </c>
      <c r="F46" s="17">
        <f>E46/COUNTIF(Clearances!$B:$B,"Tower B")</f>
        <v/>
      </c>
      <c r="G46" s="10">
        <f>C46+E46</f>
        <v/>
      </c>
      <c r="H46" s="17">
        <f>G46/(COUNTA(Clearances!$A:$A)-1)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COUNTIFS(Clearances!$E:$E,$A47,Clearances!$B:$B,"Tower A")</f>
        <v/>
      </c>
      <c r="D47" s="17">
        <f>C47/COUNTIF(Clearances!$B:$B,"Tower A")</f>
        <v/>
      </c>
      <c r="E47" s="10">
        <f>COUNTIFS(Clearances!$E:$E,$A47,Clearances!$B:$B,"Tower B")</f>
        <v/>
      </c>
      <c r="F47" s="17">
        <f>E47/COUNTIF(Clearances!$B:$B,"Tower B")</f>
        <v/>
      </c>
      <c r="G47" s="10">
        <f>C47+E47</f>
        <v/>
      </c>
      <c r="H47" s="17">
        <f>G47/(COUNTA(Clearances!$A:$A)-1)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COUNTIFS(Clearances!$E:$E,$A48,Clearances!$B:$B,"Tower A")</f>
        <v/>
      </c>
      <c r="D48" s="17">
        <f>C48/COUNTIF(Clearances!$B:$B,"Tower A")</f>
        <v/>
      </c>
      <c r="E48" s="10">
        <f>COUNTIFS(Clearances!$E:$E,$A48,Clearances!$B:$B,"Tower B")</f>
        <v/>
      </c>
      <c r="F48" s="17">
        <f>E48/COUNTIF(Clearances!$B:$B,"Tower B")</f>
        <v/>
      </c>
      <c r="G48" s="10">
        <f>C48+E48</f>
        <v/>
      </c>
      <c r="H48" s="17">
        <f>G48/(COUNTA(Clearances!$A:$A)-1)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COUNTIFS(Clearances!$E:$E,$A49,Clearances!$B:$B,"Tower A")</f>
        <v/>
      </c>
      <c r="D49" s="17">
        <f>C49/COUNTIF(Clearances!$B:$B,"Tower A")</f>
        <v/>
      </c>
      <c r="E49" s="10">
        <f>COUNTIFS(Clearances!$E:$E,$A49,Clearances!$B:$B,"Tower B")</f>
        <v/>
      </c>
      <c r="F49" s="17">
        <f>E49/COUNTIF(Clearances!$B:$B,"Tower B")</f>
        <v/>
      </c>
      <c r="G49" s="10">
        <f>C49+E49</f>
        <v/>
      </c>
      <c r="H49" s="17">
        <f>G49/(COUNTA(Clearances!$A:$A)-1)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COUNTIFS(Clearances!$E:$E,$A50,Clearances!$B:$B,"Tower A")</f>
        <v/>
      </c>
      <c r="D50" s="17">
        <f>C50/COUNTIF(Clearances!$B:$B,"Tower A")</f>
        <v/>
      </c>
      <c r="E50" s="10">
        <f>COUNTIFS(Clearances!$E:$E,$A50,Clearances!$B:$B,"Tower B")</f>
        <v/>
      </c>
      <c r="F50" s="17">
        <f>E50/COUNTIF(Clearances!$B:$B,"Tower B")</f>
        <v/>
      </c>
      <c r="G50" s="10">
        <f>C50+E50</f>
        <v/>
      </c>
      <c r="H50" s="17">
        <f>G50/(COUNTA(Clearances!$A:$A)-1)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COUNTIFS(Clearances!$E:$E,$A51,Clearances!$B:$B,"Tower A")</f>
        <v/>
      </c>
      <c r="D51" s="17">
        <f>C51/COUNTIF(Clearances!$B:$B,"Tower A")</f>
        <v/>
      </c>
      <c r="E51" s="10">
        <f>COUNTIFS(Clearances!$E:$E,$A51,Clearances!$B:$B,"Tower B")</f>
        <v/>
      </c>
      <c r="F51" s="17">
        <f>E51/COUNTIF(Clearances!$B:$B,"Tower B")</f>
        <v/>
      </c>
      <c r="G51" s="10">
        <f>C51+E51</f>
        <v/>
      </c>
      <c r="H51" s="17">
        <f>G51/(COUNTA(Clearances!$A:$A)-1)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COUNTIFS(Clearances!$E:$E,$A52,Clearances!$B:$B,"Tower A")</f>
        <v/>
      </c>
      <c r="D52" s="17">
        <f>C52/COUNTIF(Clearances!$B:$B,"Tower A")</f>
        <v/>
      </c>
      <c r="E52" s="10">
        <f>COUNTIFS(Clearances!$E:$E,$A52,Clearances!$B:$B,"Tower B")</f>
        <v/>
      </c>
      <c r="F52" s="17">
        <f>E52/COUNTIF(Clearances!$B:$B,"Tower B")</f>
        <v/>
      </c>
      <c r="G52" s="10">
        <f>C52+E52</f>
        <v/>
      </c>
      <c r="H52" s="17">
        <f>G52/(COUNTA(Clearances!$A:$A)-1)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COUNTIFS(Clearances!$E:$E,$A53,Clearances!$B:$B,"Tower A")</f>
        <v/>
      </c>
      <c r="D53" s="17">
        <f>C53/COUNTIF(Clearances!$B:$B,"Tower A")</f>
        <v/>
      </c>
      <c r="E53" s="10">
        <f>COUNTIFS(Clearances!$E:$E,$A53,Clearances!$B:$B,"Tower B")</f>
        <v/>
      </c>
      <c r="F53" s="17">
        <f>E53/COUNTIF(Clearances!$B:$B,"Tower B")</f>
        <v/>
      </c>
      <c r="G53" s="10">
        <f>C53+E53</f>
        <v/>
      </c>
      <c r="H53" s="17">
        <f>G53/(COUNTA(Clearances!$A:$A)-1)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COUNTIFS(Clearances!$E:$E,$A54,Clearances!$B:$B,"Tower A")</f>
        <v/>
      </c>
      <c r="D54" s="17">
        <f>C54/COUNTIF(Clearances!$B:$B,"Tower A")</f>
        <v/>
      </c>
      <c r="E54" s="10">
        <f>COUNTIFS(Clearances!$E:$E,$A54,Clearances!$B:$B,"Tower B")</f>
        <v/>
      </c>
      <c r="F54" s="17">
        <f>E54/COUNTIF(Clearances!$B:$B,"Tower B")</f>
        <v/>
      </c>
      <c r="G54" s="10">
        <f>C54+E54</f>
        <v/>
      </c>
      <c r="H54" s="17">
        <f>G54/(COUNTA(Clearances!$A:$A)-1)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COUNTIFS(Clearances!$E:$E,$A55,Clearances!$B:$B,"Tower A")</f>
        <v/>
      </c>
      <c r="D55" s="17">
        <f>C55/COUNTIF(Clearances!$B:$B,"Tower A")</f>
        <v/>
      </c>
      <c r="E55" s="10">
        <f>COUNTIFS(Clearances!$E:$E,$A55,Clearances!$B:$B,"Tower B")</f>
        <v/>
      </c>
      <c r="F55" s="17">
        <f>E55/COUNTIF(Clearances!$B:$B,"Tower B")</f>
        <v/>
      </c>
      <c r="G55" s="10">
        <f>C55+E55</f>
        <v/>
      </c>
      <c r="H55" s="17">
        <f>G55/(COUNTA(Clearances!$A:$A)-1)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COUNTIFS(Clearances!$E:$E,$A56,Clearances!$B:$B,"Tower A")</f>
        <v/>
      </c>
      <c r="D56" s="17">
        <f>C56/COUNTIF(Clearances!$B:$B,"Tower A")</f>
        <v/>
      </c>
      <c r="E56" s="10">
        <f>COUNTIFS(Clearances!$E:$E,$A56,Clearances!$B:$B,"Tower B")</f>
        <v/>
      </c>
      <c r="F56" s="17">
        <f>E56/COUNTIF(Clearances!$B:$B,"Tower B")</f>
        <v/>
      </c>
      <c r="G56" s="10">
        <f>C56+E56</f>
        <v/>
      </c>
      <c r="H56" s="17">
        <f>G56/(COUNTA(Clearances!$A:$A)-1)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COUNTIFS(Clearances!$E:$E,$A57,Clearances!$B:$B,"Tower A")</f>
        <v/>
      </c>
      <c r="D57" s="17">
        <f>C57/COUNTIF(Clearances!$B:$B,"Tower A")</f>
        <v/>
      </c>
      <c r="E57" s="10">
        <f>COUNTIFS(Clearances!$E:$E,$A57,Clearances!$B:$B,"Tower B")</f>
        <v/>
      </c>
      <c r="F57" s="17">
        <f>E57/COUNTIF(Clearances!$B:$B,"Tower B")</f>
        <v/>
      </c>
      <c r="G57" s="10">
        <f>C57+E57</f>
        <v/>
      </c>
      <c r="H57" s="17">
        <f>G57/(COUNTA(Clearances!$A:$A)-1)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COUNTIFS(Clearances!$E:$E,$A58,Clearances!$B:$B,"Tower A")</f>
        <v/>
      </c>
      <c r="D58" s="17">
        <f>C58/COUNTIF(Clearances!$B:$B,"Tower A")</f>
        <v/>
      </c>
      <c r="E58" s="10">
        <f>COUNTIFS(Clearances!$E:$E,$A58,Clearances!$B:$B,"Tower B")</f>
        <v/>
      </c>
      <c r="F58" s="17">
        <f>E58/COUNTIF(Clearances!$B:$B,"Tower B")</f>
        <v/>
      </c>
      <c r="G58" s="10">
        <f>C58+E58</f>
        <v/>
      </c>
      <c r="H58" s="17">
        <f>G58/(COUNTA(Clearances!$A:$A)-1)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COUNTIFS(Clearances!$E:$E,$A59,Clearances!$B:$B,"Tower A")</f>
        <v/>
      </c>
      <c r="D59" s="17">
        <f>C59/COUNTIF(Clearances!$B:$B,"Tower A")</f>
        <v/>
      </c>
      <c r="E59" s="10">
        <f>COUNTIFS(Clearances!$E:$E,$A59,Clearances!$B:$B,"Tower B")</f>
        <v/>
      </c>
      <c r="F59" s="17">
        <f>E59/COUNTIF(Clearances!$B:$B,"Tower B")</f>
        <v/>
      </c>
      <c r="G59" s="10">
        <f>C59+E59</f>
        <v/>
      </c>
      <c r="H59" s="17">
        <f>G59/(COUNTA(Clearances!$A:$A)-1)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COUNTIFS(Clearances!$E:$E,$A60,Clearances!$B:$B,"Tower A")</f>
        <v/>
      </c>
      <c r="D60" s="17">
        <f>C60/COUNTIF(Clearances!$B:$B,"Tower A")</f>
        <v/>
      </c>
      <c r="E60" s="10">
        <f>COUNTIFS(Clearances!$E:$E,$A60,Clearances!$B:$B,"Tower B")</f>
        <v/>
      </c>
      <c r="F60" s="17">
        <f>E60/COUNTIF(Clearances!$B:$B,"Tower B")</f>
        <v/>
      </c>
      <c r="G60" s="10">
        <f>C60+E60</f>
        <v/>
      </c>
      <c r="H60" s="17">
        <f>G60/(COUNTA(Clearances!$A:$A)-1)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COUNTIFS(Clearances!$E:$E,$A61,Clearances!$B:$B,"Tower A")</f>
        <v/>
      </c>
      <c r="D61" s="17">
        <f>C61/COUNTIF(Clearances!$B:$B,"Tower A")</f>
        <v/>
      </c>
      <c r="E61" s="10">
        <f>COUNTIFS(Clearances!$E:$E,$A61,Clearances!$B:$B,"Tower B")</f>
        <v/>
      </c>
      <c r="F61" s="17">
        <f>E61/COUNTIF(Clearances!$B:$B,"Tower B")</f>
        <v/>
      </c>
      <c r="G61" s="10">
        <f>C61+E61</f>
        <v/>
      </c>
      <c r="H61" s="17">
        <f>G61/(COUNTA(Clearances!$A:$A)-1)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COUNTIFS(Clearances!$E:$E,$A62,Clearances!$B:$B,"Tower A")</f>
        <v/>
      </c>
      <c r="D62" s="17">
        <f>C62/COUNTIF(Clearances!$B:$B,"Tower A")</f>
        <v/>
      </c>
      <c r="E62" s="10">
        <f>COUNTIFS(Clearances!$E:$E,$A62,Clearances!$B:$B,"Tower B")</f>
        <v/>
      </c>
      <c r="F62" s="17">
        <f>E62/COUNTIF(Clearances!$B:$B,"Tower B")</f>
        <v/>
      </c>
      <c r="G62" s="10">
        <f>C62+E62</f>
        <v/>
      </c>
      <c r="H62" s="17">
        <f>G62/(COUNTA(Clearances!$A:$A)-1)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60" customWidth="1" style="10" min="3" max="3"/>
    <col width="1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inlineStr">
        <is>
          <t>Counts as</t>
        </is>
      </c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</t>
        </is>
      </c>
      <c r="B2" s="29" t="inlineStr">
        <is>
          <t>#00B050</t>
        </is>
      </c>
      <c r="C2" s="10" t="inlineStr">
        <is>
          <t>Approved</t>
        </is>
      </c>
      <c r="D2" t="inlineStr">
        <is>
          <t>approved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</t>
        </is>
      </c>
      <c r="B3" s="29" t="inlineStr">
        <is>
          <t>#00B050</t>
        </is>
      </c>
      <c r="C3" s="10" t="inlineStr">
        <is>
          <t>Approved as Noted</t>
        </is>
      </c>
      <c r="D3" t="inlineStr">
        <is>
          <t>approved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UR</t>
        </is>
      </c>
      <c r="B4" s="30" t="inlineStr">
        <is>
          <t>#FFC000</t>
        </is>
      </c>
      <c r="C4" s="10" t="inlineStr">
        <is>
          <t>Under Review</t>
        </is>
      </c>
      <c r="D4" t="inlineStr">
        <is>
          <t>review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C</t>
        </is>
      </c>
      <c r="B5" s="31" t="inlineStr">
        <is>
          <t>#FF0000</t>
        </is>
      </c>
      <c r="C5" s="10" t="inlineStr">
        <is>
          <t>Code C - Revise &amp; Resubmit</t>
        </is>
      </c>
      <c r="D5" t="inlineStr">
        <is>
          <t>revise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TBS</t>
        </is>
      </c>
      <c r="B6" s="32" t="inlineStr">
        <is>
          <t>#BFBFBF</t>
        </is>
      </c>
      <c r="C6" s="10" t="inlineStr">
        <is>
          <t>To Be Submitted</t>
        </is>
      </c>
      <c r="D6" t="inlineStr">
        <is>
          <t>pending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Coordinated</t>
        </is>
      </c>
      <c r="B7" s="33" t="inlineStr">
        <is>
          <t>#B6E3A3</t>
        </is>
      </c>
      <c r="C7" s="10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 s="11">
      <c r="A8" s="28" t="n"/>
      <c r="B8" s="28" t="n"/>
      <c r="C8" s="22" t="n"/>
      <c r="D8" s="22" t="n"/>
    </row>
    <row r="9" ht="15" customHeight="1" s="11">
      <c r="A9" s="28" t="n"/>
      <c r="B9" s="28" t="n"/>
      <c r="C9" s="28" t="n"/>
      <c r="D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  <row r="64">
      <c r="A64" s="22" t="n"/>
      <c r="B64" s="22" t="n"/>
      <c r="C64" s="22" t="n"/>
      <c r="D64" s="22" t="n"/>
      <c r="E64" s="22" t="n"/>
      <c r="F64" s="22" t="n"/>
    </row>
    <row r="65">
      <c r="A65" s="22" t="n"/>
      <c r="B65" s="22" t="n"/>
      <c r="C65" s="22" t="n"/>
      <c r="D65" s="22" t="n"/>
      <c r="E65" s="22" t="n"/>
      <c r="F65" s="22" t="n"/>
    </row>
    <row r="66">
      <c r="A66" s="22" t="n"/>
      <c r="B66" s="22" t="n"/>
      <c r="C66" s="22" t="n"/>
      <c r="D66" s="22" t="n"/>
      <c r="E66" s="22" t="n"/>
      <c r="F66" s="22" t="n"/>
    </row>
    <row r="67">
      <c r="A67" s="22" t="n"/>
      <c r="B67" s="22" t="n"/>
      <c r="C67" s="22" t="n"/>
      <c r="D67" s="22" t="n"/>
      <c r="E67" s="22" t="n"/>
      <c r="F67" s="22" t="n"/>
    </row>
    <row r="68">
      <c r="A68" s="22" t="n"/>
      <c r="B68" s="22" t="n"/>
      <c r="C68" s="22" t="n"/>
      <c r="D68" s="22" t="n"/>
      <c r="E68" s="22" t="n"/>
      <c r="F68" s="22" t="n"/>
    </row>
    <row r="69">
      <c r="A69" s="22" t="n"/>
      <c r="B69" s="22" t="n"/>
      <c r="C69" s="22" t="n"/>
      <c r="D69" s="22" t="n"/>
      <c r="E69" s="22" t="n"/>
      <c r="F69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19" t="inlineStr">
        <is>
          <t>Data last updated</t>
        </is>
      </c>
      <c r="B4" s="26" t="n"/>
      <c r="C4" s="19" t="inlineStr">
        <is>
          <t>Type the date you last updated this file – shown on every page</t>
        </is>
      </c>
    </row>
    <row r="5" ht="15" customHeight="1" s="11">
      <c r="A5" s="19" t="inlineStr">
        <is>
          <t>Updated by</t>
        </is>
      </c>
      <c r="B5" s="26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2026-10-09T11:52:16Z</dcterms:modified>
  <cp:revision>0</cp:revision>
</cp:coreProperties>
</file>