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ooms" sheetId="2" state="visible" r:id="rId2"/>
    <sheet xmlns:r="http://schemas.openxmlformats.org/officeDocument/2006/relationships" name="Types" sheetId="3" state="visible" r:id="rId3"/>
    <sheet xmlns:r="http://schemas.openxmlformats.org/officeDocument/2006/relationships" name="Fields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Lists" sheetId="6" state="visible" r:id="rId6"/>
    <sheet xmlns:r="http://schemas.openxmlformats.org/officeDocument/2006/relationships" name="Config" sheetId="7" state="visible" r:id="rId7"/>
  </sheets>
  <definedNames>
    <definedName name="_xlnm._FilterDatabase" localSheetId="1" hidden="1">'Rooms'!$A$1:$M$554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\-mmm\-yyyy"/>
    <numFmt numFmtId="165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1F3A5F"/>
      <sz val="14"/>
    </font>
    <font>
      <name val="Cambria"/>
      <charset val="1"/>
      <family val="0"/>
      <color rgb="FF000000"/>
      <sz val="11"/>
    </font>
    <font>
      <name val="Cambria"/>
      <charset val="1"/>
      <family val="0"/>
      <b val="1"/>
      <color rgb="FF1F3A5F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0" customWidth="1" style="10" min="1" max="1"/>
  </cols>
  <sheetData>
    <row r="1" ht="17.9" customHeight="1" s="11">
      <c r="A1" s="12" t="inlineStr">
        <is>
          <t>WPH – Room QR Status Register</t>
        </is>
      </c>
    </row>
    <row r="2" ht="28.35" customHeight="1" s="11">
      <c r="A2" s="13" t="inlineStr">
        <is>
          <t>This workbook is the single data source for the room QR codes. Each QR code opens a web page that reads THIS file, so whatever is saved here is what people see when they scan.</t>
        </is>
      </c>
    </row>
    <row r="3" ht="15" customHeight="1" s="11">
      <c r="A3" s="13" t="n"/>
    </row>
    <row r="4" ht="15" customHeight="1" s="11">
      <c r="A4" s="14" t="inlineStr">
        <is>
          <t>HOW TO UPDATE</t>
        </is>
      </c>
    </row>
    <row r="5" ht="15" customHeight="1" s="11">
      <c r="A5" s="13" t="inlineStr">
        <is>
          <t>1. Edit the Rooms sheet (per-room data: clearances, remarks) or the Types sheet (per-typology data: shop drawing status). Use the drop-down lists.</t>
        </is>
      </c>
    </row>
    <row r="6" ht="15" customHeight="1" s="11">
      <c r="A6" s="13" t="inlineStr">
        <is>
          <t>2. Save the file (keep the same file name: WPH_Room_Register.xlsx).</t>
        </is>
      </c>
    </row>
    <row r="7" ht="15" customHeight="1" s="11">
      <c r="A7" s="13" t="inlineStr">
        <is>
          <t>3. Upload it to the GitHub repository (Add file &gt; Upload files, replace the old one). The QR pages update within a few minutes.</t>
        </is>
      </c>
    </row>
    <row r="8" ht="15" customHeight="1" s="11">
      <c r="A8" s="13" t="n"/>
    </row>
    <row r="9" ht="15" customHeight="1" s="11">
      <c r="A9" s="14" t="inlineStr">
        <is>
          <t>HOW VALUES ARE RESOLVED</t>
        </is>
      </c>
    </row>
    <row r="10" ht="15" customHeight="1" s="11">
      <c r="A10" s="13" t="inlineStr">
        <is>
          <t>• Types sheet = default per room type (e.g. ID shop drawing status of K01C applies to every K01C room).</t>
        </is>
      </c>
    </row>
    <row r="11" ht="15" customHeight="1" s="11">
      <c r="A11" s="13" t="inlineStr">
        <is>
          <t>• Rooms sheet = per room. If a column with the same header exists in Rooms and is filled, it overrides the Types value for that room only.</t>
        </is>
      </c>
    </row>
    <row r="12" ht="15" customHeight="1" s="11">
      <c r="A12" s="13" t="inlineStr">
        <is>
          <t>• Room counts and percentages are calculated automatically by the page from the Rooms sheet. Do not type them.</t>
        </is>
      </c>
    </row>
    <row r="13" ht="15" customHeight="1" s="11">
      <c r="A13" s="13" t="n"/>
    </row>
    <row r="14" ht="15" customHeight="1" s="11">
      <c r="A14" s="14" t="inlineStr">
        <is>
          <t>HOW TO ADD NEW INFORMATION (no code changes)</t>
        </is>
      </c>
    </row>
    <row r="15" ht="15" customHeight="1" s="11">
      <c r="A15" s="13" t="inlineStr">
        <is>
          <t>1. Add a new column to Rooms (per room) or Types (per type) with a clear header, e.g. "Snagging Status".</t>
        </is>
      </c>
    </row>
    <row r="16" ht="28.35" customHeight="1" s="11">
      <c r="A16" s="13" t="inlineStr">
        <is>
          <t>2. Add one row to the Fields sheet: Column = exact header, Label = text shown on the phone, Section = group heading, Order = position, Show = Y, Format = status / date / text.</t>
        </is>
      </c>
    </row>
    <row r="17" ht="15" customHeight="1" s="11">
      <c r="A17" s="13" t="inlineStr">
        <is>
          <t xml:space="preserve">   If you skip step 2 the new column still appears on the page, under "Other information".</t>
        </is>
      </c>
    </row>
    <row r="18" ht="15" customHeight="1" s="11">
      <c r="A18" s="13" t="inlineStr">
        <is>
          <t>3. New status words can be added to the Lists sheet with a colour (green / amber / red / blue / grey).</t>
        </is>
      </c>
    </row>
    <row r="19" ht="15" customHeight="1" s="11">
      <c r="A19" s="13" t="n"/>
    </row>
    <row r="20" ht="15" customHeight="1" s="11">
      <c r="A20" s="14" t="inlineStr">
        <is>
          <t>ROOM IDENTIFICATION</t>
        </is>
      </c>
    </row>
    <row r="21" ht="15" customHeight="1" s="11">
      <c r="A21" s="13" t="inlineStr">
        <is>
          <t>QR ID = Tower - Level - Room Type, as per the Room Typology drawings and Room Matrix, e.g. A-L02-F03 = Tower A, Level 02, Family room type F03.</t>
        </is>
      </c>
    </row>
    <row r="22" ht="28.35" customHeight="1" s="11">
      <c r="A22" s="13" t="inlineStr">
        <is>
          <t>Where the same room type appears more than once on a level, a sequence number is added (-01, -02 ...) numbered in DSA room-tag order, e.g. A-L02-Q01C-01, A-L02-Q01C-02, A-L02-Q01C-03.</t>
        </is>
      </c>
    </row>
    <row r="23" ht="15" customHeight="1" s="11">
      <c r="A23" s="13" t="inlineStr">
        <is>
          <t>The DSA room tag from the drawings (e.g. AL02G03) is kept in the column "DSA Room Tag" for cross-reference.</t>
        </is>
      </c>
    </row>
    <row r="24" ht="28.35" customHeight="1" s="11">
      <c r="A24" s="13" t="inlineStr">
        <is>
          <t>5 rooms have no room tag on the typology drawings; their tag was inferred from the same position on the adjacent floor (column "ID Source"): AL07G03 (S08), BL08G88 &amp; BL09G88 (F02), BL08G75 &amp; BL09G75 (PS03).</t>
        </is>
      </c>
    </row>
    <row r="25" ht="15" customHeight="1" s="11">
      <c r="A25" s="13" t="n"/>
    </row>
    <row r="26" ht="15" customHeight="1" s="11">
      <c r="A26" s="14" t="inlineStr">
        <is>
          <t>DRAWING vs. MATRIX CHECK</t>
        </is>
      </c>
    </row>
    <row r="27" ht="28.35" customHeight="1" s="11">
      <c r="A27" s="13" t="inlineStr">
        <is>
          <t xml:space="preserve">Total rooms on the typology drawings = 553 (Tower A 279, Tower B 274) – matches the Guest Room Matrix total. Room-type counts per tower and level checked against the Room Matrix. Differences: </t>
        </is>
      </c>
    </row>
    <row r="28" ht="28.35" customHeight="1" s="11">
      <c r="A28" s="13" t="inlineStr">
        <is>
      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5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8" customWidth="1" style="10" min="2" max="3"/>
    <col width="9" customWidth="1" style="10" min="4" max="4"/>
    <col width="11" customWidth="1" style="10" min="5" max="5"/>
    <col width="15" customWidth="1" style="10" min="6" max="6"/>
    <col width="18" customWidth="1" style="10" min="7" max="7"/>
    <col width="14" customWidth="1" style="10" min="8" max="8"/>
    <col width="18" customWidth="1" style="10" min="9" max="9"/>
    <col width="14" customWidth="1" style="10" min="10" max="10"/>
    <col width="40" customWidth="1" style="10" min="11" max="11"/>
    <col width="22" customWidth="1" style="10" min="12" max="12"/>
    <col width="60" customWidth="1" style="10" min="13" max="13"/>
  </cols>
  <sheetData>
    <row r="1" ht="33.75" customHeight="1" s="11">
      <c r="A1" s="15" t="inlineStr">
        <is>
          <t>QR ID</t>
        </is>
      </c>
      <c r="B1" s="15" t="inlineStr">
        <is>
          <t>Tower</t>
        </is>
      </c>
      <c r="C1" s="15" t="inlineStr">
        <is>
          <t>Level</t>
        </is>
      </c>
      <c r="D1" s="15" t="inlineStr">
        <is>
          <t>DSA Room Tag</t>
        </is>
      </c>
      <c r="E1" s="15" t="inlineStr">
        <is>
          <t>Room Type</t>
        </is>
      </c>
      <c r="F1" s="15" t="inlineStr">
        <is>
          <t>Room Category</t>
        </is>
      </c>
      <c r="G1" s="15" t="inlineStr">
        <is>
          <t>MEP Clearance</t>
        </is>
      </c>
      <c r="H1" s="15" t="inlineStr">
        <is>
          <t>MEP Clearance Date</t>
        </is>
      </c>
      <c r="I1" s="15" t="inlineStr">
        <is>
          <t>ELV Clearance</t>
        </is>
      </c>
      <c r="J1" s="15" t="inlineStr">
        <is>
          <t>ELV Clearance Date</t>
        </is>
      </c>
      <c r="K1" s="15" t="inlineStr">
        <is>
          <t>Remarks</t>
        </is>
      </c>
      <c r="L1" s="15" t="inlineStr">
        <is>
          <t>ID Source</t>
        </is>
      </c>
      <c r="M1" s="15" t="inlineStr">
        <is>
          <t>QR URL</t>
        </is>
      </c>
    </row>
    <row r="2" ht="15" customHeight="1" s="11">
      <c r="A2" s="10" t="inlineStr">
        <is>
          <t>A-L02-BS</t>
        </is>
      </c>
      <c r="B2" s="10" t="inlineStr">
        <is>
          <t>Tower A</t>
        </is>
      </c>
      <c r="C2" s="10" t="inlineStr">
        <is>
          <t>L02</t>
        </is>
      </c>
      <c r="D2" s="10" t="inlineStr">
        <is>
          <t>AL02G04</t>
        </is>
      </c>
      <c r="E2" s="10" t="inlineStr">
        <is>
          <t>BS</t>
        </is>
      </c>
      <c r="F2" s="10" t="inlineStr">
        <is>
          <t>Suite</t>
        </is>
      </c>
      <c r="H2" s="16" t="n"/>
      <c r="J2" s="16" t="n"/>
      <c r="L2" s="10" t="inlineStr">
        <is>
          <t>Type per Room Matrix (drawing shows BS01)</t>
        </is>
      </c>
      <c r="M2" s="10">
        <f>Config!$B$3&amp;"?room="&amp;A2</f>
        <v/>
      </c>
    </row>
    <row r="3" ht="15" customHeight="1" s="11">
      <c r="A3" s="10" t="inlineStr">
        <is>
          <t>A-L02-F03</t>
        </is>
      </c>
      <c r="B3" s="10" t="inlineStr">
        <is>
          <t>Tower A</t>
        </is>
      </c>
      <c r="C3" s="10" t="inlineStr">
        <is>
          <t>L02</t>
        </is>
      </c>
      <c r="D3" s="10" t="inlineStr">
        <is>
          <t>AL02G03</t>
        </is>
      </c>
      <c r="E3" s="10" t="inlineStr">
        <is>
          <t>F03</t>
        </is>
      </c>
      <c r="F3" s="10" t="inlineStr">
        <is>
          <t>Family</t>
        </is>
      </c>
      <c r="G3" s="10" t="inlineStr">
        <is>
          <t>Provided</t>
        </is>
      </c>
      <c r="H3" s="16" t="n">
        <v>46301</v>
      </c>
      <c r="I3" s="10" t="inlineStr">
        <is>
          <t>Provided</t>
        </is>
      </c>
      <c r="J3" s="16" t="n">
        <v>46301</v>
      </c>
      <c r="L3" s="10" t="inlineStr">
        <is>
          <t>Typology drawing R01</t>
        </is>
      </c>
      <c r="M3" s="10">
        <f>Config!$B$3&amp;"?room="&amp;A3</f>
        <v/>
      </c>
    </row>
    <row r="4" ht="15" customHeight="1" s="11">
      <c r="A4" s="10" t="inlineStr">
        <is>
          <t>A-L02-F04</t>
        </is>
      </c>
      <c r="B4" s="10" t="inlineStr">
        <is>
          <t>Tower A</t>
        </is>
      </c>
      <c r="C4" s="10" t="inlineStr">
        <is>
          <t>L02</t>
        </is>
      </c>
      <c r="D4" s="10" t="inlineStr">
        <is>
          <t>AL02G11</t>
        </is>
      </c>
      <c r="E4" s="10" t="inlineStr">
        <is>
          <t>F04</t>
        </is>
      </c>
      <c r="F4" s="10" t="inlineStr">
        <is>
          <t>Family</t>
        </is>
      </c>
      <c r="H4" s="16" t="n"/>
      <c r="J4" s="16" t="n"/>
      <c r="L4" s="10" t="inlineStr">
        <is>
          <t>Typology drawing R01</t>
        </is>
      </c>
      <c r="M4" s="10">
        <f>Config!$B$3&amp;"?room="&amp;A4</f>
        <v/>
      </c>
    </row>
    <row r="5" ht="15" customHeight="1" s="11">
      <c r="A5" s="10" t="inlineStr">
        <is>
          <t>A-L02-FADA</t>
        </is>
      </c>
      <c r="B5" s="10" t="inlineStr">
        <is>
          <t>Tower A</t>
        </is>
      </c>
      <c r="C5" s="10" t="inlineStr">
        <is>
          <t>L02</t>
        </is>
      </c>
      <c r="D5" s="10" t="inlineStr">
        <is>
          <t>AL02G46</t>
        </is>
      </c>
      <c r="E5" s="10" t="inlineStr">
        <is>
          <t>FADA</t>
        </is>
      </c>
      <c r="F5" s="10" t="inlineStr">
        <is>
          <t>Family ADA</t>
        </is>
      </c>
      <c r="H5" s="16" t="n"/>
      <c r="J5" s="16" t="n"/>
      <c r="L5" s="10" t="inlineStr">
        <is>
          <t>Typology drawing R01</t>
        </is>
      </c>
      <c r="M5" s="10">
        <f>Config!$B$3&amp;"?room="&amp;A5</f>
        <v/>
      </c>
    </row>
    <row r="6" ht="15" customHeight="1" s="11">
      <c r="A6" s="10" t="inlineStr">
        <is>
          <t>A-L02-K01-01</t>
        </is>
      </c>
      <c r="B6" s="10" t="inlineStr">
        <is>
          <t>Tower A</t>
        </is>
      </c>
      <c r="C6" s="10" t="inlineStr">
        <is>
          <t>L02</t>
        </is>
      </c>
      <c r="D6" s="10" t="inlineStr">
        <is>
          <t>AL02G19</t>
        </is>
      </c>
      <c r="E6" s="10" t="inlineStr">
        <is>
          <t>K01</t>
        </is>
      </c>
      <c r="F6" s="10" t="inlineStr">
        <is>
          <t>King</t>
        </is>
      </c>
      <c r="H6" s="16" t="n"/>
      <c r="J6" s="16" t="n"/>
      <c r="L6" s="10" t="inlineStr">
        <is>
          <t>Typology drawing R01</t>
        </is>
      </c>
      <c r="M6" s="10">
        <f>Config!$B$3&amp;"?room="&amp;A6</f>
        <v/>
      </c>
    </row>
    <row r="7" ht="15" customHeight="1" s="11">
      <c r="A7" s="10" t="inlineStr">
        <is>
          <t>A-L02-K01-02</t>
        </is>
      </c>
      <c r="B7" s="10" t="inlineStr">
        <is>
          <t>Tower A</t>
        </is>
      </c>
      <c r="C7" s="10" t="inlineStr">
        <is>
          <t>L02</t>
        </is>
      </c>
      <c r="D7" s="10" t="inlineStr">
        <is>
          <t>AL02G23</t>
        </is>
      </c>
      <c r="E7" s="10" t="inlineStr">
        <is>
          <t>K01</t>
        </is>
      </c>
      <c r="F7" s="10" t="inlineStr">
        <is>
          <t>King</t>
        </is>
      </c>
      <c r="H7" s="16" t="n"/>
      <c r="J7" s="16" t="n"/>
      <c r="L7" s="10" t="inlineStr">
        <is>
          <t>Typology drawing R01</t>
        </is>
      </c>
      <c r="M7" s="10">
        <f>Config!$B$3&amp;"?room="&amp;A7</f>
        <v/>
      </c>
    </row>
    <row r="8" ht="15" customHeight="1" s="11">
      <c r="A8" s="10" t="inlineStr">
        <is>
          <t>A-L02-K01-03</t>
        </is>
      </c>
      <c r="B8" s="10" t="inlineStr">
        <is>
          <t>Tower A</t>
        </is>
      </c>
      <c r="C8" s="10" t="inlineStr">
        <is>
          <t>L02</t>
        </is>
      </c>
      <c r="D8" s="10" t="inlineStr">
        <is>
          <t>AL02G27</t>
        </is>
      </c>
      <c r="E8" s="10" t="inlineStr">
        <is>
          <t>K01</t>
        </is>
      </c>
      <c r="F8" s="10" t="inlineStr">
        <is>
          <t>King</t>
        </is>
      </c>
      <c r="H8" s="16" t="n"/>
      <c r="J8" s="16" t="n"/>
      <c r="L8" s="10" t="inlineStr">
        <is>
          <t>Typology drawing R01</t>
        </is>
      </c>
      <c r="M8" s="10">
        <f>Config!$B$3&amp;"?room="&amp;A8</f>
        <v/>
      </c>
    </row>
    <row r="9" ht="15" customHeight="1" s="11">
      <c r="A9" s="10" t="inlineStr">
        <is>
          <t>A-L02-K01B-01</t>
        </is>
      </c>
      <c r="B9" s="10" t="inlineStr">
        <is>
          <t>Tower A</t>
        </is>
      </c>
      <c r="C9" s="10" t="inlineStr">
        <is>
          <t>L02</t>
        </is>
      </c>
      <c r="D9" s="10" t="inlineStr">
        <is>
          <t>AL02G26</t>
        </is>
      </c>
      <c r="E9" s="10" t="inlineStr">
        <is>
          <t>K01B</t>
        </is>
      </c>
      <c r="F9" s="10" t="inlineStr">
        <is>
          <t>King</t>
        </is>
      </c>
      <c r="H9" s="16" t="n"/>
      <c r="J9" s="16" t="n"/>
      <c r="L9" s="10" t="inlineStr">
        <is>
          <t>Typology drawing R01</t>
        </is>
      </c>
      <c r="M9" s="10">
        <f>Config!$B$3&amp;"?room="&amp;A9</f>
        <v/>
      </c>
    </row>
    <row r="10" ht="15" customHeight="1" s="11">
      <c r="A10" s="10" t="inlineStr">
        <is>
          <t>A-L02-K01B-02</t>
        </is>
      </c>
      <c r="B10" s="10" t="inlineStr">
        <is>
          <t>Tower A</t>
        </is>
      </c>
      <c r="C10" s="10" t="inlineStr">
        <is>
          <t>L02</t>
        </is>
      </c>
      <c r="D10" s="10" t="inlineStr">
        <is>
          <t>AL02G30</t>
        </is>
      </c>
      <c r="E10" s="10" t="inlineStr">
        <is>
          <t>K01B</t>
        </is>
      </c>
      <c r="F10" s="10" t="inlineStr">
        <is>
          <t>King</t>
        </is>
      </c>
      <c r="H10" s="16" t="n"/>
      <c r="J10" s="16" t="n"/>
      <c r="L10" s="10" t="inlineStr">
        <is>
          <t>Typology drawing R01</t>
        </is>
      </c>
      <c r="M10" s="10">
        <f>Config!$B$3&amp;"?room="&amp;A10</f>
        <v/>
      </c>
    </row>
    <row r="11" ht="15" customHeight="1" s="11">
      <c r="A11" s="10" t="inlineStr">
        <is>
          <t>A-L02-K01C-01</t>
        </is>
      </c>
      <c r="B11" s="10" t="inlineStr">
        <is>
          <t>Tower A</t>
        </is>
      </c>
      <c r="C11" s="10" t="inlineStr">
        <is>
          <t>L02</t>
        </is>
      </c>
      <c r="D11" s="10" t="inlineStr">
        <is>
          <t>AL02G07</t>
        </is>
      </c>
      <c r="E11" s="10" t="inlineStr">
        <is>
          <t>K01C</t>
        </is>
      </c>
      <c r="F11" s="10" t="inlineStr">
        <is>
          <t>King</t>
        </is>
      </c>
      <c r="H11" s="16" t="n"/>
      <c r="J11" s="16" t="n"/>
      <c r="L11" s="10" t="inlineStr">
        <is>
          <t>Typology drawing R01</t>
        </is>
      </c>
      <c r="M11" s="10">
        <f>Config!$B$3&amp;"?room="&amp;A11</f>
        <v/>
      </c>
    </row>
    <row r="12" ht="15" customHeight="1" s="11">
      <c r="A12" s="10" t="inlineStr">
        <is>
          <t>A-L02-K01C-02</t>
        </is>
      </c>
      <c r="B12" s="10" t="inlineStr">
        <is>
          <t>Tower A</t>
        </is>
      </c>
      <c r="C12" s="10" t="inlineStr">
        <is>
          <t>L02</t>
        </is>
      </c>
      <c r="D12" s="10" t="inlineStr">
        <is>
          <t>AL02G31</t>
        </is>
      </c>
      <c r="E12" s="10" t="inlineStr">
        <is>
          <t>K01C</t>
        </is>
      </c>
      <c r="F12" s="10" t="inlineStr">
        <is>
          <t>King</t>
        </is>
      </c>
      <c r="H12" s="16" t="n"/>
      <c r="J12" s="16" t="n"/>
      <c r="L12" s="10" t="inlineStr">
        <is>
          <t>Typology drawing R01</t>
        </is>
      </c>
      <c r="M12" s="10">
        <f>Config!$B$3&amp;"?room="&amp;A12</f>
        <v/>
      </c>
    </row>
    <row r="13" ht="15" customHeight="1" s="11">
      <c r="A13" s="10" t="inlineStr">
        <is>
          <t>A-L02-K01C-03</t>
        </is>
      </c>
      <c r="B13" s="10" t="inlineStr">
        <is>
          <t>Tower A</t>
        </is>
      </c>
      <c r="C13" s="10" t="inlineStr">
        <is>
          <t>L02</t>
        </is>
      </c>
      <c r="D13" s="10" t="inlineStr">
        <is>
          <t>AL02G35</t>
        </is>
      </c>
      <c r="E13" s="10" t="inlineStr">
        <is>
          <t>K01C</t>
        </is>
      </c>
      <c r="F13" s="10" t="inlineStr">
        <is>
          <t>King</t>
        </is>
      </c>
      <c r="H13" s="16" t="n"/>
      <c r="J13" s="16" t="n"/>
      <c r="L13" s="10" t="inlineStr">
        <is>
          <t>Typology drawing R01</t>
        </is>
      </c>
      <c r="M13" s="10">
        <f>Config!$B$3&amp;"?room="&amp;A13</f>
        <v/>
      </c>
    </row>
    <row r="14" ht="15" customHeight="1" s="11">
      <c r="A14" s="10" t="inlineStr">
        <is>
          <t>A-L02-K01D</t>
        </is>
      </c>
      <c r="B14" s="10" t="inlineStr">
        <is>
          <t>Tower A</t>
        </is>
      </c>
      <c r="C14" s="10" t="inlineStr">
        <is>
          <t>L02</t>
        </is>
      </c>
      <c r="D14" s="10" t="inlineStr">
        <is>
          <t>AL02G39</t>
        </is>
      </c>
      <c r="E14" s="10" t="inlineStr">
        <is>
          <t>K01D</t>
        </is>
      </c>
      <c r="F14" s="10" t="inlineStr">
        <is>
          <t>King</t>
        </is>
      </c>
      <c r="H14" s="16" t="n"/>
      <c r="J14" s="16" t="n"/>
      <c r="L14" s="10" t="inlineStr">
        <is>
          <t>Typology drawing R01</t>
        </is>
      </c>
      <c r="M14" s="10">
        <f>Config!$B$3&amp;"?room="&amp;A14</f>
        <v/>
      </c>
    </row>
    <row r="15" ht="15" customHeight="1" s="11">
      <c r="A15" s="10" t="inlineStr">
        <is>
          <t>A-L02-K02-01</t>
        </is>
      </c>
      <c r="B15" s="10" t="inlineStr">
        <is>
          <t>Tower A</t>
        </is>
      </c>
      <c r="C15" s="10" t="inlineStr">
        <is>
          <t>L02</t>
        </is>
      </c>
      <c r="D15" s="10" t="inlineStr">
        <is>
          <t>AL02G25</t>
        </is>
      </c>
      <c r="E15" s="10" t="inlineStr">
        <is>
          <t>K02</t>
        </is>
      </c>
      <c r="F15" s="10" t="inlineStr">
        <is>
          <t>King</t>
        </is>
      </c>
      <c r="H15" s="16" t="n"/>
      <c r="J15" s="16" t="n"/>
      <c r="L15" s="10" t="inlineStr">
        <is>
          <t>Typology drawing R01</t>
        </is>
      </c>
      <c r="M15" s="10">
        <f>Config!$B$3&amp;"?room="&amp;A15</f>
        <v/>
      </c>
    </row>
    <row r="16" ht="15" customHeight="1" s="11">
      <c r="A16" s="10" t="inlineStr">
        <is>
          <t>A-L02-K02-02</t>
        </is>
      </c>
      <c r="B16" s="10" t="inlineStr">
        <is>
          <t>Tower A</t>
        </is>
      </c>
      <c r="C16" s="10" t="inlineStr">
        <is>
          <t>L02</t>
        </is>
      </c>
      <c r="D16" s="10" t="inlineStr">
        <is>
          <t>AL02G29</t>
        </is>
      </c>
      <c r="E16" s="10" t="inlineStr">
        <is>
          <t>K02</t>
        </is>
      </c>
      <c r="F16" s="10" t="inlineStr">
        <is>
          <t>King</t>
        </is>
      </c>
      <c r="H16" s="16" t="n"/>
      <c r="J16" s="16" t="n"/>
      <c r="L16" s="10" t="inlineStr">
        <is>
          <t>Typology drawing R01</t>
        </is>
      </c>
      <c r="M16" s="10">
        <f>Config!$B$3&amp;"?room="&amp;A16</f>
        <v/>
      </c>
    </row>
    <row r="17" ht="15" customHeight="1" s="11">
      <c r="A17" s="10" t="inlineStr">
        <is>
          <t>A-L02-K02B-01</t>
        </is>
      </c>
      <c r="B17" s="10" t="inlineStr">
        <is>
          <t>Tower A</t>
        </is>
      </c>
      <c r="C17" s="10" t="inlineStr">
        <is>
          <t>L02</t>
        </is>
      </c>
      <c r="D17" s="10" t="inlineStr">
        <is>
          <t>AL02G24</t>
        </is>
      </c>
      <c r="E17" s="10" t="inlineStr">
        <is>
          <t>K02B</t>
        </is>
      </c>
      <c r="F17" s="10" t="inlineStr">
        <is>
          <t>King</t>
        </is>
      </c>
      <c r="H17" s="16" t="n"/>
      <c r="J17" s="16" t="n"/>
      <c r="L17" s="10" t="inlineStr">
        <is>
          <t>Typology drawing R01</t>
        </is>
      </c>
      <c r="M17" s="10">
        <f>Config!$B$3&amp;"?room="&amp;A17</f>
        <v/>
      </c>
    </row>
    <row r="18" ht="15" customHeight="1" s="11">
      <c r="A18" s="10" t="inlineStr">
        <is>
          <t>A-L02-K02B-02</t>
        </is>
      </c>
      <c r="B18" s="10" t="inlineStr">
        <is>
          <t>Tower A</t>
        </is>
      </c>
      <c r="C18" s="10" t="inlineStr">
        <is>
          <t>L02</t>
        </is>
      </c>
      <c r="D18" s="10" t="inlineStr">
        <is>
          <t>AL02G28</t>
        </is>
      </c>
      <c r="E18" s="10" t="inlineStr">
        <is>
          <t>K02B</t>
        </is>
      </c>
      <c r="F18" s="10" t="inlineStr">
        <is>
          <t>King</t>
        </is>
      </c>
      <c r="H18" s="16" t="n"/>
      <c r="J18" s="16" t="n"/>
      <c r="L18" s="10" t="inlineStr">
        <is>
          <t>Typology drawing R01</t>
        </is>
      </c>
      <c r="M18" s="10">
        <f>Config!$B$3&amp;"?room="&amp;A18</f>
        <v/>
      </c>
    </row>
    <row r="19" ht="15" customHeight="1" s="11">
      <c r="A19" s="10" t="inlineStr">
        <is>
          <t>A-L02-K02B-03</t>
        </is>
      </c>
      <c r="B19" s="10" t="inlineStr">
        <is>
          <t>Tower A</t>
        </is>
      </c>
      <c r="C19" s="10" t="inlineStr">
        <is>
          <t>L02</t>
        </is>
      </c>
      <c r="D19" s="10" t="inlineStr">
        <is>
          <t>AL02G36</t>
        </is>
      </c>
      <c r="E19" s="10" t="inlineStr">
        <is>
          <t>K02B</t>
        </is>
      </c>
      <c r="F19" s="10" t="inlineStr">
        <is>
          <t>King</t>
        </is>
      </c>
      <c r="H19" s="16" t="n"/>
      <c r="J19" s="16" t="n"/>
      <c r="L19" s="10" t="inlineStr">
        <is>
          <t>Typology drawing R01</t>
        </is>
      </c>
      <c r="M19" s="10">
        <f>Config!$B$3&amp;"?room="&amp;A19</f>
        <v/>
      </c>
    </row>
    <row r="20" ht="15" customHeight="1" s="11">
      <c r="A20" s="10" t="inlineStr">
        <is>
          <t>A-L02-K02C2-01</t>
        </is>
      </c>
      <c r="B20" s="10" t="inlineStr">
        <is>
          <t>Tower A</t>
        </is>
      </c>
      <c r="C20" s="10" t="inlineStr">
        <is>
          <t>L02</t>
        </is>
      </c>
      <c r="D20" s="10" t="inlineStr">
        <is>
          <t>AL02G20</t>
        </is>
      </c>
      <c r="E20" s="10" t="inlineStr">
        <is>
          <t>K02C2</t>
        </is>
      </c>
      <c r="F20" s="10" t="inlineStr">
        <is>
          <t>King</t>
        </is>
      </c>
      <c r="H20" s="16" t="n"/>
      <c r="J20" s="16" t="n"/>
      <c r="L20" s="10" t="inlineStr">
        <is>
          <t>Typology drawing R01</t>
        </is>
      </c>
      <c r="M20" s="10">
        <f>Config!$B$3&amp;"?room="&amp;A20</f>
        <v/>
      </c>
    </row>
    <row r="21" ht="15" customHeight="1" s="11">
      <c r="A21" s="10" t="inlineStr">
        <is>
          <t>A-L02-K02C2-02</t>
        </is>
      </c>
      <c r="B21" s="10" t="inlineStr">
        <is>
          <t>Tower A</t>
        </is>
      </c>
      <c r="C21" s="10" t="inlineStr">
        <is>
          <t>L02</t>
        </is>
      </c>
      <c r="D21" s="10" t="inlineStr">
        <is>
          <t>AL02G32</t>
        </is>
      </c>
      <c r="E21" s="10" t="inlineStr">
        <is>
          <t>K02C2</t>
        </is>
      </c>
      <c r="F21" s="10" t="inlineStr">
        <is>
          <t>King</t>
        </is>
      </c>
      <c r="H21" s="16" t="n"/>
      <c r="J21" s="16" t="n"/>
      <c r="L21" s="10" t="inlineStr">
        <is>
          <t>Typology drawing R01</t>
        </is>
      </c>
      <c r="M21" s="10">
        <f>Config!$B$3&amp;"?room="&amp;A21</f>
        <v/>
      </c>
    </row>
    <row r="22" ht="15" customHeight="1" s="11">
      <c r="A22" s="10" t="inlineStr">
        <is>
          <t>A-L02-K02D1</t>
        </is>
      </c>
      <c r="B22" s="10" t="inlineStr">
        <is>
          <t>Tower A</t>
        </is>
      </c>
      <c r="C22" s="10" t="inlineStr">
        <is>
          <t>L02</t>
        </is>
      </c>
      <c r="D22" s="10" t="inlineStr">
        <is>
          <t>AL02G12</t>
        </is>
      </c>
      <c r="E22" s="10" t="inlineStr">
        <is>
          <t>K02D1</t>
        </is>
      </c>
      <c r="F22" s="10" t="inlineStr">
        <is>
          <t>King</t>
        </is>
      </c>
      <c r="H22" s="16" t="n"/>
      <c r="J22" s="16" t="n"/>
      <c r="L22" s="10" t="inlineStr">
        <is>
          <t>Typology drawing R01</t>
        </is>
      </c>
      <c r="M22" s="10">
        <f>Config!$B$3&amp;"?room="&amp;A22</f>
        <v/>
      </c>
    </row>
    <row r="23" ht="15" customHeight="1" s="11">
      <c r="A23" s="10" t="inlineStr">
        <is>
          <t>A-L02-Q01</t>
        </is>
      </c>
      <c r="B23" s="10" t="inlineStr">
        <is>
          <t>Tower A</t>
        </is>
      </c>
      <c r="C23" s="10" t="inlineStr">
        <is>
          <t>L02</t>
        </is>
      </c>
      <c r="D23" s="10" t="inlineStr">
        <is>
          <t>AL02G21</t>
        </is>
      </c>
      <c r="E23" s="10" t="inlineStr">
        <is>
          <t>Q01</t>
        </is>
      </c>
      <c r="F23" s="10" t="inlineStr">
        <is>
          <t>Queen</t>
        </is>
      </c>
      <c r="H23" s="16" t="n"/>
      <c r="J23" s="16" t="n"/>
      <c r="L23" s="10" t="inlineStr">
        <is>
          <t>Typology drawing R01</t>
        </is>
      </c>
      <c r="M23" s="10">
        <f>Config!$B$3&amp;"?room="&amp;A23</f>
        <v/>
      </c>
    </row>
    <row r="24" ht="15" customHeight="1" s="11">
      <c r="A24" s="10" t="inlineStr">
        <is>
          <t>A-L02-Q01C-01</t>
        </is>
      </c>
      <c r="B24" s="10" t="inlineStr">
        <is>
          <t>Tower A</t>
        </is>
      </c>
      <c r="C24" s="10" t="inlineStr">
        <is>
          <t>L02</t>
        </is>
      </c>
      <c r="D24" s="10" t="inlineStr">
        <is>
          <t>AL02G05</t>
        </is>
      </c>
      <c r="E24" s="10" t="inlineStr">
        <is>
          <t>Q01C</t>
        </is>
      </c>
      <c r="F24" s="10" t="inlineStr">
        <is>
          <t>Queen</t>
        </is>
      </c>
      <c r="H24" s="16" t="n"/>
      <c r="J24" s="16" t="n"/>
      <c r="L24" s="10" t="inlineStr">
        <is>
          <t>Typology drawing R01</t>
        </is>
      </c>
      <c r="M24" s="10">
        <f>Config!$B$3&amp;"?room="&amp;A24</f>
        <v/>
      </c>
    </row>
    <row r="25" ht="15" customHeight="1" s="11">
      <c r="A25" s="10" t="inlineStr">
        <is>
          <t>A-L02-Q01C-02</t>
        </is>
      </c>
      <c r="B25" s="10" t="inlineStr">
        <is>
          <t>Tower A</t>
        </is>
      </c>
      <c r="C25" s="10" t="inlineStr">
        <is>
          <t>L02</t>
        </is>
      </c>
      <c r="D25" s="10" t="inlineStr">
        <is>
          <t>AL02G09</t>
        </is>
      </c>
      <c r="E25" s="10" t="inlineStr">
        <is>
          <t>Q01C</t>
        </is>
      </c>
      <c r="F25" s="10" t="inlineStr">
        <is>
          <t>Queen</t>
        </is>
      </c>
      <c r="H25" s="16" t="n"/>
      <c r="J25" s="16" t="n"/>
      <c r="L25" s="10" t="inlineStr">
        <is>
          <t>Typology drawing R01</t>
        </is>
      </c>
      <c r="M25" s="10">
        <f>Config!$B$3&amp;"?room="&amp;A25</f>
        <v/>
      </c>
    </row>
    <row r="26" ht="15" customHeight="1" s="11">
      <c r="A26" s="10" t="inlineStr">
        <is>
          <t>A-L02-Q01C-03</t>
        </is>
      </c>
      <c r="B26" s="10" t="inlineStr">
        <is>
          <t>Tower A</t>
        </is>
      </c>
      <c r="C26" s="10" t="inlineStr">
        <is>
          <t>L02</t>
        </is>
      </c>
      <c r="D26" s="10" t="inlineStr">
        <is>
          <t>AL02G33</t>
        </is>
      </c>
      <c r="E26" s="10" t="inlineStr">
        <is>
          <t>Q01C</t>
        </is>
      </c>
      <c r="F26" s="10" t="inlineStr">
        <is>
          <t>Queen</t>
        </is>
      </c>
      <c r="H26" s="16" t="n"/>
      <c r="J26" s="16" t="n"/>
      <c r="L26" s="10" t="inlineStr">
        <is>
          <t>Typology drawing R01</t>
        </is>
      </c>
      <c r="M26" s="10">
        <f>Config!$B$3&amp;"?room="&amp;A26</f>
        <v/>
      </c>
    </row>
    <row r="27" ht="15" customHeight="1" s="11">
      <c r="A27" s="10" t="inlineStr">
        <is>
          <t>A-L02-Q01C1</t>
        </is>
      </c>
      <c r="B27" s="10" t="inlineStr">
        <is>
          <t>Tower A</t>
        </is>
      </c>
      <c r="C27" s="10" t="inlineStr">
        <is>
          <t>L02</t>
        </is>
      </c>
      <c r="D27" s="10" t="inlineStr">
        <is>
          <t>AL02G14</t>
        </is>
      </c>
      <c r="E27" s="10" t="inlineStr">
        <is>
          <t>Q01C1</t>
        </is>
      </c>
      <c r="F27" s="10" t="inlineStr">
        <is>
          <t>Queen</t>
        </is>
      </c>
      <c r="H27" s="16" t="n"/>
      <c r="J27" s="16" t="n"/>
      <c r="L27" s="10" t="inlineStr">
        <is>
          <t>Typology drawing R01</t>
        </is>
      </c>
      <c r="M27" s="10">
        <f>Config!$B$3&amp;"?room="&amp;A27</f>
        <v/>
      </c>
    </row>
    <row r="28" ht="15" customHeight="1" s="11">
      <c r="A28" s="10" t="inlineStr">
        <is>
          <t>A-L02-Q02A</t>
        </is>
      </c>
      <c r="B28" s="10" t="inlineStr">
        <is>
          <t>Tower A</t>
        </is>
      </c>
      <c r="C28" s="10" t="inlineStr">
        <is>
          <t>L02</t>
        </is>
      </c>
      <c r="D28" s="10" t="inlineStr">
        <is>
          <t>AL02G10</t>
        </is>
      </c>
      <c r="E28" s="10" t="inlineStr">
        <is>
          <t>Q02A</t>
        </is>
      </c>
      <c r="F28" s="10" t="inlineStr">
        <is>
          <t>Queen</t>
        </is>
      </c>
      <c r="H28" s="16" t="n"/>
      <c r="J28" s="16" t="n"/>
      <c r="L28" s="10" t="inlineStr">
        <is>
          <t>Typology drawing R01</t>
        </is>
      </c>
      <c r="M28" s="10">
        <f>Config!$B$3&amp;"?room="&amp;A28</f>
        <v/>
      </c>
    </row>
    <row r="29" ht="15" customHeight="1" s="11">
      <c r="A29" s="10" t="inlineStr">
        <is>
          <t>A-L02-Q02C2-01</t>
        </is>
      </c>
      <c r="B29" s="10" t="inlineStr">
        <is>
          <t>Tower A</t>
        </is>
      </c>
      <c r="C29" s="10" t="inlineStr">
        <is>
          <t>L02</t>
        </is>
      </c>
      <c r="D29" s="10" t="inlineStr">
        <is>
          <t>AL02G22</t>
        </is>
      </c>
      <c r="E29" s="10" t="inlineStr">
        <is>
          <t>Q02C2</t>
        </is>
      </c>
      <c r="F29" s="10" t="inlineStr">
        <is>
          <t>Queen</t>
        </is>
      </c>
      <c r="H29" s="16" t="n"/>
      <c r="J29" s="16" t="n"/>
      <c r="L29" s="10" t="inlineStr">
        <is>
          <t>Typology drawing R01</t>
        </is>
      </c>
      <c r="M29" s="10">
        <f>Config!$B$3&amp;"?room="&amp;A29</f>
        <v/>
      </c>
    </row>
    <row r="30" ht="15" customHeight="1" s="11">
      <c r="A30" s="10" t="inlineStr">
        <is>
          <t>A-L02-Q02C2-02</t>
        </is>
      </c>
      <c r="B30" s="10" t="inlineStr">
        <is>
          <t>Tower A</t>
        </is>
      </c>
      <c r="C30" s="10" t="inlineStr">
        <is>
          <t>L02</t>
        </is>
      </c>
      <c r="D30" s="10" t="inlineStr">
        <is>
          <t>AL02G34</t>
        </is>
      </c>
      <c r="E30" s="10" t="inlineStr">
        <is>
          <t>Q02C2</t>
        </is>
      </c>
      <c r="F30" s="10" t="inlineStr">
        <is>
          <t>Queen</t>
        </is>
      </c>
      <c r="H30" s="16" t="n"/>
      <c r="J30" s="16" t="n"/>
      <c r="L30" s="10" t="inlineStr">
        <is>
          <t>Typology drawing R01</t>
        </is>
      </c>
      <c r="M30" s="10">
        <f>Config!$B$3&amp;"?room="&amp;A30</f>
        <v/>
      </c>
    </row>
    <row r="31" ht="15" customHeight="1" s="11">
      <c r="A31" s="10" t="inlineStr">
        <is>
          <t>A-L02-Q02E</t>
        </is>
      </c>
      <c r="B31" s="10" t="inlineStr">
        <is>
          <t>Tower A</t>
        </is>
      </c>
      <c r="C31" s="10" t="inlineStr">
        <is>
          <t>L02</t>
        </is>
      </c>
      <c r="D31" s="10" t="inlineStr">
        <is>
          <t>AL02G41</t>
        </is>
      </c>
      <c r="E31" s="10" t="inlineStr">
        <is>
          <t>Q02E</t>
        </is>
      </c>
      <c r="F31" s="10" t="inlineStr">
        <is>
          <t>Queen</t>
        </is>
      </c>
      <c r="H31" s="16" t="n"/>
      <c r="J31" s="16" t="n"/>
      <c r="L31" s="10" t="inlineStr">
        <is>
          <t>Typology drawing R01</t>
        </is>
      </c>
      <c r="M31" s="10">
        <f>Config!$B$3&amp;"?room="&amp;A31</f>
        <v/>
      </c>
    </row>
    <row r="32" ht="15" customHeight="1" s="11">
      <c r="A32" s="10" t="inlineStr">
        <is>
          <t>A-L02-Q03</t>
        </is>
      </c>
      <c r="B32" s="10" t="inlineStr">
        <is>
          <t>Tower A</t>
        </is>
      </c>
      <c r="C32" s="10" t="inlineStr">
        <is>
          <t>L02</t>
        </is>
      </c>
      <c r="D32" s="10" t="inlineStr">
        <is>
          <t>AL02G08</t>
        </is>
      </c>
      <c r="E32" s="10" t="inlineStr">
        <is>
          <t>Q03</t>
        </is>
      </c>
      <c r="F32" s="10" t="inlineStr">
        <is>
          <t>Queen</t>
        </is>
      </c>
      <c r="H32" s="16" t="n"/>
      <c r="J32" s="16" t="n"/>
      <c r="L32" s="10" t="inlineStr">
        <is>
          <t>Typology drawing R01</t>
        </is>
      </c>
      <c r="M32" s="10">
        <f>Config!$B$3&amp;"?room="&amp;A32</f>
        <v/>
      </c>
    </row>
    <row r="33" ht="15" customHeight="1" s="11">
      <c r="A33" s="10" t="inlineStr">
        <is>
          <t>A-L02-QADA1</t>
        </is>
      </c>
      <c r="B33" s="10" t="inlineStr">
        <is>
          <t>Tower A</t>
        </is>
      </c>
      <c r="C33" s="10" t="inlineStr">
        <is>
          <t>L02</t>
        </is>
      </c>
      <c r="D33" s="10" t="inlineStr">
        <is>
          <t>AL02G37</t>
        </is>
      </c>
      <c r="E33" s="10" t="inlineStr">
        <is>
          <t>QADA1</t>
        </is>
      </c>
      <c r="F33" s="10" t="inlineStr">
        <is>
          <t>Queen ADA</t>
        </is>
      </c>
      <c r="H33" s="16" t="n"/>
      <c r="J33" s="16" t="n"/>
      <c r="L33" s="10" t="inlineStr">
        <is>
          <t>Typology drawing R01</t>
        </is>
      </c>
      <c r="M33" s="10">
        <f>Config!$B$3&amp;"?room="&amp;A33</f>
        <v/>
      </c>
    </row>
    <row r="34" ht="15" customHeight="1" s="11">
      <c r="A34" s="10" t="inlineStr">
        <is>
          <t>A-L02-S05</t>
        </is>
      </c>
      <c r="B34" s="10" t="inlineStr">
        <is>
          <t>Tower A</t>
        </is>
      </c>
      <c r="C34" s="10" t="inlineStr">
        <is>
          <t>L02</t>
        </is>
      </c>
      <c r="D34" s="10" t="inlineStr">
        <is>
          <t>AL02G16</t>
        </is>
      </c>
      <c r="E34" s="10" t="inlineStr">
        <is>
          <t>S05</t>
        </is>
      </c>
      <c r="F34" s="10" t="inlineStr">
        <is>
          <t>Suite</t>
        </is>
      </c>
      <c r="H34" s="16" t="n"/>
      <c r="J34" s="16" t="n"/>
      <c r="L34" s="10" t="inlineStr">
        <is>
          <t>Typology drawing R01</t>
        </is>
      </c>
      <c r="M34" s="10">
        <f>Config!$B$3&amp;"?room="&amp;A34</f>
        <v/>
      </c>
    </row>
    <row r="35" ht="15" customHeight="1" s="11">
      <c r="A35" s="10" t="inlineStr">
        <is>
          <t>A-L02-S06</t>
        </is>
      </c>
      <c r="B35" s="10" t="inlineStr">
        <is>
          <t>Tower A</t>
        </is>
      </c>
      <c r="C35" s="10" t="inlineStr">
        <is>
          <t>L02</t>
        </is>
      </c>
      <c r="D35" s="10" t="inlineStr">
        <is>
          <t>AL02G43</t>
        </is>
      </c>
      <c r="E35" s="10" t="inlineStr">
        <is>
          <t>S06</t>
        </is>
      </c>
      <c r="F35" s="10" t="inlineStr">
        <is>
          <t>Suite</t>
        </is>
      </c>
      <c r="H35" s="16" t="n"/>
      <c r="J35" s="16" t="n"/>
      <c r="L35" s="10" t="inlineStr">
        <is>
          <t>Typology drawing R01</t>
        </is>
      </c>
      <c r="M35" s="10">
        <f>Config!$B$3&amp;"?room="&amp;A35</f>
        <v/>
      </c>
    </row>
    <row r="36" ht="15" customHeight="1" s="11">
      <c r="A36" s="10" t="inlineStr">
        <is>
          <t>A-L03-F03</t>
        </is>
      </c>
      <c r="B36" s="10" t="inlineStr">
        <is>
          <t>Tower A</t>
        </is>
      </c>
      <c r="C36" s="10" t="inlineStr">
        <is>
          <t>L03</t>
        </is>
      </c>
      <c r="D36" s="10" t="inlineStr">
        <is>
          <t>AL03G03</t>
        </is>
      </c>
      <c r="E36" s="10" t="inlineStr">
        <is>
          <t>F03</t>
        </is>
      </c>
      <c r="F36" s="10" t="inlineStr">
        <is>
          <t>Family</t>
        </is>
      </c>
      <c r="H36" s="16" t="n"/>
      <c r="J36" s="16" t="n"/>
      <c r="L36" s="10" t="inlineStr">
        <is>
          <t>Typology drawing R01</t>
        </is>
      </c>
      <c r="M36" s="10">
        <f>Config!$B$3&amp;"?room="&amp;A36</f>
        <v/>
      </c>
    </row>
    <row r="37" ht="15" customHeight="1" s="11">
      <c r="A37" s="10" t="inlineStr">
        <is>
          <t>A-L03-F03A</t>
        </is>
      </c>
      <c r="B37" s="10" t="inlineStr">
        <is>
          <t>Tower A</t>
        </is>
      </c>
      <c r="C37" s="10" t="inlineStr">
        <is>
          <t>L03</t>
        </is>
      </c>
      <c r="D37" s="10" t="inlineStr">
        <is>
          <t>AL03G04</t>
        </is>
      </c>
      <c r="E37" s="10" t="inlineStr">
        <is>
          <t>F03A</t>
        </is>
      </c>
      <c r="F37" s="10" t="inlineStr">
        <is>
          <t>Family</t>
        </is>
      </c>
      <c r="H37" s="16" t="n"/>
      <c r="J37" s="16" t="n"/>
      <c r="L37" s="10" t="inlineStr">
        <is>
          <t>Typology drawing R01</t>
        </is>
      </c>
      <c r="M37" s="10">
        <f>Config!$B$3&amp;"?room="&amp;A37</f>
        <v/>
      </c>
    </row>
    <row r="38" ht="15" customHeight="1" s="11">
      <c r="A38" s="10" t="inlineStr">
        <is>
          <t>A-L03-F04</t>
        </is>
      </c>
      <c r="B38" s="10" t="inlineStr">
        <is>
          <t>Tower A</t>
        </is>
      </c>
      <c r="C38" s="10" t="inlineStr">
        <is>
          <t>L03</t>
        </is>
      </c>
      <c r="D38" s="10" t="inlineStr">
        <is>
          <t>AL03G11</t>
        </is>
      </c>
      <c r="E38" s="10" t="inlineStr">
        <is>
          <t>F04</t>
        </is>
      </c>
      <c r="F38" s="10" t="inlineStr">
        <is>
          <t>Family</t>
        </is>
      </c>
      <c r="H38" s="16" t="n"/>
      <c r="J38" s="16" t="n"/>
      <c r="L38" s="10" t="inlineStr">
        <is>
          <t>Typology drawing R01</t>
        </is>
      </c>
      <c r="M38" s="10">
        <f>Config!$B$3&amp;"?room="&amp;A38</f>
        <v/>
      </c>
    </row>
    <row r="39" ht="15" customHeight="1" s="11">
      <c r="A39" s="10" t="inlineStr">
        <is>
          <t>A-L03-F05</t>
        </is>
      </c>
      <c r="B39" s="10" t="inlineStr">
        <is>
          <t>Tower A</t>
        </is>
      </c>
      <c r="C39" s="10" t="inlineStr">
        <is>
          <t>L03</t>
        </is>
      </c>
      <c r="D39" s="10" t="inlineStr">
        <is>
          <t>AL03G46</t>
        </is>
      </c>
      <c r="E39" s="10" t="inlineStr">
        <is>
          <t>F05</t>
        </is>
      </c>
      <c r="F39" s="10" t="inlineStr">
        <is>
          <t>Family</t>
        </is>
      </c>
      <c r="H39" s="16" t="n"/>
      <c r="J39" s="16" t="n"/>
      <c r="L39" s="10" t="inlineStr">
        <is>
          <t>Typology drawing R01</t>
        </is>
      </c>
      <c r="M39" s="10">
        <f>Config!$B$3&amp;"?room="&amp;A39</f>
        <v/>
      </c>
    </row>
    <row r="40" ht="15" customHeight="1" s="11">
      <c r="A40" s="10" t="inlineStr">
        <is>
          <t>A-L03-K01-01</t>
        </is>
      </c>
      <c r="B40" s="10" t="inlineStr">
        <is>
          <t>Tower A</t>
        </is>
      </c>
      <c r="C40" s="10" t="inlineStr">
        <is>
          <t>L03</t>
        </is>
      </c>
      <c r="D40" s="10" t="inlineStr">
        <is>
          <t>AL03G19</t>
        </is>
      </c>
      <c r="E40" s="10" t="inlineStr">
        <is>
          <t>K01</t>
        </is>
      </c>
      <c r="F40" s="10" t="inlineStr">
        <is>
          <t>King</t>
        </is>
      </c>
      <c r="H40" s="16" t="n"/>
      <c r="J40" s="16" t="n"/>
      <c r="L40" s="10" t="inlineStr">
        <is>
          <t>Typology drawing R01</t>
        </is>
      </c>
      <c r="M40" s="10">
        <f>Config!$B$3&amp;"?room="&amp;A40</f>
        <v/>
      </c>
    </row>
    <row r="41" ht="15" customHeight="1" s="11">
      <c r="A41" s="10" t="inlineStr">
        <is>
          <t>A-L03-K01-02</t>
        </is>
      </c>
      <c r="B41" s="10" t="inlineStr">
        <is>
          <t>Tower A</t>
        </is>
      </c>
      <c r="C41" s="10" t="inlineStr">
        <is>
          <t>L03</t>
        </is>
      </c>
      <c r="D41" s="10" t="inlineStr">
        <is>
          <t>AL03G23</t>
        </is>
      </c>
      <c r="E41" s="10" t="inlineStr">
        <is>
          <t>K01</t>
        </is>
      </c>
      <c r="F41" s="10" t="inlineStr">
        <is>
          <t>King</t>
        </is>
      </c>
      <c r="H41" s="16" t="n"/>
      <c r="J41" s="16" t="n"/>
      <c r="L41" s="10" t="inlineStr">
        <is>
          <t>Typology drawing R01</t>
        </is>
      </c>
      <c r="M41" s="10">
        <f>Config!$B$3&amp;"?room="&amp;A41</f>
        <v/>
      </c>
    </row>
    <row r="42" ht="15" customHeight="1" s="11">
      <c r="A42" s="10" t="inlineStr">
        <is>
          <t>A-L03-K01-03</t>
        </is>
      </c>
      <c r="B42" s="10" t="inlineStr">
        <is>
          <t>Tower A</t>
        </is>
      </c>
      <c r="C42" s="10" t="inlineStr">
        <is>
          <t>L03</t>
        </is>
      </c>
      <c r="D42" s="10" t="inlineStr">
        <is>
          <t>AL03G27</t>
        </is>
      </c>
      <c r="E42" s="10" t="inlineStr">
        <is>
          <t>K01</t>
        </is>
      </c>
      <c r="F42" s="10" t="inlineStr">
        <is>
          <t>King</t>
        </is>
      </c>
      <c r="H42" s="16" t="n"/>
      <c r="J42" s="16" t="n"/>
      <c r="L42" s="10" t="inlineStr">
        <is>
          <t>Typology drawing R01</t>
        </is>
      </c>
      <c r="M42" s="10">
        <f>Config!$B$3&amp;"?room="&amp;A42</f>
        <v/>
      </c>
    </row>
    <row r="43" ht="15" customHeight="1" s="11">
      <c r="A43" s="10" t="inlineStr">
        <is>
          <t>A-L03-K01B-01</t>
        </is>
      </c>
      <c r="B43" s="10" t="inlineStr">
        <is>
          <t>Tower A</t>
        </is>
      </c>
      <c r="C43" s="10" t="inlineStr">
        <is>
          <t>L03</t>
        </is>
      </c>
      <c r="D43" s="10" t="inlineStr">
        <is>
          <t>AL03G26</t>
        </is>
      </c>
      <c r="E43" s="10" t="inlineStr">
        <is>
          <t>K01B</t>
        </is>
      </c>
      <c r="F43" s="10" t="inlineStr">
        <is>
          <t>King</t>
        </is>
      </c>
      <c r="H43" s="16" t="n"/>
      <c r="J43" s="16" t="n"/>
      <c r="L43" s="10" t="inlineStr">
        <is>
          <t>Typology drawing R01</t>
        </is>
      </c>
      <c r="M43" s="10">
        <f>Config!$B$3&amp;"?room="&amp;A43</f>
        <v/>
      </c>
    </row>
    <row r="44" ht="15" customHeight="1" s="11">
      <c r="A44" s="10" t="inlineStr">
        <is>
          <t>A-L03-K01B-02</t>
        </is>
      </c>
      <c r="B44" s="10" t="inlineStr">
        <is>
          <t>Tower A</t>
        </is>
      </c>
      <c r="C44" s="10" t="inlineStr">
        <is>
          <t>L03</t>
        </is>
      </c>
      <c r="D44" s="10" t="inlineStr">
        <is>
          <t>AL03G30</t>
        </is>
      </c>
      <c r="E44" s="10" t="inlineStr">
        <is>
          <t>K01B</t>
        </is>
      </c>
      <c r="F44" s="10" t="inlineStr">
        <is>
          <t>King</t>
        </is>
      </c>
      <c r="H44" s="16" t="n"/>
      <c r="J44" s="16" t="n"/>
      <c r="L44" s="10" t="inlineStr">
        <is>
          <t>Typology drawing R01</t>
        </is>
      </c>
      <c r="M44" s="10">
        <f>Config!$B$3&amp;"?room="&amp;A44</f>
        <v/>
      </c>
    </row>
    <row r="45" ht="15" customHeight="1" s="11">
      <c r="A45" s="10" t="inlineStr">
        <is>
          <t>A-L03-K01C-01</t>
        </is>
      </c>
      <c r="B45" s="10" t="inlineStr">
        <is>
          <t>Tower A</t>
        </is>
      </c>
      <c r="C45" s="10" t="inlineStr">
        <is>
          <t>L03</t>
        </is>
      </c>
      <c r="D45" s="10" t="inlineStr">
        <is>
          <t>AL03G07</t>
        </is>
      </c>
      <c r="E45" s="10" t="inlineStr">
        <is>
          <t>K01C</t>
        </is>
      </c>
      <c r="F45" s="10" t="inlineStr">
        <is>
          <t>King</t>
        </is>
      </c>
      <c r="H45" s="16" t="n"/>
      <c r="J45" s="16" t="n"/>
      <c r="L45" s="10" t="inlineStr">
        <is>
          <t>Typology drawing R01</t>
        </is>
      </c>
      <c r="M45" s="10">
        <f>Config!$B$3&amp;"?room="&amp;A45</f>
        <v/>
      </c>
    </row>
    <row r="46" ht="15" customHeight="1" s="11">
      <c r="A46" s="10" t="inlineStr">
        <is>
          <t>A-L03-K01C-02</t>
        </is>
      </c>
      <c r="B46" s="10" t="inlineStr">
        <is>
          <t>Tower A</t>
        </is>
      </c>
      <c r="C46" s="10" t="inlineStr">
        <is>
          <t>L03</t>
        </is>
      </c>
      <c r="D46" s="10" t="inlineStr">
        <is>
          <t>AL03G31</t>
        </is>
      </c>
      <c r="E46" s="10" t="inlineStr">
        <is>
          <t>K01C</t>
        </is>
      </c>
      <c r="F46" s="10" t="inlineStr">
        <is>
          <t>King</t>
        </is>
      </c>
      <c r="H46" s="16" t="n"/>
      <c r="J46" s="16" t="n"/>
      <c r="L46" s="10" t="inlineStr">
        <is>
          <t>Typology drawing R01</t>
        </is>
      </c>
      <c r="M46" s="10">
        <f>Config!$B$3&amp;"?room="&amp;A46</f>
        <v/>
      </c>
    </row>
    <row r="47" ht="15" customHeight="1" s="11">
      <c r="A47" s="10" t="inlineStr">
        <is>
          <t>A-L03-K01C-03</t>
        </is>
      </c>
      <c r="B47" s="10" t="inlineStr">
        <is>
          <t>Tower A</t>
        </is>
      </c>
      <c r="C47" s="10" t="inlineStr">
        <is>
          <t>L03</t>
        </is>
      </c>
      <c r="D47" s="10" t="inlineStr">
        <is>
          <t>AL03G35</t>
        </is>
      </c>
      <c r="E47" s="10" t="inlineStr">
        <is>
          <t>K01C</t>
        </is>
      </c>
      <c r="F47" s="10" t="inlineStr">
        <is>
          <t>King</t>
        </is>
      </c>
      <c r="H47" s="16" t="n"/>
      <c r="J47" s="16" t="n"/>
      <c r="L47" s="10" t="inlineStr">
        <is>
          <t>Typology drawing R01</t>
        </is>
      </c>
      <c r="M47" s="10">
        <f>Config!$B$3&amp;"?room="&amp;A47</f>
        <v/>
      </c>
    </row>
    <row r="48" ht="15" customHeight="1" s="11">
      <c r="A48" s="10" t="inlineStr">
        <is>
          <t>A-L03-K01D</t>
        </is>
      </c>
      <c r="B48" s="10" t="inlineStr">
        <is>
          <t>Tower A</t>
        </is>
      </c>
      <c r="C48" s="10" t="inlineStr">
        <is>
          <t>L03</t>
        </is>
      </c>
      <c r="D48" s="10" t="inlineStr">
        <is>
          <t>AL03G39</t>
        </is>
      </c>
      <c r="E48" s="10" t="inlineStr">
        <is>
          <t>K01D</t>
        </is>
      </c>
      <c r="F48" s="10" t="inlineStr">
        <is>
          <t>King</t>
        </is>
      </c>
      <c r="H48" s="16" t="n"/>
      <c r="J48" s="16" t="n"/>
      <c r="L48" s="10" t="inlineStr">
        <is>
          <t>Typology drawing R01</t>
        </is>
      </c>
      <c r="M48" s="10">
        <f>Config!$B$3&amp;"?room="&amp;A48</f>
        <v/>
      </c>
    </row>
    <row r="49" ht="15" customHeight="1" s="11">
      <c r="A49" s="10" t="inlineStr">
        <is>
          <t>A-L03-K02-01</t>
        </is>
      </c>
      <c r="B49" s="10" t="inlineStr">
        <is>
          <t>Tower A</t>
        </is>
      </c>
      <c r="C49" s="10" t="inlineStr">
        <is>
          <t>L03</t>
        </is>
      </c>
      <c r="D49" s="10" t="inlineStr">
        <is>
          <t>AL03G25</t>
        </is>
      </c>
      <c r="E49" s="10" t="inlineStr">
        <is>
          <t>K02</t>
        </is>
      </c>
      <c r="F49" s="10" t="inlineStr">
        <is>
          <t>King</t>
        </is>
      </c>
      <c r="H49" s="16" t="n"/>
      <c r="J49" s="16" t="n"/>
      <c r="L49" s="10" t="inlineStr">
        <is>
          <t>Typology drawing R01</t>
        </is>
      </c>
      <c r="M49" s="10">
        <f>Config!$B$3&amp;"?room="&amp;A49</f>
        <v/>
      </c>
    </row>
    <row r="50" ht="15" customHeight="1" s="11">
      <c r="A50" s="10" t="inlineStr">
        <is>
          <t>A-L03-K02-02</t>
        </is>
      </c>
      <c r="B50" s="10" t="inlineStr">
        <is>
          <t>Tower A</t>
        </is>
      </c>
      <c r="C50" s="10" t="inlineStr">
        <is>
          <t>L03</t>
        </is>
      </c>
      <c r="D50" s="10" t="inlineStr">
        <is>
          <t>AL03G29</t>
        </is>
      </c>
      <c r="E50" s="10" t="inlineStr">
        <is>
          <t>K02</t>
        </is>
      </c>
      <c r="F50" s="10" t="inlineStr">
        <is>
          <t>King</t>
        </is>
      </c>
      <c r="H50" s="16" t="n"/>
      <c r="J50" s="16" t="n"/>
      <c r="L50" s="10" t="inlineStr">
        <is>
          <t>Typology drawing R01</t>
        </is>
      </c>
      <c r="M50" s="10">
        <f>Config!$B$3&amp;"?room="&amp;A50</f>
        <v/>
      </c>
    </row>
    <row r="51" ht="15" customHeight="1" s="11">
      <c r="A51" s="10" t="inlineStr">
        <is>
          <t>A-L03-K02B-01</t>
        </is>
      </c>
      <c r="B51" s="10" t="inlineStr">
        <is>
          <t>Tower A</t>
        </is>
      </c>
      <c r="C51" s="10" t="inlineStr">
        <is>
          <t>L03</t>
        </is>
      </c>
      <c r="D51" s="10" t="inlineStr">
        <is>
          <t>AL03G24</t>
        </is>
      </c>
      <c r="E51" s="10" t="inlineStr">
        <is>
          <t>K02B</t>
        </is>
      </c>
      <c r="F51" s="10" t="inlineStr">
        <is>
          <t>King</t>
        </is>
      </c>
      <c r="H51" s="16" t="n"/>
      <c r="J51" s="16" t="n"/>
      <c r="L51" s="10" t="inlineStr">
        <is>
          <t>Typology drawing R01</t>
        </is>
      </c>
      <c r="M51" s="10">
        <f>Config!$B$3&amp;"?room="&amp;A51</f>
        <v/>
      </c>
    </row>
    <row r="52" ht="15" customHeight="1" s="11">
      <c r="A52" s="10" t="inlineStr">
        <is>
          <t>A-L03-K02B-02</t>
        </is>
      </c>
      <c r="B52" s="10" t="inlineStr">
        <is>
          <t>Tower A</t>
        </is>
      </c>
      <c r="C52" s="10" t="inlineStr">
        <is>
          <t>L03</t>
        </is>
      </c>
      <c r="D52" s="10" t="inlineStr">
        <is>
          <t>AL03G28</t>
        </is>
      </c>
      <c r="E52" s="10" t="inlineStr">
        <is>
          <t>K02B</t>
        </is>
      </c>
      <c r="F52" s="10" t="inlineStr">
        <is>
          <t>King</t>
        </is>
      </c>
      <c r="H52" s="16" t="n"/>
      <c r="J52" s="16" t="n"/>
      <c r="L52" s="10" t="inlineStr">
        <is>
          <t>Typology drawing R01</t>
        </is>
      </c>
      <c r="M52" s="10">
        <f>Config!$B$3&amp;"?room="&amp;A52</f>
        <v/>
      </c>
    </row>
    <row r="53" ht="15" customHeight="1" s="11">
      <c r="A53" s="10" t="inlineStr">
        <is>
          <t>A-L03-K02B-03</t>
        </is>
      </c>
      <c r="B53" s="10" t="inlineStr">
        <is>
          <t>Tower A</t>
        </is>
      </c>
      <c r="C53" s="10" t="inlineStr">
        <is>
          <t>L03</t>
        </is>
      </c>
      <c r="D53" s="10" t="inlineStr">
        <is>
          <t>AL03G36</t>
        </is>
      </c>
      <c r="E53" s="10" t="inlineStr">
        <is>
          <t>K02B</t>
        </is>
      </c>
      <c r="F53" s="10" t="inlineStr">
        <is>
          <t>King</t>
        </is>
      </c>
      <c r="H53" s="16" t="n"/>
      <c r="J53" s="16" t="n"/>
      <c r="L53" s="10" t="inlineStr">
        <is>
          <t>Typology drawing R01</t>
        </is>
      </c>
      <c r="M53" s="10">
        <f>Config!$B$3&amp;"?room="&amp;A53</f>
        <v/>
      </c>
    </row>
    <row r="54" ht="15" customHeight="1" s="11">
      <c r="A54" s="10" t="inlineStr">
        <is>
          <t>A-L03-K02C1</t>
        </is>
      </c>
      <c r="B54" s="10" t="inlineStr">
        <is>
          <t>Tower A</t>
        </is>
      </c>
      <c r="C54" s="10" t="inlineStr">
        <is>
          <t>L03</t>
        </is>
      </c>
      <c r="D54" s="10" t="inlineStr">
        <is>
          <t>AL03G08</t>
        </is>
      </c>
      <c r="E54" s="10" t="inlineStr">
        <is>
          <t>K02C1</t>
        </is>
      </c>
      <c r="F54" s="10" t="inlineStr">
        <is>
          <t>King</t>
        </is>
      </c>
      <c r="H54" s="16" t="n"/>
      <c r="J54" s="16" t="n"/>
      <c r="L54" s="10" t="inlineStr">
        <is>
          <t>Typology drawing R01</t>
        </is>
      </c>
      <c r="M54" s="10">
        <f>Config!$B$3&amp;"?room="&amp;A54</f>
        <v/>
      </c>
    </row>
    <row r="55" ht="15" customHeight="1" s="11">
      <c r="A55" s="10" t="inlineStr">
        <is>
          <t>A-L03-K02C2-01</t>
        </is>
      </c>
      <c r="B55" s="10" t="inlineStr">
        <is>
          <t>Tower A</t>
        </is>
      </c>
      <c r="C55" s="10" t="inlineStr">
        <is>
          <t>L03</t>
        </is>
      </c>
      <c r="D55" s="10" t="inlineStr">
        <is>
          <t>AL03G20</t>
        </is>
      </c>
      <c r="E55" s="10" t="inlineStr">
        <is>
          <t>K02C2</t>
        </is>
      </c>
      <c r="F55" s="10" t="inlineStr">
        <is>
          <t>King</t>
        </is>
      </c>
      <c r="H55" s="16" t="n"/>
      <c r="J55" s="16" t="n"/>
      <c r="L55" s="10" t="inlineStr">
        <is>
          <t>Typology drawing R01</t>
        </is>
      </c>
      <c r="M55" s="10">
        <f>Config!$B$3&amp;"?room="&amp;A55</f>
        <v/>
      </c>
    </row>
    <row r="56" ht="15" customHeight="1" s="11">
      <c r="A56" s="10" t="inlineStr">
        <is>
          <t>A-L03-K02C2-02</t>
        </is>
      </c>
      <c r="B56" s="10" t="inlineStr">
        <is>
          <t>Tower A</t>
        </is>
      </c>
      <c r="C56" s="10" t="inlineStr">
        <is>
          <t>L03</t>
        </is>
      </c>
      <c r="D56" s="10" t="inlineStr">
        <is>
          <t>AL03G32</t>
        </is>
      </c>
      <c r="E56" s="10" t="inlineStr">
        <is>
          <t>K02C2</t>
        </is>
      </c>
      <c r="F56" s="10" t="inlineStr">
        <is>
          <t>King</t>
        </is>
      </c>
      <c r="H56" s="16" t="n"/>
      <c r="J56" s="16" t="n"/>
      <c r="L56" s="10" t="inlineStr">
        <is>
          <t>Typology drawing R01</t>
        </is>
      </c>
      <c r="M56" s="10">
        <f>Config!$B$3&amp;"?room="&amp;A56</f>
        <v/>
      </c>
    </row>
    <row r="57" ht="15" customHeight="1" s="11">
      <c r="A57" s="10" t="inlineStr">
        <is>
          <t>A-L03-K02D1</t>
        </is>
      </c>
      <c r="B57" s="10" t="inlineStr">
        <is>
          <t>Tower A</t>
        </is>
      </c>
      <c r="C57" s="10" t="inlineStr">
        <is>
          <t>L03</t>
        </is>
      </c>
      <c r="D57" s="10" t="inlineStr">
        <is>
          <t>AL03G12</t>
        </is>
      </c>
      <c r="E57" s="10" t="inlineStr">
        <is>
          <t>K02D1</t>
        </is>
      </c>
      <c r="F57" s="10" t="inlineStr">
        <is>
          <t>King</t>
        </is>
      </c>
      <c r="H57" s="16" t="n"/>
      <c r="J57" s="16" t="n"/>
      <c r="L57" s="10" t="inlineStr">
        <is>
          <t>Typology drawing R01</t>
        </is>
      </c>
      <c r="M57" s="10">
        <f>Config!$B$3&amp;"?room="&amp;A57</f>
        <v/>
      </c>
    </row>
    <row r="58" ht="15" customHeight="1" s="11">
      <c r="A58" s="10" t="inlineStr">
        <is>
          <t>A-L03-Q01</t>
        </is>
      </c>
      <c r="B58" s="10" t="inlineStr">
        <is>
          <t>Tower A</t>
        </is>
      </c>
      <c r="C58" s="10" t="inlineStr">
        <is>
          <t>L03</t>
        </is>
      </c>
      <c r="D58" s="10" t="inlineStr">
        <is>
          <t>AL03G21</t>
        </is>
      </c>
      <c r="E58" s="10" t="inlineStr">
        <is>
          <t>Q01</t>
        </is>
      </c>
      <c r="F58" s="10" t="inlineStr">
        <is>
          <t>Queen</t>
        </is>
      </c>
      <c r="H58" s="16" t="n"/>
      <c r="J58" s="16" t="n"/>
      <c r="L58" s="10" t="inlineStr">
        <is>
          <t>Typology drawing R01</t>
        </is>
      </c>
      <c r="M58" s="10">
        <f>Config!$B$3&amp;"?room="&amp;A58</f>
        <v/>
      </c>
    </row>
    <row r="59" ht="15" customHeight="1" s="11">
      <c r="A59" s="10" t="inlineStr">
        <is>
          <t>A-L03-Q01C-01</t>
        </is>
      </c>
      <c r="B59" s="10" t="inlineStr">
        <is>
          <t>Tower A</t>
        </is>
      </c>
      <c r="C59" s="10" t="inlineStr">
        <is>
          <t>L03</t>
        </is>
      </c>
      <c r="D59" s="10" t="inlineStr">
        <is>
          <t>AL03G05</t>
        </is>
      </c>
      <c r="E59" s="10" t="inlineStr">
        <is>
          <t>Q01C</t>
        </is>
      </c>
      <c r="F59" s="10" t="inlineStr">
        <is>
          <t>Queen</t>
        </is>
      </c>
      <c r="H59" s="16" t="n"/>
      <c r="J59" s="16" t="n"/>
      <c r="L59" s="10" t="inlineStr">
        <is>
          <t>Typology drawing R01</t>
        </is>
      </c>
      <c r="M59" s="10">
        <f>Config!$B$3&amp;"?room="&amp;A59</f>
        <v/>
      </c>
    </row>
    <row r="60" ht="15" customHeight="1" s="11">
      <c r="A60" s="10" t="inlineStr">
        <is>
          <t>A-L03-Q01C-02</t>
        </is>
      </c>
      <c r="B60" s="10" t="inlineStr">
        <is>
          <t>Tower A</t>
        </is>
      </c>
      <c r="C60" s="10" t="inlineStr">
        <is>
          <t>L03</t>
        </is>
      </c>
      <c r="D60" s="10" t="inlineStr">
        <is>
          <t>AL03G09</t>
        </is>
      </c>
      <c r="E60" s="10" t="inlineStr">
        <is>
          <t>Q01C</t>
        </is>
      </c>
      <c r="F60" s="10" t="inlineStr">
        <is>
          <t>Queen</t>
        </is>
      </c>
      <c r="H60" s="16" t="n"/>
      <c r="J60" s="16" t="n"/>
      <c r="L60" s="10" t="inlineStr">
        <is>
          <t>Typology drawing R01</t>
        </is>
      </c>
      <c r="M60" s="10">
        <f>Config!$B$3&amp;"?room="&amp;A60</f>
        <v/>
      </c>
    </row>
    <row r="61" ht="15" customHeight="1" s="11">
      <c r="A61" s="10" t="inlineStr">
        <is>
          <t>A-L03-Q01C-03</t>
        </is>
      </c>
      <c r="B61" s="10" t="inlineStr">
        <is>
          <t>Tower A</t>
        </is>
      </c>
      <c r="C61" s="10" t="inlineStr">
        <is>
          <t>L03</t>
        </is>
      </c>
      <c r="D61" s="10" t="inlineStr">
        <is>
          <t>AL03G33</t>
        </is>
      </c>
      <c r="E61" s="10" t="inlineStr">
        <is>
          <t>Q01C</t>
        </is>
      </c>
      <c r="F61" s="10" t="inlineStr">
        <is>
          <t>Queen</t>
        </is>
      </c>
      <c r="H61" s="16" t="n"/>
      <c r="J61" s="16" t="n"/>
      <c r="L61" s="10" t="inlineStr">
        <is>
          <t>Typology drawing R01</t>
        </is>
      </c>
      <c r="M61" s="10">
        <f>Config!$B$3&amp;"?room="&amp;A61</f>
        <v/>
      </c>
    </row>
    <row r="62" ht="15" customHeight="1" s="11">
      <c r="A62" s="10" t="inlineStr">
        <is>
          <t>A-L03-Q01C1</t>
        </is>
      </c>
      <c r="B62" s="10" t="inlineStr">
        <is>
          <t>Tower A</t>
        </is>
      </c>
      <c r="C62" s="10" t="inlineStr">
        <is>
          <t>L03</t>
        </is>
      </c>
      <c r="D62" s="10" t="inlineStr">
        <is>
          <t>AL03G14</t>
        </is>
      </c>
      <c r="E62" s="10" t="inlineStr">
        <is>
          <t>Q01C1</t>
        </is>
      </c>
      <c r="F62" s="10" t="inlineStr">
        <is>
          <t>Queen</t>
        </is>
      </c>
      <c r="H62" s="16" t="n"/>
      <c r="J62" s="16" t="n"/>
      <c r="L62" s="10" t="inlineStr">
        <is>
          <t>Typology drawing R01</t>
        </is>
      </c>
      <c r="M62" s="10">
        <f>Config!$B$3&amp;"?room="&amp;A62</f>
        <v/>
      </c>
    </row>
    <row r="63" ht="15" customHeight="1" s="11">
      <c r="A63" s="10" t="inlineStr">
        <is>
          <t>A-L03-Q02C1-01</t>
        </is>
      </c>
      <c r="B63" s="10" t="inlineStr">
        <is>
          <t>Tower A</t>
        </is>
      </c>
      <c r="C63" s="10" t="inlineStr">
        <is>
          <t>L03</t>
        </is>
      </c>
      <c r="D63" s="10" t="inlineStr">
        <is>
          <t>AL03G06</t>
        </is>
      </c>
      <c r="E63" s="10" t="inlineStr">
        <is>
          <t>Q02C1</t>
        </is>
      </c>
      <c r="F63" s="10" t="inlineStr">
        <is>
          <t>Queen</t>
        </is>
      </c>
      <c r="H63" s="16" t="n"/>
      <c r="J63" s="16" t="n"/>
      <c r="L63" s="10" t="inlineStr">
        <is>
          <t>Typology drawing R01</t>
        </is>
      </c>
      <c r="M63" s="10">
        <f>Config!$B$3&amp;"?room="&amp;A63</f>
        <v/>
      </c>
    </row>
    <row r="64" ht="15" customHeight="1" s="11">
      <c r="A64" s="10" t="inlineStr">
        <is>
          <t>A-L03-Q02C1-02</t>
        </is>
      </c>
      <c r="B64" s="10" t="inlineStr">
        <is>
          <t>Tower A</t>
        </is>
      </c>
      <c r="C64" s="10" t="inlineStr">
        <is>
          <t>L03</t>
        </is>
      </c>
      <c r="D64" s="10" t="inlineStr">
        <is>
          <t>AL03G10</t>
        </is>
      </c>
      <c r="E64" s="10" t="inlineStr">
        <is>
          <t>Q02C1</t>
        </is>
      </c>
      <c r="F64" s="10" t="inlineStr">
        <is>
          <t>Queen</t>
        </is>
      </c>
      <c r="H64" s="16" t="n"/>
      <c r="J64" s="16" t="n"/>
      <c r="L64" s="10" t="inlineStr">
        <is>
          <t>Typology drawing R01</t>
        </is>
      </c>
      <c r="M64" s="10">
        <f>Config!$B$3&amp;"?room="&amp;A64</f>
        <v/>
      </c>
    </row>
    <row r="65" ht="15" customHeight="1" s="11">
      <c r="A65" s="10" t="inlineStr">
        <is>
          <t>A-L03-Q02C2-01</t>
        </is>
      </c>
      <c r="B65" s="10" t="inlineStr">
        <is>
          <t>Tower A</t>
        </is>
      </c>
      <c r="C65" s="10" t="inlineStr">
        <is>
          <t>L03</t>
        </is>
      </c>
      <c r="D65" s="10" t="inlineStr">
        <is>
          <t>AL03G22</t>
        </is>
      </c>
      <c r="E65" s="10" t="inlineStr">
        <is>
          <t>Q02C2</t>
        </is>
      </c>
      <c r="F65" s="10" t="inlineStr">
        <is>
          <t>Queen</t>
        </is>
      </c>
      <c r="H65" s="16" t="n"/>
      <c r="J65" s="16" t="n"/>
      <c r="L65" s="10" t="inlineStr">
        <is>
          <t>Typology drawing R01</t>
        </is>
      </c>
      <c r="M65" s="10">
        <f>Config!$B$3&amp;"?room="&amp;A65</f>
        <v/>
      </c>
    </row>
    <row r="66" ht="15" customHeight="1" s="11">
      <c r="A66" s="10" t="inlineStr">
        <is>
          <t>A-L03-Q02C2-02</t>
        </is>
      </c>
      <c r="B66" s="10" t="inlineStr">
        <is>
          <t>Tower A</t>
        </is>
      </c>
      <c r="C66" s="10" t="inlineStr">
        <is>
          <t>L03</t>
        </is>
      </c>
      <c r="D66" s="10" t="inlineStr">
        <is>
          <t>AL03G34</t>
        </is>
      </c>
      <c r="E66" s="10" t="inlineStr">
        <is>
          <t>Q02C2</t>
        </is>
      </c>
      <c r="F66" s="10" t="inlineStr">
        <is>
          <t>Queen</t>
        </is>
      </c>
      <c r="H66" s="16" t="n"/>
      <c r="J66" s="16" t="n"/>
      <c r="L66" s="10" t="inlineStr">
        <is>
          <t>Typology drawing R01</t>
        </is>
      </c>
      <c r="M66" s="10">
        <f>Config!$B$3&amp;"?room="&amp;A66</f>
        <v/>
      </c>
    </row>
    <row r="67" ht="15" customHeight="1" s="11">
      <c r="A67" s="10" t="inlineStr">
        <is>
          <t>A-L03-Q02E</t>
        </is>
      </c>
      <c r="B67" s="10" t="inlineStr">
        <is>
          <t>Tower A</t>
        </is>
      </c>
      <c r="C67" s="10" t="inlineStr">
        <is>
          <t>L03</t>
        </is>
      </c>
      <c r="D67" s="10" t="inlineStr">
        <is>
          <t>AL03G41</t>
        </is>
      </c>
      <c r="E67" s="10" t="inlineStr">
        <is>
          <t>Q02E</t>
        </is>
      </c>
      <c r="F67" s="10" t="inlineStr">
        <is>
          <t>Queen</t>
        </is>
      </c>
      <c r="H67" s="16" t="n"/>
      <c r="J67" s="16" t="n"/>
      <c r="L67" s="10" t="inlineStr">
        <is>
          <t>Typology drawing R01</t>
        </is>
      </c>
      <c r="M67" s="10">
        <f>Config!$B$3&amp;"?room="&amp;A67</f>
        <v/>
      </c>
    </row>
    <row r="68" ht="15" customHeight="1" s="11">
      <c r="A68" s="10" t="inlineStr">
        <is>
          <t>A-L03-QADA1</t>
        </is>
      </c>
      <c r="B68" s="10" t="inlineStr">
        <is>
          <t>Tower A</t>
        </is>
      </c>
      <c r="C68" s="10" t="inlineStr">
        <is>
          <t>L03</t>
        </is>
      </c>
      <c r="D68" s="10" t="inlineStr">
        <is>
          <t>AL03G37</t>
        </is>
      </c>
      <c r="E68" s="10" t="inlineStr">
        <is>
          <t>QADA1</t>
        </is>
      </c>
      <c r="F68" s="10" t="inlineStr">
        <is>
          <t>Queen ADA</t>
        </is>
      </c>
      <c r="H68" s="16" t="n"/>
      <c r="J68" s="16" t="n"/>
      <c r="L68" s="10" t="inlineStr">
        <is>
          <t>Typology drawing R01</t>
        </is>
      </c>
      <c r="M68" s="10">
        <f>Config!$B$3&amp;"?room="&amp;A68</f>
        <v/>
      </c>
    </row>
    <row r="69" ht="15" customHeight="1" s="11">
      <c r="A69" s="10" t="inlineStr">
        <is>
          <t>A-L03-S05</t>
        </is>
      </c>
      <c r="B69" s="10" t="inlineStr">
        <is>
          <t>Tower A</t>
        </is>
      </c>
      <c r="C69" s="10" t="inlineStr">
        <is>
          <t>L03</t>
        </is>
      </c>
      <c r="D69" s="10" t="inlineStr">
        <is>
          <t>AL03G16</t>
        </is>
      </c>
      <c r="E69" s="10" t="inlineStr">
        <is>
          <t>S05</t>
        </is>
      </c>
      <c r="F69" s="10" t="inlineStr">
        <is>
          <t>Suite</t>
        </is>
      </c>
      <c r="H69" s="16" t="n"/>
      <c r="J69" s="16" t="n"/>
      <c r="L69" s="10" t="inlineStr">
        <is>
          <t>Typology drawing R01</t>
        </is>
      </c>
      <c r="M69" s="10">
        <f>Config!$B$3&amp;"?room="&amp;A69</f>
        <v/>
      </c>
    </row>
    <row r="70" ht="15" customHeight="1" s="11">
      <c r="A70" s="10" t="inlineStr">
        <is>
          <t>A-L03-S06</t>
        </is>
      </c>
      <c r="B70" s="10" t="inlineStr">
        <is>
          <t>Tower A</t>
        </is>
      </c>
      <c r="C70" s="10" t="inlineStr">
        <is>
          <t>L03</t>
        </is>
      </c>
      <c r="D70" s="10" t="inlineStr">
        <is>
          <t>AL03G43</t>
        </is>
      </c>
      <c r="E70" s="10" t="inlineStr">
        <is>
          <t>S06</t>
        </is>
      </c>
      <c r="F70" s="10" t="inlineStr">
        <is>
          <t>Suite</t>
        </is>
      </c>
      <c r="H70" s="16" t="n"/>
      <c r="J70" s="16" t="n"/>
      <c r="L70" s="10" t="inlineStr">
        <is>
          <t>Typology drawing R01</t>
        </is>
      </c>
      <c r="M70" s="10">
        <f>Config!$B$3&amp;"?room="&amp;A70</f>
        <v/>
      </c>
    </row>
    <row r="71" ht="15" customHeight="1" s="11">
      <c r="A71" s="10" t="inlineStr">
        <is>
          <t>A-L04-F03</t>
        </is>
      </c>
      <c r="B71" s="10" t="inlineStr">
        <is>
          <t>Tower A</t>
        </is>
      </c>
      <c r="C71" s="10" t="inlineStr">
        <is>
          <t>L04</t>
        </is>
      </c>
      <c r="D71" s="10" t="inlineStr">
        <is>
          <t>AL04G03</t>
        </is>
      </c>
      <c r="E71" s="10" t="inlineStr">
        <is>
          <t>F03</t>
        </is>
      </c>
      <c r="F71" s="10" t="inlineStr">
        <is>
          <t>Family</t>
        </is>
      </c>
      <c r="H71" s="16" t="n"/>
      <c r="J71" s="16" t="n"/>
      <c r="L71" s="10" t="inlineStr">
        <is>
          <t>Typology drawing R01</t>
        </is>
      </c>
      <c r="M71" s="10">
        <f>Config!$B$3&amp;"?room="&amp;A71</f>
        <v/>
      </c>
    </row>
    <row r="72" ht="15" customHeight="1" s="11">
      <c r="A72" s="10" t="inlineStr">
        <is>
          <t>A-L04-F03A</t>
        </is>
      </c>
      <c r="B72" s="10" t="inlineStr">
        <is>
          <t>Tower A</t>
        </is>
      </c>
      <c r="C72" s="10" t="inlineStr">
        <is>
          <t>L04</t>
        </is>
      </c>
      <c r="D72" s="10" t="inlineStr">
        <is>
          <t>AL04G04</t>
        </is>
      </c>
      <c r="E72" s="10" t="inlineStr">
        <is>
          <t>F03A</t>
        </is>
      </c>
      <c r="F72" s="10" t="inlineStr">
        <is>
          <t>Family</t>
        </is>
      </c>
      <c r="H72" s="16" t="n"/>
      <c r="J72" s="16" t="n"/>
      <c r="L72" s="10" t="inlineStr">
        <is>
          <t>Typology drawing R01</t>
        </is>
      </c>
      <c r="M72" s="10">
        <f>Config!$B$3&amp;"?room="&amp;A72</f>
        <v/>
      </c>
    </row>
    <row r="73" ht="15" customHeight="1" s="11">
      <c r="A73" s="10" t="inlineStr">
        <is>
          <t>A-L04-F04</t>
        </is>
      </c>
      <c r="B73" s="10" t="inlineStr">
        <is>
          <t>Tower A</t>
        </is>
      </c>
      <c r="C73" s="10" t="inlineStr">
        <is>
          <t>L04</t>
        </is>
      </c>
      <c r="D73" s="10" t="inlineStr">
        <is>
          <t>AL04G11</t>
        </is>
      </c>
      <c r="E73" s="10" t="inlineStr">
        <is>
          <t>F04</t>
        </is>
      </c>
      <c r="F73" s="10" t="inlineStr">
        <is>
          <t>Family</t>
        </is>
      </c>
      <c r="H73" s="16" t="n"/>
      <c r="J73" s="16" t="n"/>
      <c r="L73" s="10" t="inlineStr">
        <is>
          <t>Typology drawing R01</t>
        </is>
      </c>
      <c r="M73" s="10">
        <f>Config!$B$3&amp;"?room="&amp;A73</f>
        <v/>
      </c>
    </row>
    <row r="74" ht="15" customHeight="1" s="11">
      <c r="A74" s="10" t="inlineStr">
        <is>
          <t>A-L04-F05</t>
        </is>
      </c>
      <c r="B74" s="10" t="inlineStr">
        <is>
          <t>Tower A</t>
        </is>
      </c>
      <c r="C74" s="10" t="inlineStr">
        <is>
          <t>L04</t>
        </is>
      </c>
      <c r="D74" s="10" t="inlineStr">
        <is>
          <t>AL04G46</t>
        </is>
      </c>
      <c r="E74" s="10" t="inlineStr">
        <is>
          <t>F05</t>
        </is>
      </c>
      <c r="F74" s="10" t="inlineStr">
        <is>
          <t>Family</t>
        </is>
      </c>
      <c r="H74" s="16" t="n"/>
      <c r="J74" s="16" t="n"/>
      <c r="L74" s="10" t="inlineStr">
        <is>
          <t>Typology drawing R01</t>
        </is>
      </c>
      <c r="M74" s="10">
        <f>Config!$B$3&amp;"?room="&amp;A74</f>
        <v/>
      </c>
    </row>
    <row r="75" ht="15" customHeight="1" s="11">
      <c r="A75" s="10" t="inlineStr">
        <is>
          <t>A-L04-K01-01</t>
        </is>
      </c>
      <c r="B75" s="10" t="inlineStr">
        <is>
          <t>Tower A</t>
        </is>
      </c>
      <c r="C75" s="10" t="inlineStr">
        <is>
          <t>L04</t>
        </is>
      </c>
      <c r="D75" s="10" t="inlineStr">
        <is>
          <t>AL04G19</t>
        </is>
      </c>
      <c r="E75" s="10" t="inlineStr">
        <is>
          <t>K01</t>
        </is>
      </c>
      <c r="F75" s="10" t="inlineStr">
        <is>
          <t>King</t>
        </is>
      </c>
      <c r="H75" s="16" t="n"/>
      <c r="J75" s="16" t="n"/>
      <c r="L75" s="10" t="inlineStr">
        <is>
          <t>Typology drawing R01</t>
        </is>
      </c>
      <c r="M75" s="10">
        <f>Config!$B$3&amp;"?room="&amp;A75</f>
        <v/>
      </c>
    </row>
    <row r="76" ht="15" customHeight="1" s="11">
      <c r="A76" s="10" t="inlineStr">
        <is>
          <t>A-L04-K01-02</t>
        </is>
      </c>
      <c r="B76" s="10" t="inlineStr">
        <is>
          <t>Tower A</t>
        </is>
      </c>
      <c r="C76" s="10" t="inlineStr">
        <is>
          <t>L04</t>
        </is>
      </c>
      <c r="D76" s="10" t="inlineStr">
        <is>
          <t>AL04G23</t>
        </is>
      </c>
      <c r="E76" s="10" t="inlineStr">
        <is>
          <t>K01</t>
        </is>
      </c>
      <c r="F76" s="10" t="inlineStr">
        <is>
          <t>King</t>
        </is>
      </c>
      <c r="H76" s="16" t="n"/>
      <c r="J76" s="16" t="n"/>
      <c r="L76" s="10" t="inlineStr">
        <is>
          <t>Typology drawing R01</t>
        </is>
      </c>
      <c r="M76" s="10">
        <f>Config!$B$3&amp;"?room="&amp;A76</f>
        <v/>
      </c>
    </row>
    <row r="77" ht="15" customHeight="1" s="11">
      <c r="A77" s="10" t="inlineStr">
        <is>
          <t>A-L04-K01-03</t>
        </is>
      </c>
      <c r="B77" s="10" t="inlineStr">
        <is>
          <t>Tower A</t>
        </is>
      </c>
      <c r="C77" s="10" t="inlineStr">
        <is>
          <t>L04</t>
        </is>
      </c>
      <c r="D77" s="10" t="inlineStr">
        <is>
          <t>AL04G27</t>
        </is>
      </c>
      <c r="E77" s="10" t="inlineStr">
        <is>
          <t>K01</t>
        </is>
      </c>
      <c r="F77" s="10" t="inlineStr">
        <is>
          <t>King</t>
        </is>
      </c>
      <c r="H77" s="16" t="n"/>
      <c r="J77" s="16" t="n"/>
      <c r="L77" s="10" t="inlineStr">
        <is>
          <t>Typology drawing R01</t>
        </is>
      </c>
      <c r="M77" s="10">
        <f>Config!$B$3&amp;"?room="&amp;A77</f>
        <v/>
      </c>
    </row>
    <row r="78" ht="15" customHeight="1" s="11">
      <c r="A78" s="10" t="inlineStr">
        <is>
          <t>A-L04-K01B-01</t>
        </is>
      </c>
      <c r="B78" s="10" t="inlineStr">
        <is>
          <t>Tower A</t>
        </is>
      </c>
      <c r="C78" s="10" t="inlineStr">
        <is>
          <t>L04</t>
        </is>
      </c>
      <c r="D78" s="10" t="inlineStr">
        <is>
          <t>AL04G26</t>
        </is>
      </c>
      <c r="E78" s="10" t="inlineStr">
        <is>
          <t>K01B</t>
        </is>
      </c>
      <c r="F78" s="10" t="inlineStr">
        <is>
          <t>King</t>
        </is>
      </c>
      <c r="H78" s="16" t="n"/>
      <c r="J78" s="16" t="n"/>
      <c r="L78" s="10" t="inlineStr">
        <is>
          <t>Typology drawing R01</t>
        </is>
      </c>
      <c r="M78" s="10">
        <f>Config!$B$3&amp;"?room="&amp;A78</f>
        <v/>
      </c>
    </row>
    <row r="79" ht="15" customHeight="1" s="11">
      <c r="A79" s="10" t="inlineStr">
        <is>
          <t>A-L04-K01B-02</t>
        </is>
      </c>
      <c r="B79" s="10" t="inlineStr">
        <is>
          <t>Tower A</t>
        </is>
      </c>
      <c r="C79" s="10" t="inlineStr">
        <is>
          <t>L04</t>
        </is>
      </c>
      <c r="D79" s="10" t="inlineStr">
        <is>
          <t>AL04G30</t>
        </is>
      </c>
      <c r="E79" s="10" t="inlineStr">
        <is>
          <t>K01B</t>
        </is>
      </c>
      <c r="F79" s="10" t="inlineStr">
        <is>
          <t>King</t>
        </is>
      </c>
      <c r="H79" s="16" t="n"/>
      <c r="J79" s="16" t="n"/>
      <c r="L79" s="10" t="inlineStr">
        <is>
          <t>Typology drawing R01</t>
        </is>
      </c>
      <c r="M79" s="10">
        <f>Config!$B$3&amp;"?room="&amp;A79</f>
        <v/>
      </c>
    </row>
    <row r="80" ht="15" customHeight="1" s="11">
      <c r="A80" s="10" t="inlineStr">
        <is>
          <t>A-L04-K01C-01</t>
        </is>
      </c>
      <c r="B80" s="10" t="inlineStr">
        <is>
          <t>Tower A</t>
        </is>
      </c>
      <c r="C80" s="10" t="inlineStr">
        <is>
          <t>L04</t>
        </is>
      </c>
      <c r="D80" s="10" t="inlineStr">
        <is>
          <t>AL04G07</t>
        </is>
      </c>
      <c r="E80" s="10" t="inlineStr">
        <is>
          <t>K01C</t>
        </is>
      </c>
      <c r="F80" s="10" t="inlineStr">
        <is>
          <t>King</t>
        </is>
      </c>
      <c r="H80" s="16" t="n"/>
      <c r="J80" s="16" t="n"/>
      <c r="L80" s="10" t="inlineStr">
        <is>
          <t>Typology drawing R01</t>
        </is>
      </c>
      <c r="M80" s="10">
        <f>Config!$B$3&amp;"?room="&amp;A80</f>
        <v/>
      </c>
    </row>
    <row r="81" ht="15" customHeight="1" s="11">
      <c r="A81" s="10" t="inlineStr">
        <is>
          <t>A-L04-K01C-02</t>
        </is>
      </c>
      <c r="B81" s="10" t="inlineStr">
        <is>
          <t>Tower A</t>
        </is>
      </c>
      <c r="C81" s="10" t="inlineStr">
        <is>
          <t>L04</t>
        </is>
      </c>
      <c r="D81" s="10" t="inlineStr">
        <is>
          <t>AL04G31</t>
        </is>
      </c>
      <c r="E81" s="10" t="inlineStr">
        <is>
          <t>K01C</t>
        </is>
      </c>
      <c r="F81" s="10" t="inlineStr">
        <is>
          <t>King</t>
        </is>
      </c>
      <c r="H81" s="16" t="n"/>
      <c r="J81" s="16" t="n"/>
      <c r="L81" s="10" t="inlineStr">
        <is>
          <t>Typology drawing R01</t>
        </is>
      </c>
      <c r="M81" s="10">
        <f>Config!$B$3&amp;"?room="&amp;A81</f>
        <v/>
      </c>
    </row>
    <row r="82" ht="15" customHeight="1" s="11">
      <c r="A82" s="10" t="inlineStr">
        <is>
          <t>A-L04-K01C-03</t>
        </is>
      </c>
      <c r="B82" s="10" t="inlineStr">
        <is>
          <t>Tower A</t>
        </is>
      </c>
      <c r="C82" s="10" t="inlineStr">
        <is>
          <t>L04</t>
        </is>
      </c>
      <c r="D82" s="10" t="inlineStr">
        <is>
          <t>AL04G35</t>
        </is>
      </c>
      <c r="E82" s="10" t="inlineStr">
        <is>
          <t>K01C</t>
        </is>
      </c>
      <c r="F82" s="10" t="inlineStr">
        <is>
          <t>King</t>
        </is>
      </c>
      <c r="H82" s="16" t="n"/>
      <c r="J82" s="16" t="n"/>
      <c r="L82" s="10" t="inlineStr">
        <is>
          <t>Typology drawing R01</t>
        </is>
      </c>
      <c r="M82" s="10">
        <f>Config!$B$3&amp;"?room="&amp;A82</f>
        <v/>
      </c>
    </row>
    <row r="83" ht="15" customHeight="1" s="11">
      <c r="A83" s="10" t="inlineStr">
        <is>
          <t>A-L04-K01D</t>
        </is>
      </c>
      <c r="B83" s="10" t="inlineStr">
        <is>
          <t>Tower A</t>
        </is>
      </c>
      <c r="C83" s="10" t="inlineStr">
        <is>
          <t>L04</t>
        </is>
      </c>
      <c r="D83" s="10" t="inlineStr">
        <is>
          <t>AL04G39</t>
        </is>
      </c>
      <c r="E83" s="10" t="inlineStr">
        <is>
          <t>K01D</t>
        </is>
      </c>
      <c r="F83" s="10" t="inlineStr">
        <is>
          <t>King</t>
        </is>
      </c>
      <c r="H83" s="16" t="n"/>
      <c r="J83" s="16" t="n"/>
      <c r="L83" s="10" t="inlineStr">
        <is>
          <t>Typology drawing R01</t>
        </is>
      </c>
      <c r="M83" s="10">
        <f>Config!$B$3&amp;"?room="&amp;A83</f>
        <v/>
      </c>
    </row>
    <row r="84" ht="15" customHeight="1" s="11">
      <c r="A84" s="10" t="inlineStr">
        <is>
          <t>A-L04-K02-01</t>
        </is>
      </c>
      <c r="B84" s="10" t="inlineStr">
        <is>
          <t>Tower A</t>
        </is>
      </c>
      <c r="C84" s="10" t="inlineStr">
        <is>
          <t>L04</t>
        </is>
      </c>
      <c r="D84" s="10" t="inlineStr">
        <is>
          <t>AL04G25</t>
        </is>
      </c>
      <c r="E84" s="10" t="inlineStr">
        <is>
          <t>K02</t>
        </is>
      </c>
      <c r="F84" s="10" t="inlineStr">
        <is>
          <t>King</t>
        </is>
      </c>
      <c r="H84" s="16" t="n"/>
      <c r="J84" s="16" t="n"/>
      <c r="L84" s="10" t="inlineStr">
        <is>
          <t>Typology drawing R01</t>
        </is>
      </c>
      <c r="M84" s="10">
        <f>Config!$B$3&amp;"?room="&amp;A84</f>
        <v/>
      </c>
    </row>
    <row r="85" ht="15" customHeight="1" s="11">
      <c r="A85" s="10" t="inlineStr">
        <is>
          <t>A-L04-K02-02</t>
        </is>
      </c>
      <c r="B85" s="10" t="inlineStr">
        <is>
          <t>Tower A</t>
        </is>
      </c>
      <c r="C85" s="10" t="inlineStr">
        <is>
          <t>L04</t>
        </is>
      </c>
      <c r="D85" s="10" t="inlineStr">
        <is>
          <t>AL04G29</t>
        </is>
      </c>
      <c r="E85" s="10" t="inlineStr">
        <is>
          <t>K02</t>
        </is>
      </c>
      <c r="F85" s="10" t="inlineStr">
        <is>
          <t>King</t>
        </is>
      </c>
      <c r="H85" s="16" t="n"/>
      <c r="J85" s="16" t="n"/>
      <c r="L85" s="10" t="inlineStr">
        <is>
          <t>Typology drawing R01</t>
        </is>
      </c>
      <c r="M85" s="10">
        <f>Config!$B$3&amp;"?room="&amp;A85</f>
        <v/>
      </c>
    </row>
    <row r="86" ht="15" customHeight="1" s="11">
      <c r="A86" s="10" t="inlineStr">
        <is>
          <t>A-L04-K02B-01</t>
        </is>
      </c>
      <c r="B86" s="10" t="inlineStr">
        <is>
          <t>Tower A</t>
        </is>
      </c>
      <c r="C86" s="10" t="inlineStr">
        <is>
          <t>L04</t>
        </is>
      </c>
      <c r="D86" s="10" t="inlineStr">
        <is>
          <t>AL04G24</t>
        </is>
      </c>
      <c r="E86" s="10" t="inlineStr">
        <is>
          <t>K02B</t>
        </is>
      </c>
      <c r="F86" s="10" t="inlineStr">
        <is>
          <t>King</t>
        </is>
      </c>
      <c r="H86" s="16" t="n"/>
      <c r="J86" s="16" t="n"/>
      <c r="L86" s="10" t="inlineStr">
        <is>
          <t>Typology drawing R01</t>
        </is>
      </c>
      <c r="M86" s="10">
        <f>Config!$B$3&amp;"?room="&amp;A86</f>
        <v/>
      </c>
    </row>
    <row r="87" ht="15" customHeight="1" s="11">
      <c r="A87" s="10" t="inlineStr">
        <is>
          <t>A-L04-K02B-02</t>
        </is>
      </c>
      <c r="B87" s="10" t="inlineStr">
        <is>
          <t>Tower A</t>
        </is>
      </c>
      <c r="C87" s="10" t="inlineStr">
        <is>
          <t>L04</t>
        </is>
      </c>
      <c r="D87" s="10" t="inlineStr">
        <is>
          <t>AL04G28</t>
        </is>
      </c>
      <c r="E87" s="10" t="inlineStr">
        <is>
          <t>K02B</t>
        </is>
      </c>
      <c r="F87" s="10" t="inlineStr">
        <is>
          <t>King</t>
        </is>
      </c>
      <c r="H87" s="16" t="n"/>
      <c r="J87" s="16" t="n"/>
      <c r="L87" s="10" t="inlineStr">
        <is>
          <t>Typology drawing R01</t>
        </is>
      </c>
      <c r="M87" s="10">
        <f>Config!$B$3&amp;"?room="&amp;A87</f>
        <v/>
      </c>
    </row>
    <row r="88" ht="15" customHeight="1" s="11">
      <c r="A88" s="10" t="inlineStr">
        <is>
          <t>A-L04-K02B-03</t>
        </is>
      </c>
      <c r="B88" s="10" t="inlineStr">
        <is>
          <t>Tower A</t>
        </is>
      </c>
      <c r="C88" s="10" t="inlineStr">
        <is>
          <t>L04</t>
        </is>
      </c>
      <c r="D88" s="10" t="inlineStr">
        <is>
          <t>AL04G36</t>
        </is>
      </c>
      <c r="E88" s="10" t="inlineStr">
        <is>
          <t>K02B</t>
        </is>
      </c>
      <c r="F88" s="10" t="inlineStr">
        <is>
          <t>King</t>
        </is>
      </c>
      <c r="H88" s="16" t="n"/>
      <c r="J88" s="16" t="n"/>
      <c r="L88" s="10" t="inlineStr">
        <is>
          <t>Typology drawing R01</t>
        </is>
      </c>
      <c r="M88" s="10">
        <f>Config!$B$3&amp;"?room="&amp;A88</f>
        <v/>
      </c>
    </row>
    <row r="89" ht="15" customHeight="1" s="11">
      <c r="A89" s="10" t="inlineStr">
        <is>
          <t>A-L04-K02C1</t>
        </is>
      </c>
      <c r="B89" s="10" t="inlineStr">
        <is>
          <t>Tower A</t>
        </is>
      </c>
      <c r="C89" s="10" t="inlineStr">
        <is>
          <t>L04</t>
        </is>
      </c>
      <c r="D89" s="10" t="inlineStr">
        <is>
          <t>AL04G08</t>
        </is>
      </c>
      <c r="E89" s="10" t="inlineStr">
        <is>
          <t>K02C1</t>
        </is>
      </c>
      <c r="F89" s="10" t="inlineStr">
        <is>
          <t>King</t>
        </is>
      </c>
      <c r="H89" s="16" t="n"/>
      <c r="J89" s="16" t="n"/>
      <c r="L89" s="10" t="inlineStr">
        <is>
          <t>Typology drawing R01</t>
        </is>
      </c>
      <c r="M89" s="10">
        <f>Config!$B$3&amp;"?room="&amp;A89</f>
        <v/>
      </c>
    </row>
    <row r="90" ht="15" customHeight="1" s="11">
      <c r="A90" s="10" t="inlineStr">
        <is>
          <t>A-L04-K02C2-01</t>
        </is>
      </c>
      <c r="B90" s="10" t="inlineStr">
        <is>
          <t>Tower A</t>
        </is>
      </c>
      <c r="C90" s="10" t="inlineStr">
        <is>
          <t>L04</t>
        </is>
      </c>
      <c r="D90" s="10" t="inlineStr">
        <is>
          <t>AL04G20</t>
        </is>
      </c>
      <c r="E90" s="10" t="inlineStr">
        <is>
          <t>K02C2</t>
        </is>
      </c>
      <c r="F90" s="10" t="inlineStr">
        <is>
          <t>King</t>
        </is>
      </c>
      <c r="H90" s="16" t="n"/>
      <c r="J90" s="16" t="n"/>
      <c r="L90" s="10" t="inlineStr">
        <is>
          <t>Typology drawing R01</t>
        </is>
      </c>
      <c r="M90" s="10">
        <f>Config!$B$3&amp;"?room="&amp;A90</f>
        <v/>
      </c>
    </row>
    <row r="91" ht="15" customHeight="1" s="11">
      <c r="A91" s="10" t="inlineStr">
        <is>
          <t>A-L04-K02C2-02</t>
        </is>
      </c>
      <c r="B91" s="10" t="inlineStr">
        <is>
          <t>Tower A</t>
        </is>
      </c>
      <c r="C91" s="10" t="inlineStr">
        <is>
          <t>L04</t>
        </is>
      </c>
      <c r="D91" s="10" t="inlineStr">
        <is>
          <t>AL04G32</t>
        </is>
      </c>
      <c r="E91" s="10" t="inlineStr">
        <is>
          <t>K02C2</t>
        </is>
      </c>
      <c r="F91" s="10" t="inlineStr">
        <is>
          <t>King</t>
        </is>
      </c>
      <c r="H91" s="16" t="n"/>
      <c r="J91" s="16" t="n"/>
      <c r="L91" s="10" t="inlineStr">
        <is>
          <t>Typology drawing R01</t>
        </is>
      </c>
      <c r="M91" s="10">
        <f>Config!$B$3&amp;"?room="&amp;A91</f>
        <v/>
      </c>
    </row>
    <row r="92" ht="15" customHeight="1" s="11">
      <c r="A92" s="10" t="inlineStr">
        <is>
          <t>A-L04-K02D1</t>
        </is>
      </c>
      <c r="B92" s="10" t="inlineStr">
        <is>
          <t>Tower A</t>
        </is>
      </c>
      <c r="C92" s="10" t="inlineStr">
        <is>
          <t>L04</t>
        </is>
      </c>
      <c r="D92" s="10" t="inlineStr">
        <is>
          <t>AL04G12</t>
        </is>
      </c>
      <c r="E92" s="10" t="inlineStr">
        <is>
          <t>K02D1</t>
        </is>
      </c>
      <c r="F92" s="10" t="inlineStr">
        <is>
          <t>King</t>
        </is>
      </c>
      <c r="H92" s="16" t="n"/>
      <c r="J92" s="16" t="n"/>
      <c r="L92" s="10" t="inlineStr">
        <is>
          <t>Typology drawing R01</t>
        </is>
      </c>
      <c r="M92" s="10">
        <f>Config!$B$3&amp;"?room="&amp;A92</f>
        <v/>
      </c>
    </row>
    <row r="93" ht="15" customHeight="1" s="11">
      <c r="A93" s="10" t="inlineStr">
        <is>
          <t>A-L04-Q01</t>
        </is>
      </c>
      <c r="B93" s="10" t="inlineStr">
        <is>
          <t>Tower A</t>
        </is>
      </c>
      <c r="C93" s="10" t="inlineStr">
        <is>
          <t>L04</t>
        </is>
      </c>
      <c r="D93" s="10" t="inlineStr">
        <is>
          <t>AL04G21</t>
        </is>
      </c>
      <c r="E93" s="10" t="inlineStr">
        <is>
          <t>Q01</t>
        </is>
      </c>
      <c r="F93" s="10" t="inlineStr">
        <is>
          <t>Queen</t>
        </is>
      </c>
      <c r="H93" s="16" t="n"/>
      <c r="J93" s="16" t="n"/>
      <c r="L93" s="10" t="inlineStr">
        <is>
          <t>Typology drawing R01</t>
        </is>
      </c>
      <c r="M93" s="10">
        <f>Config!$B$3&amp;"?room="&amp;A93</f>
        <v/>
      </c>
    </row>
    <row r="94" ht="15" customHeight="1" s="11">
      <c r="A94" s="10" t="inlineStr">
        <is>
          <t>A-L04-Q01C-01</t>
        </is>
      </c>
      <c r="B94" s="10" t="inlineStr">
        <is>
          <t>Tower A</t>
        </is>
      </c>
      <c r="C94" s="10" t="inlineStr">
        <is>
          <t>L04</t>
        </is>
      </c>
      <c r="D94" s="10" t="inlineStr">
        <is>
          <t>AL04G05</t>
        </is>
      </c>
      <c r="E94" s="10" t="inlineStr">
        <is>
          <t>Q01C</t>
        </is>
      </c>
      <c r="F94" s="10" t="inlineStr">
        <is>
          <t>Queen</t>
        </is>
      </c>
      <c r="H94" s="16" t="n"/>
      <c r="J94" s="16" t="n"/>
      <c r="L94" s="10" t="inlineStr">
        <is>
          <t>Typology drawing R01</t>
        </is>
      </c>
      <c r="M94" s="10">
        <f>Config!$B$3&amp;"?room="&amp;A94</f>
        <v/>
      </c>
    </row>
    <row r="95" ht="15" customHeight="1" s="11">
      <c r="A95" s="10" t="inlineStr">
        <is>
          <t>A-L04-Q01C-02</t>
        </is>
      </c>
      <c r="B95" s="10" t="inlineStr">
        <is>
          <t>Tower A</t>
        </is>
      </c>
      <c r="C95" s="10" t="inlineStr">
        <is>
          <t>L04</t>
        </is>
      </c>
      <c r="D95" s="10" t="inlineStr">
        <is>
          <t>AL04G09</t>
        </is>
      </c>
      <c r="E95" s="10" t="inlineStr">
        <is>
          <t>Q01C</t>
        </is>
      </c>
      <c r="F95" s="10" t="inlineStr">
        <is>
          <t>Queen</t>
        </is>
      </c>
      <c r="H95" s="16" t="n"/>
      <c r="J95" s="16" t="n"/>
      <c r="L95" s="10" t="inlineStr">
        <is>
          <t>Typology drawing R01</t>
        </is>
      </c>
      <c r="M95" s="10">
        <f>Config!$B$3&amp;"?room="&amp;A95</f>
        <v/>
      </c>
    </row>
    <row r="96" ht="15" customHeight="1" s="11">
      <c r="A96" s="10" t="inlineStr">
        <is>
          <t>A-L04-Q01C-03</t>
        </is>
      </c>
      <c r="B96" s="10" t="inlineStr">
        <is>
          <t>Tower A</t>
        </is>
      </c>
      <c r="C96" s="10" t="inlineStr">
        <is>
          <t>L04</t>
        </is>
      </c>
      <c r="D96" s="10" t="inlineStr">
        <is>
          <t>AL04G33</t>
        </is>
      </c>
      <c r="E96" s="10" t="inlineStr">
        <is>
          <t>Q01C</t>
        </is>
      </c>
      <c r="F96" s="10" t="inlineStr">
        <is>
          <t>Queen</t>
        </is>
      </c>
      <c r="H96" s="16" t="n"/>
      <c r="J96" s="16" t="n"/>
      <c r="L96" s="10" t="inlineStr">
        <is>
          <t>Typology drawing R01</t>
        </is>
      </c>
      <c r="M96" s="10">
        <f>Config!$B$3&amp;"?room="&amp;A96</f>
        <v/>
      </c>
    </row>
    <row r="97" ht="15" customHeight="1" s="11">
      <c r="A97" s="10" t="inlineStr">
        <is>
          <t>A-L04-Q01C1</t>
        </is>
      </c>
      <c r="B97" s="10" t="inlineStr">
        <is>
          <t>Tower A</t>
        </is>
      </c>
      <c r="C97" s="10" t="inlineStr">
        <is>
          <t>L04</t>
        </is>
      </c>
      <c r="D97" s="10" t="inlineStr">
        <is>
          <t>AL04G14</t>
        </is>
      </c>
      <c r="E97" s="10" t="inlineStr">
        <is>
          <t>Q01C1</t>
        </is>
      </c>
      <c r="F97" s="10" t="inlineStr">
        <is>
          <t>Queen</t>
        </is>
      </c>
      <c r="H97" s="16" t="n"/>
      <c r="J97" s="16" t="n"/>
      <c r="L97" s="10" t="inlineStr">
        <is>
          <t>Typology drawing R01</t>
        </is>
      </c>
      <c r="M97" s="10">
        <f>Config!$B$3&amp;"?room="&amp;A97</f>
        <v/>
      </c>
    </row>
    <row r="98" ht="15" customHeight="1" s="11">
      <c r="A98" s="10" t="inlineStr">
        <is>
          <t>A-L04-Q02C1-01</t>
        </is>
      </c>
      <c r="B98" s="10" t="inlineStr">
        <is>
          <t>Tower A</t>
        </is>
      </c>
      <c r="C98" s="10" t="inlineStr">
        <is>
          <t>L04</t>
        </is>
      </c>
      <c r="D98" s="10" t="inlineStr">
        <is>
          <t>AL04G06</t>
        </is>
      </c>
      <c r="E98" s="10" t="inlineStr">
        <is>
          <t>Q02C1</t>
        </is>
      </c>
      <c r="F98" s="10" t="inlineStr">
        <is>
          <t>Queen</t>
        </is>
      </c>
      <c r="H98" s="16" t="n"/>
      <c r="J98" s="16" t="n"/>
      <c r="L98" s="10" t="inlineStr">
        <is>
          <t>Typology drawing R01</t>
        </is>
      </c>
      <c r="M98" s="10">
        <f>Config!$B$3&amp;"?room="&amp;A98</f>
        <v/>
      </c>
    </row>
    <row r="99" ht="15" customHeight="1" s="11">
      <c r="A99" s="10" t="inlineStr">
        <is>
          <t>A-L04-Q02C1-02</t>
        </is>
      </c>
      <c r="B99" s="10" t="inlineStr">
        <is>
          <t>Tower A</t>
        </is>
      </c>
      <c r="C99" s="10" t="inlineStr">
        <is>
          <t>L04</t>
        </is>
      </c>
      <c r="D99" s="10" t="inlineStr">
        <is>
          <t>AL04G10</t>
        </is>
      </c>
      <c r="E99" s="10" t="inlineStr">
        <is>
          <t>Q02C1</t>
        </is>
      </c>
      <c r="F99" s="10" t="inlineStr">
        <is>
          <t>Queen</t>
        </is>
      </c>
      <c r="H99" s="16" t="n"/>
      <c r="J99" s="16" t="n"/>
      <c r="L99" s="10" t="inlineStr">
        <is>
          <t>Typology drawing R01</t>
        </is>
      </c>
      <c r="M99" s="10">
        <f>Config!$B$3&amp;"?room="&amp;A99</f>
        <v/>
      </c>
    </row>
    <row r="100" ht="15" customHeight="1" s="11">
      <c r="A100" s="10" t="inlineStr">
        <is>
          <t>A-L04-Q02C2-01</t>
        </is>
      </c>
      <c r="B100" s="10" t="inlineStr">
        <is>
          <t>Tower A</t>
        </is>
      </c>
      <c r="C100" s="10" t="inlineStr">
        <is>
          <t>L04</t>
        </is>
      </c>
      <c r="D100" s="10" t="inlineStr">
        <is>
          <t>AL04G22</t>
        </is>
      </c>
      <c r="E100" s="10" t="inlineStr">
        <is>
          <t>Q02C2</t>
        </is>
      </c>
      <c r="F100" s="10" t="inlineStr">
        <is>
          <t>Queen</t>
        </is>
      </c>
      <c r="H100" s="16" t="n"/>
      <c r="J100" s="16" t="n"/>
      <c r="L100" s="10" t="inlineStr">
        <is>
          <t>Typology drawing R01</t>
        </is>
      </c>
      <c r="M100" s="10">
        <f>Config!$B$3&amp;"?room="&amp;A100</f>
        <v/>
      </c>
    </row>
    <row r="101" ht="15" customHeight="1" s="11">
      <c r="A101" s="10" t="inlineStr">
        <is>
          <t>A-L04-Q02C2-02</t>
        </is>
      </c>
      <c r="B101" s="10" t="inlineStr">
        <is>
          <t>Tower A</t>
        </is>
      </c>
      <c r="C101" s="10" t="inlineStr">
        <is>
          <t>L04</t>
        </is>
      </c>
      <c r="D101" s="10" t="inlineStr">
        <is>
          <t>AL04G34</t>
        </is>
      </c>
      <c r="E101" s="10" t="inlineStr">
        <is>
          <t>Q02C2</t>
        </is>
      </c>
      <c r="F101" s="10" t="inlineStr">
        <is>
          <t>Queen</t>
        </is>
      </c>
      <c r="H101" s="16" t="n"/>
      <c r="J101" s="16" t="n"/>
      <c r="L101" s="10" t="inlineStr">
        <is>
          <t>Typology drawing R01</t>
        </is>
      </c>
      <c r="M101" s="10">
        <f>Config!$B$3&amp;"?room="&amp;A101</f>
        <v/>
      </c>
    </row>
    <row r="102" ht="15" customHeight="1" s="11">
      <c r="A102" s="10" t="inlineStr">
        <is>
          <t>A-L04-Q02E</t>
        </is>
      </c>
      <c r="B102" s="10" t="inlineStr">
        <is>
          <t>Tower A</t>
        </is>
      </c>
      <c r="C102" s="10" t="inlineStr">
        <is>
          <t>L04</t>
        </is>
      </c>
      <c r="D102" s="10" t="inlineStr">
        <is>
          <t>AL04G41</t>
        </is>
      </c>
      <c r="E102" s="10" t="inlineStr">
        <is>
          <t>Q02E</t>
        </is>
      </c>
      <c r="F102" s="10" t="inlineStr">
        <is>
          <t>Queen</t>
        </is>
      </c>
      <c r="H102" s="16" t="n"/>
      <c r="J102" s="16" t="n"/>
      <c r="L102" s="10" t="inlineStr">
        <is>
          <t>Typology drawing R01</t>
        </is>
      </c>
      <c r="M102" s="10">
        <f>Config!$B$3&amp;"?room="&amp;A102</f>
        <v/>
      </c>
    </row>
    <row r="103" ht="15" customHeight="1" s="11">
      <c r="A103" s="10" t="inlineStr">
        <is>
          <t>A-L04-QADA2</t>
        </is>
      </c>
      <c r="B103" s="10" t="inlineStr">
        <is>
          <t>Tower A</t>
        </is>
      </c>
      <c r="C103" s="10" t="inlineStr">
        <is>
          <t>L04</t>
        </is>
      </c>
      <c r="D103" s="10" t="inlineStr">
        <is>
          <t>AL04G37</t>
        </is>
      </c>
      <c r="E103" s="10" t="inlineStr">
        <is>
          <t>QADA2</t>
        </is>
      </c>
      <c r="F103" s="10" t="inlineStr">
        <is>
          <t>Queen ADA</t>
        </is>
      </c>
      <c r="H103" s="16" t="n"/>
      <c r="J103" s="16" t="n"/>
      <c r="L103" s="10" t="inlineStr">
        <is>
          <t>Typology drawing R01</t>
        </is>
      </c>
      <c r="M103" s="10">
        <f>Config!$B$3&amp;"?room="&amp;A103</f>
        <v/>
      </c>
    </row>
    <row r="104" ht="15" customHeight="1" s="11">
      <c r="A104" s="10" t="inlineStr">
        <is>
          <t>A-L04-S05</t>
        </is>
      </c>
      <c r="B104" s="10" t="inlineStr">
        <is>
          <t>Tower A</t>
        </is>
      </c>
      <c r="C104" s="10" t="inlineStr">
        <is>
          <t>L04</t>
        </is>
      </c>
      <c r="D104" s="10" t="inlineStr">
        <is>
          <t>AL04G16</t>
        </is>
      </c>
      <c r="E104" s="10" t="inlineStr">
        <is>
          <t>S05</t>
        </is>
      </c>
      <c r="F104" s="10" t="inlineStr">
        <is>
          <t>Suite</t>
        </is>
      </c>
      <c r="H104" s="16" t="n"/>
      <c r="J104" s="16" t="n"/>
      <c r="L104" s="10" t="inlineStr">
        <is>
          <t>Typology drawing R01</t>
        </is>
      </c>
      <c r="M104" s="10">
        <f>Config!$B$3&amp;"?room="&amp;A104</f>
        <v/>
      </c>
    </row>
    <row r="105" ht="15" customHeight="1" s="11">
      <c r="A105" s="10" t="inlineStr">
        <is>
          <t>A-L04-S06</t>
        </is>
      </c>
      <c r="B105" s="10" t="inlineStr">
        <is>
          <t>Tower A</t>
        </is>
      </c>
      <c r="C105" s="10" t="inlineStr">
        <is>
          <t>L04</t>
        </is>
      </c>
      <c r="D105" s="10" t="inlineStr">
        <is>
          <t>AL04G43</t>
        </is>
      </c>
      <c r="E105" s="10" t="inlineStr">
        <is>
          <t>S06</t>
        </is>
      </c>
      <c r="F105" s="10" t="inlineStr">
        <is>
          <t>Suite</t>
        </is>
      </c>
      <c r="H105" s="16" t="n"/>
      <c r="J105" s="16" t="n"/>
      <c r="L105" s="10" t="inlineStr">
        <is>
          <t>Typology drawing R01</t>
        </is>
      </c>
      <c r="M105" s="10">
        <f>Config!$B$3&amp;"?room="&amp;A105</f>
        <v/>
      </c>
    </row>
    <row r="106" ht="15" customHeight="1" s="11">
      <c r="A106" s="10" t="inlineStr">
        <is>
          <t>A-L05-F03</t>
        </is>
      </c>
      <c r="B106" s="10" t="inlineStr">
        <is>
          <t>Tower A</t>
        </is>
      </c>
      <c r="C106" s="10" t="inlineStr">
        <is>
          <t>L05</t>
        </is>
      </c>
      <c r="D106" s="10" t="inlineStr">
        <is>
          <t>AL05G03</t>
        </is>
      </c>
      <c r="E106" s="10" t="inlineStr">
        <is>
          <t>F03</t>
        </is>
      </c>
      <c r="F106" s="10" t="inlineStr">
        <is>
          <t>Family</t>
        </is>
      </c>
      <c r="H106" s="16" t="n"/>
      <c r="J106" s="16" t="n"/>
      <c r="L106" s="10" t="inlineStr">
        <is>
          <t>Typology drawing R01</t>
        </is>
      </c>
      <c r="M106" s="10">
        <f>Config!$B$3&amp;"?room="&amp;A106</f>
        <v/>
      </c>
    </row>
    <row r="107" ht="15" customHeight="1" s="11">
      <c r="A107" s="10" t="inlineStr">
        <is>
          <t>A-L05-F03B</t>
        </is>
      </c>
      <c r="B107" s="10" t="inlineStr">
        <is>
          <t>Tower A</t>
        </is>
      </c>
      <c r="C107" s="10" t="inlineStr">
        <is>
          <t>L05</t>
        </is>
      </c>
      <c r="D107" s="10" t="inlineStr">
        <is>
          <t>AL05G04</t>
        </is>
      </c>
      <c r="E107" s="10" t="inlineStr">
        <is>
          <t>F03B</t>
        </is>
      </c>
      <c r="F107" s="10" t="inlineStr">
        <is>
          <t>Family</t>
        </is>
      </c>
      <c r="H107" s="16" t="n"/>
      <c r="J107" s="16" t="n"/>
      <c r="L107" s="10" t="inlineStr">
        <is>
          <t>Type per Room Matrix (drawing shows F03A)</t>
        </is>
      </c>
      <c r="M107" s="10">
        <f>Config!$B$3&amp;"?room="&amp;A107</f>
        <v/>
      </c>
    </row>
    <row r="108" ht="15" customHeight="1" s="11">
      <c r="A108" s="10" t="inlineStr">
        <is>
          <t>A-L05-F04</t>
        </is>
      </c>
      <c r="B108" s="10" t="inlineStr">
        <is>
          <t>Tower A</t>
        </is>
      </c>
      <c r="C108" s="10" t="inlineStr">
        <is>
          <t>L05</t>
        </is>
      </c>
      <c r="D108" s="10" t="inlineStr">
        <is>
          <t>AL05G11</t>
        </is>
      </c>
      <c r="E108" s="10" t="inlineStr">
        <is>
          <t>F04</t>
        </is>
      </c>
      <c r="F108" s="10" t="inlineStr">
        <is>
          <t>Family</t>
        </is>
      </c>
      <c r="H108" s="16" t="n"/>
      <c r="J108" s="16" t="n"/>
      <c r="L108" s="10" t="inlineStr">
        <is>
          <t>Typology drawing R01</t>
        </is>
      </c>
      <c r="M108" s="10">
        <f>Config!$B$3&amp;"?room="&amp;A108</f>
        <v/>
      </c>
    </row>
    <row r="109" ht="15" customHeight="1" s="11">
      <c r="A109" s="10" t="inlineStr">
        <is>
          <t>A-L05-F05</t>
        </is>
      </c>
      <c r="B109" s="10" t="inlineStr">
        <is>
          <t>Tower A</t>
        </is>
      </c>
      <c r="C109" s="10" t="inlineStr">
        <is>
          <t>L05</t>
        </is>
      </c>
      <c r="D109" s="10" t="inlineStr">
        <is>
          <t>AL05G46</t>
        </is>
      </c>
      <c r="E109" s="10" t="inlineStr">
        <is>
          <t>F05</t>
        </is>
      </c>
      <c r="F109" s="10" t="inlineStr">
        <is>
          <t>Family</t>
        </is>
      </c>
      <c r="H109" s="16" t="n"/>
      <c r="J109" s="16" t="n"/>
      <c r="L109" s="10" t="inlineStr">
        <is>
          <t>Typology drawing R01</t>
        </is>
      </c>
      <c r="M109" s="10">
        <f>Config!$B$3&amp;"?room="&amp;A109</f>
        <v/>
      </c>
    </row>
    <row r="110" ht="15" customHeight="1" s="11">
      <c r="A110" s="10" t="inlineStr">
        <is>
          <t>A-L05-K01-01</t>
        </is>
      </c>
      <c r="B110" s="10" t="inlineStr">
        <is>
          <t>Tower A</t>
        </is>
      </c>
      <c r="C110" s="10" t="inlineStr">
        <is>
          <t>L05</t>
        </is>
      </c>
      <c r="D110" s="10" t="inlineStr">
        <is>
          <t>AL05G19</t>
        </is>
      </c>
      <c r="E110" s="10" t="inlineStr">
        <is>
          <t>K01</t>
        </is>
      </c>
      <c r="F110" s="10" t="inlineStr">
        <is>
          <t>King</t>
        </is>
      </c>
      <c r="H110" s="16" t="n"/>
      <c r="J110" s="16" t="n"/>
      <c r="L110" s="10" t="inlineStr">
        <is>
          <t>Typology drawing R01</t>
        </is>
      </c>
      <c r="M110" s="10">
        <f>Config!$B$3&amp;"?room="&amp;A110</f>
        <v/>
      </c>
    </row>
    <row r="111" ht="15" customHeight="1" s="11">
      <c r="A111" s="10" t="inlineStr">
        <is>
          <t>A-L05-K01-02</t>
        </is>
      </c>
      <c r="B111" s="10" t="inlineStr">
        <is>
          <t>Tower A</t>
        </is>
      </c>
      <c r="C111" s="10" t="inlineStr">
        <is>
          <t>L05</t>
        </is>
      </c>
      <c r="D111" s="10" t="inlineStr">
        <is>
          <t>AL05G23</t>
        </is>
      </c>
      <c r="E111" s="10" t="inlineStr">
        <is>
          <t>K01</t>
        </is>
      </c>
      <c r="F111" s="10" t="inlineStr">
        <is>
          <t>King</t>
        </is>
      </c>
      <c r="H111" s="16" t="n"/>
      <c r="J111" s="16" t="n"/>
      <c r="L111" s="10" t="inlineStr">
        <is>
          <t>Typology drawing R01</t>
        </is>
      </c>
      <c r="M111" s="10">
        <f>Config!$B$3&amp;"?room="&amp;A111</f>
        <v/>
      </c>
    </row>
    <row r="112" ht="15" customHeight="1" s="11">
      <c r="A112" s="10" t="inlineStr">
        <is>
          <t>A-L05-K01-03</t>
        </is>
      </c>
      <c r="B112" s="10" t="inlineStr">
        <is>
          <t>Tower A</t>
        </is>
      </c>
      <c r="C112" s="10" t="inlineStr">
        <is>
          <t>L05</t>
        </is>
      </c>
      <c r="D112" s="10" t="inlineStr">
        <is>
          <t>AL05G27</t>
        </is>
      </c>
      <c r="E112" s="10" t="inlineStr">
        <is>
          <t>K01</t>
        </is>
      </c>
      <c r="F112" s="10" t="inlineStr">
        <is>
          <t>King</t>
        </is>
      </c>
      <c r="H112" s="16" t="n"/>
      <c r="J112" s="16" t="n"/>
      <c r="L112" s="10" t="inlineStr">
        <is>
          <t>Typology drawing R01</t>
        </is>
      </c>
      <c r="M112" s="10">
        <f>Config!$B$3&amp;"?room="&amp;A112</f>
        <v/>
      </c>
    </row>
    <row r="113" ht="15" customHeight="1" s="11">
      <c r="A113" s="10" t="inlineStr">
        <is>
          <t>A-L05-K01B-01</t>
        </is>
      </c>
      <c r="B113" s="10" t="inlineStr">
        <is>
          <t>Tower A</t>
        </is>
      </c>
      <c r="C113" s="10" t="inlineStr">
        <is>
          <t>L05</t>
        </is>
      </c>
      <c r="D113" s="10" t="inlineStr">
        <is>
          <t>AL05G26</t>
        </is>
      </c>
      <c r="E113" s="10" t="inlineStr">
        <is>
          <t>K01B</t>
        </is>
      </c>
      <c r="F113" s="10" t="inlineStr">
        <is>
          <t>King</t>
        </is>
      </c>
      <c r="H113" s="16" t="n"/>
      <c r="J113" s="16" t="n"/>
      <c r="L113" s="10" t="inlineStr">
        <is>
          <t>Typology drawing R01</t>
        </is>
      </c>
      <c r="M113" s="10">
        <f>Config!$B$3&amp;"?room="&amp;A113</f>
        <v/>
      </c>
    </row>
    <row r="114" ht="15" customHeight="1" s="11">
      <c r="A114" s="10" t="inlineStr">
        <is>
          <t>A-L05-K01B-02</t>
        </is>
      </c>
      <c r="B114" s="10" t="inlineStr">
        <is>
          <t>Tower A</t>
        </is>
      </c>
      <c r="C114" s="10" t="inlineStr">
        <is>
          <t>L05</t>
        </is>
      </c>
      <c r="D114" s="10" t="inlineStr">
        <is>
          <t>AL05G30</t>
        </is>
      </c>
      <c r="E114" s="10" t="inlineStr">
        <is>
          <t>K01B</t>
        </is>
      </c>
      <c r="F114" s="10" t="inlineStr">
        <is>
          <t>King</t>
        </is>
      </c>
      <c r="H114" s="16" t="n"/>
      <c r="J114" s="16" t="n"/>
      <c r="L114" s="10" t="inlineStr">
        <is>
          <t>Typology drawing R01</t>
        </is>
      </c>
      <c r="M114" s="10">
        <f>Config!$B$3&amp;"?room="&amp;A114</f>
        <v/>
      </c>
    </row>
    <row r="115" ht="15" customHeight="1" s="11">
      <c r="A115" s="10" t="inlineStr">
        <is>
          <t>A-L05-K01C-01</t>
        </is>
      </c>
      <c r="B115" s="10" t="inlineStr">
        <is>
          <t>Tower A</t>
        </is>
      </c>
      <c r="C115" s="10" t="inlineStr">
        <is>
          <t>L05</t>
        </is>
      </c>
      <c r="D115" s="10" t="inlineStr">
        <is>
          <t>AL05G07</t>
        </is>
      </c>
      <c r="E115" s="10" t="inlineStr">
        <is>
          <t>K01C</t>
        </is>
      </c>
      <c r="F115" s="10" t="inlineStr">
        <is>
          <t>King</t>
        </is>
      </c>
      <c r="H115" s="16" t="n"/>
      <c r="J115" s="16" t="n"/>
      <c r="L115" s="10" t="inlineStr">
        <is>
          <t>Typology drawing R01</t>
        </is>
      </c>
      <c r="M115" s="10">
        <f>Config!$B$3&amp;"?room="&amp;A115</f>
        <v/>
      </c>
    </row>
    <row r="116" ht="15" customHeight="1" s="11">
      <c r="A116" s="10" t="inlineStr">
        <is>
          <t>A-L05-K01C-02</t>
        </is>
      </c>
      <c r="B116" s="10" t="inlineStr">
        <is>
          <t>Tower A</t>
        </is>
      </c>
      <c r="C116" s="10" t="inlineStr">
        <is>
          <t>L05</t>
        </is>
      </c>
      <c r="D116" s="10" t="inlineStr">
        <is>
          <t>AL05G31</t>
        </is>
      </c>
      <c r="E116" s="10" t="inlineStr">
        <is>
          <t>K01C</t>
        </is>
      </c>
      <c r="F116" s="10" t="inlineStr">
        <is>
          <t>King</t>
        </is>
      </c>
      <c r="H116" s="16" t="n"/>
      <c r="J116" s="16" t="n"/>
      <c r="L116" s="10" t="inlineStr">
        <is>
          <t>Typology drawing R01</t>
        </is>
      </c>
      <c r="M116" s="10">
        <f>Config!$B$3&amp;"?room="&amp;A116</f>
        <v/>
      </c>
    </row>
    <row r="117" ht="15" customHeight="1" s="11">
      <c r="A117" s="10" t="inlineStr">
        <is>
          <t>A-L05-K01C-03</t>
        </is>
      </c>
      <c r="B117" s="10" t="inlineStr">
        <is>
          <t>Tower A</t>
        </is>
      </c>
      <c r="C117" s="10" t="inlineStr">
        <is>
          <t>L05</t>
        </is>
      </c>
      <c r="D117" s="10" t="inlineStr">
        <is>
          <t>AL05G35</t>
        </is>
      </c>
      <c r="E117" s="10" t="inlineStr">
        <is>
          <t>K01C</t>
        </is>
      </c>
      <c r="F117" s="10" t="inlineStr">
        <is>
          <t>King</t>
        </is>
      </c>
      <c r="H117" s="16" t="n"/>
      <c r="J117" s="16" t="n"/>
      <c r="L117" s="10" t="inlineStr">
        <is>
          <t>Typology drawing R01</t>
        </is>
      </c>
      <c r="M117" s="10">
        <f>Config!$B$3&amp;"?room="&amp;A117</f>
        <v/>
      </c>
    </row>
    <row r="118" ht="15" customHeight="1" s="11">
      <c r="A118" s="10" t="inlineStr">
        <is>
          <t>A-L05-K01D</t>
        </is>
      </c>
      <c r="B118" s="10" t="inlineStr">
        <is>
          <t>Tower A</t>
        </is>
      </c>
      <c r="C118" s="10" t="inlineStr">
        <is>
          <t>L05</t>
        </is>
      </c>
      <c r="D118" s="10" t="inlineStr">
        <is>
          <t>AL05G39</t>
        </is>
      </c>
      <c r="E118" s="10" t="inlineStr">
        <is>
          <t>K01D</t>
        </is>
      </c>
      <c r="F118" s="10" t="inlineStr">
        <is>
          <t>King</t>
        </is>
      </c>
      <c r="H118" s="16" t="n"/>
      <c r="J118" s="16" t="n"/>
      <c r="L118" s="10" t="inlineStr">
        <is>
          <t>Typology drawing R01</t>
        </is>
      </c>
      <c r="M118" s="10">
        <f>Config!$B$3&amp;"?room="&amp;A118</f>
        <v/>
      </c>
    </row>
    <row r="119" ht="15" customHeight="1" s="11">
      <c r="A119" s="10" t="inlineStr">
        <is>
          <t>A-L05-K02-01</t>
        </is>
      </c>
      <c r="B119" s="10" t="inlineStr">
        <is>
          <t>Tower A</t>
        </is>
      </c>
      <c r="C119" s="10" t="inlineStr">
        <is>
          <t>L05</t>
        </is>
      </c>
      <c r="D119" s="10" t="inlineStr">
        <is>
          <t>AL05G25</t>
        </is>
      </c>
      <c r="E119" s="10" t="inlineStr">
        <is>
          <t>K02</t>
        </is>
      </c>
      <c r="F119" s="10" t="inlineStr">
        <is>
          <t>King</t>
        </is>
      </c>
      <c r="H119" s="16" t="n"/>
      <c r="J119" s="16" t="n"/>
      <c r="L119" s="10" t="inlineStr">
        <is>
          <t>Typology drawing R01</t>
        </is>
      </c>
      <c r="M119" s="10">
        <f>Config!$B$3&amp;"?room="&amp;A119</f>
        <v/>
      </c>
    </row>
    <row r="120" ht="15" customHeight="1" s="11">
      <c r="A120" s="10" t="inlineStr">
        <is>
          <t>A-L05-K02-02</t>
        </is>
      </c>
      <c r="B120" s="10" t="inlineStr">
        <is>
          <t>Tower A</t>
        </is>
      </c>
      <c r="C120" s="10" t="inlineStr">
        <is>
          <t>L05</t>
        </is>
      </c>
      <c r="D120" s="10" t="inlineStr">
        <is>
          <t>AL05G29</t>
        </is>
      </c>
      <c r="E120" s="10" t="inlineStr">
        <is>
          <t>K02</t>
        </is>
      </c>
      <c r="F120" s="10" t="inlineStr">
        <is>
          <t>King</t>
        </is>
      </c>
      <c r="H120" s="16" t="n"/>
      <c r="J120" s="16" t="n"/>
      <c r="L120" s="10" t="inlineStr">
        <is>
          <t>Typology drawing R01</t>
        </is>
      </c>
      <c r="M120" s="10">
        <f>Config!$B$3&amp;"?room="&amp;A120</f>
        <v/>
      </c>
    </row>
    <row r="121" ht="15" customHeight="1" s="11">
      <c r="A121" s="10" t="inlineStr">
        <is>
          <t>A-L05-K02B-01</t>
        </is>
      </c>
      <c r="B121" s="10" t="inlineStr">
        <is>
          <t>Tower A</t>
        </is>
      </c>
      <c r="C121" s="10" t="inlineStr">
        <is>
          <t>L05</t>
        </is>
      </c>
      <c r="D121" s="10" t="inlineStr">
        <is>
          <t>AL05G24</t>
        </is>
      </c>
      <c r="E121" s="10" t="inlineStr">
        <is>
          <t>K02B</t>
        </is>
      </c>
      <c r="F121" s="10" t="inlineStr">
        <is>
          <t>King</t>
        </is>
      </c>
      <c r="H121" s="16" t="n"/>
      <c r="J121" s="16" t="n"/>
      <c r="L121" s="10" t="inlineStr">
        <is>
          <t>Typology drawing R01</t>
        </is>
      </c>
      <c r="M121" s="10">
        <f>Config!$B$3&amp;"?room="&amp;A121</f>
        <v/>
      </c>
    </row>
    <row r="122" ht="15" customHeight="1" s="11">
      <c r="A122" s="10" t="inlineStr">
        <is>
          <t>A-L05-K02B-02</t>
        </is>
      </c>
      <c r="B122" s="10" t="inlineStr">
        <is>
          <t>Tower A</t>
        </is>
      </c>
      <c r="C122" s="10" t="inlineStr">
        <is>
          <t>L05</t>
        </is>
      </c>
      <c r="D122" s="10" t="inlineStr">
        <is>
          <t>AL05G28</t>
        </is>
      </c>
      <c r="E122" s="10" t="inlineStr">
        <is>
          <t>K02B</t>
        </is>
      </c>
      <c r="F122" s="10" t="inlineStr">
        <is>
          <t>King</t>
        </is>
      </c>
      <c r="H122" s="16" t="n"/>
      <c r="J122" s="16" t="n"/>
      <c r="L122" s="10" t="inlineStr">
        <is>
          <t>Typology drawing R01</t>
        </is>
      </c>
      <c r="M122" s="10">
        <f>Config!$B$3&amp;"?room="&amp;A122</f>
        <v/>
      </c>
    </row>
    <row r="123" ht="15" customHeight="1" s="11">
      <c r="A123" s="10" t="inlineStr">
        <is>
          <t>A-L05-K02B-03</t>
        </is>
      </c>
      <c r="B123" s="10" t="inlineStr">
        <is>
          <t>Tower A</t>
        </is>
      </c>
      <c r="C123" s="10" t="inlineStr">
        <is>
          <t>L05</t>
        </is>
      </c>
      <c r="D123" s="10" t="inlineStr">
        <is>
          <t>AL05G36</t>
        </is>
      </c>
      <c r="E123" s="10" t="inlineStr">
        <is>
          <t>K02B</t>
        </is>
      </c>
      <c r="F123" s="10" t="inlineStr">
        <is>
          <t>King</t>
        </is>
      </c>
      <c r="H123" s="16" t="n"/>
      <c r="J123" s="16" t="n"/>
      <c r="L123" s="10" t="inlineStr">
        <is>
          <t>Typology drawing R01</t>
        </is>
      </c>
      <c r="M123" s="10">
        <f>Config!$B$3&amp;"?room="&amp;A123</f>
        <v/>
      </c>
    </row>
    <row r="124" ht="15" customHeight="1" s="11">
      <c r="A124" s="10" t="inlineStr">
        <is>
          <t>A-L05-K02C1</t>
        </is>
      </c>
      <c r="B124" s="10" t="inlineStr">
        <is>
          <t>Tower A</t>
        </is>
      </c>
      <c r="C124" s="10" t="inlineStr">
        <is>
          <t>L05</t>
        </is>
      </c>
      <c r="D124" s="10" t="inlineStr">
        <is>
          <t>AL05G08</t>
        </is>
      </c>
      <c r="E124" s="10" t="inlineStr">
        <is>
          <t>K02C1</t>
        </is>
      </c>
      <c r="F124" s="10" t="inlineStr">
        <is>
          <t>King</t>
        </is>
      </c>
      <c r="H124" s="16" t="n"/>
      <c r="J124" s="16" t="n"/>
      <c r="L124" s="10" t="inlineStr">
        <is>
          <t>Typology drawing R01</t>
        </is>
      </c>
      <c r="M124" s="10">
        <f>Config!$B$3&amp;"?room="&amp;A124</f>
        <v/>
      </c>
    </row>
    <row r="125" ht="15" customHeight="1" s="11">
      <c r="A125" s="10" t="inlineStr">
        <is>
          <t>A-L05-K02C2-01</t>
        </is>
      </c>
      <c r="B125" s="10" t="inlineStr">
        <is>
          <t>Tower A</t>
        </is>
      </c>
      <c r="C125" s="10" t="inlineStr">
        <is>
          <t>L05</t>
        </is>
      </c>
      <c r="D125" s="10" t="inlineStr">
        <is>
          <t>AL05G20</t>
        </is>
      </c>
      <c r="E125" s="10" t="inlineStr">
        <is>
          <t>K02C2</t>
        </is>
      </c>
      <c r="F125" s="10" t="inlineStr">
        <is>
          <t>King</t>
        </is>
      </c>
      <c r="H125" s="16" t="n"/>
      <c r="J125" s="16" t="n"/>
      <c r="L125" s="10" t="inlineStr">
        <is>
          <t>Typology drawing R01</t>
        </is>
      </c>
      <c r="M125" s="10">
        <f>Config!$B$3&amp;"?room="&amp;A125</f>
        <v/>
      </c>
    </row>
    <row r="126" ht="15" customHeight="1" s="11">
      <c r="A126" s="10" t="inlineStr">
        <is>
          <t>A-L05-K02C2-02</t>
        </is>
      </c>
      <c r="B126" s="10" t="inlineStr">
        <is>
          <t>Tower A</t>
        </is>
      </c>
      <c r="C126" s="10" t="inlineStr">
        <is>
          <t>L05</t>
        </is>
      </c>
      <c r="D126" s="10" t="inlineStr">
        <is>
          <t>AL05G32</t>
        </is>
      </c>
      <c r="E126" s="10" t="inlineStr">
        <is>
          <t>K02C2</t>
        </is>
      </c>
      <c r="F126" s="10" t="inlineStr">
        <is>
          <t>King</t>
        </is>
      </c>
      <c r="H126" s="16" t="n"/>
      <c r="J126" s="16" t="n"/>
      <c r="L126" s="10" t="inlineStr">
        <is>
          <t>Typology drawing R01</t>
        </is>
      </c>
      <c r="M126" s="10">
        <f>Config!$B$3&amp;"?room="&amp;A126</f>
        <v/>
      </c>
    </row>
    <row r="127" ht="15" customHeight="1" s="11">
      <c r="A127" s="10" t="inlineStr">
        <is>
          <t>A-L05-K02D1</t>
        </is>
      </c>
      <c r="B127" s="10" t="inlineStr">
        <is>
          <t>Tower A</t>
        </is>
      </c>
      <c r="C127" s="10" t="inlineStr">
        <is>
          <t>L05</t>
        </is>
      </c>
      <c r="D127" s="10" t="inlineStr">
        <is>
          <t>AL05G12</t>
        </is>
      </c>
      <c r="E127" s="10" t="inlineStr">
        <is>
          <t>K02D1</t>
        </is>
      </c>
      <c r="F127" s="10" t="inlineStr">
        <is>
          <t>King</t>
        </is>
      </c>
      <c r="H127" s="16" t="n"/>
      <c r="J127" s="16" t="n"/>
      <c r="L127" s="10" t="inlineStr">
        <is>
          <t>Typology drawing R01</t>
        </is>
      </c>
      <c r="M127" s="10">
        <f>Config!$B$3&amp;"?room="&amp;A127</f>
        <v/>
      </c>
    </row>
    <row r="128" ht="15" customHeight="1" s="11">
      <c r="A128" s="10" t="inlineStr">
        <is>
          <t>A-L05-Q01</t>
        </is>
      </c>
      <c r="B128" s="10" t="inlineStr">
        <is>
          <t>Tower A</t>
        </is>
      </c>
      <c r="C128" s="10" t="inlineStr">
        <is>
          <t>L05</t>
        </is>
      </c>
      <c r="D128" s="10" t="inlineStr">
        <is>
          <t>AL05G21</t>
        </is>
      </c>
      <c r="E128" s="10" t="inlineStr">
        <is>
          <t>Q01</t>
        </is>
      </c>
      <c r="F128" s="10" t="inlineStr">
        <is>
          <t>Queen</t>
        </is>
      </c>
      <c r="H128" s="16" t="n"/>
      <c r="J128" s="16" t="n"/>
      <c r="L128" s="10" t="inlineStr">
        <is>
          <t>Typology drawing R01</t>
        </is>
      </c>
      <c r="M128" s="10">
        <f>Config!$B$3&amp;"?room="&amp;A128</f>
        <v/>
      </c>
    </row>
    <row r="129" ht="15" customHeight="1" s="11">
      <c r="A129" s="10" t="inlineStr">
        <is>
          <t>A-L05-Q01C-01</t>
        </is>
      </c>
      <c r="B129" s="10" t="inlineStr">
        <is>
          <t>Tower A</t>
        </is>
      </c>
      <c r="C129" s="10" t="inlineStr">
        <is>
          <t>L05</t>
        </is>
      </c>
      <c r="D129" s="10" t="inlineStr">
        <is>
          <t>AL05G05</t>
        </is>
      </c>
      <c r="E129" s="10" t="inlineStr">
        <is>
          <t>Q01C</t>
        </is>
      </c>
      <c r="F129" s="10" t="inlineStr">
        <is>
          <t>Queen</t>
        </is>
      </c>
      <c r="H129" s="16" t="n"/>
      <c r="J129" s="16" t="n"/>
      <c r="L129" s="10" t="inlineStr">
        <is>
          <t>Typology drawing R01</t>
        </is>
      </c>
      <c r="M129" s="10">
        <f>Config!$B$3&amp;"?room="&amp;A129</f>
        <v/>
      </c>
    </row>
    <row r="130" ht="15" customHeight="1" s="11">
      <c r="A130" s="10" t="inlineStr">
        <is>
          <t>A-L05-Q01C-02</t>
        </is>
      </c>
      <c r="B130" s="10" t="inlineStr">
        <is>
          <t>Tower A</t>
        </is>
      </c>
      <c r="C130" s="10" t="inlineStr">
        <is>
          <t>L05</t>
        </is>
      </c>
      <c r="D130" s="10" t="inlineStr">
        <is>
          <t>AL05G09</t>
        </is>
      </c>
      <c r="E130" s="10" t="inlineStr">
        <is>
          <t>Q01C</t>
        </is>
      </c>
      <c r="F130" s="10" t="inlineStr">
        <is>
          <t>Queen</t>
        </is>
      </c>
      <c r="H130" s="16" t="n"/>
      <c r="J130" s="16" t="n"/>
      <c r="L130" s="10" t="inlineStr">
        <is>
          <t>Typology drawing R01</t>
        </is>
      </c>
      <c r="M130" s="10">
        <f>Config!$B$3&amp;"?room="&amp;A130</f>
        <v/>
      </c>
    </row>
    <row r="131" ht="15" customHeight="1" s="11">
      <c r="A131" s="10" t="inlineStr">
        <is>
          <t>A-L05-Q01C-03</t>
        </is>
      </c>
      <c r="B131" s="10" t="inlineStr">
        <is>
          <t>Tower A</t>
        </is>
      </c>
      <c r="C131" s="10" t="inlineStr">
        <is>
          <t>L05</t>
        </is>
      </c>
      <c r="D131" s="10" t="inlineStr">
        <is>
          <t>AL05G33</t>
        </is>
      </c>
      <c r="E131" s="10" t="inlineStr">
        <is>
          <t>Q01C</t>
        </is>
      </c>
      <c r="F131" s="10" t="inlineStr">
        <is>
          <t>Queen</t>
        </is>
      </c>
      <c r="H131" s="16" t="n"/>
      <c r="J131" s="16" t="n"/>
      <c r="L131" s="10" t="inlineStr">
        <is>
          <t>Typology drawing R01</t>
        </is>
      </c>
      <c r="M131" s="10">
        <f>Config!$B$3&amp;"?room="&amp;A131</f>
        <v/>
      </c>
    </row>
    <row r="132" ht="15" customHeight="1" s="11">
      <c r="A132" s="10" t="inlineStr">
        <is>
          <t>A-L05-Q01C1</t>
        </is>
      </c>
      <c r="B132" s="10" t="inlineStr">
        <is>
          <t>Tower A</t>
        </is>
      </c>
      <c r="C132" s="10" t="inlineStr">
        <is>
          <t>L05</t>
        </is>
      </c>
      <c r="D132" s="10" t="inlineStr">
        <is>
          <t>AL05G14</t>
        </is>
      </c>
      <c r="E132" s="10" t="inlineStr">
        <is>
          <t>Q01C1</t>
        </is>
      </c>
      <c r="F132" s="10" t="inlineStr">
        <is>
          <t>Queen</t>
        </is>
      </c>
      <c r="H132" s="16" t="n"/>
      <c r="J132" s="16" t="n"/>
      <c r="L132" s="10" t="inlineStr">
        <is>
          <t>Typology drawing R01</t>
        </is>
      </c>
      <c r="M132" s="10">
        <f>Config!$B$3&amp;"?room="&amp;A132</f>
        <v/>
      </c>
    </row>
    <row r="133" ht="15" customHeight="1" s="11">
      <c r="A133" s="10" t="inlineStr">
        <is>
          <t>A-L05-Q02C1-01</t>
        </is>
      </c>
      <c r="B133" s="10" t="inlineStr">
        <is>
          <t>Tower A</t>
        </is>
      </c>
      <c r="C133" s="10" t="inlineStr">
        <is>
          <t>L05</t>
        </is>
      </c>
      <c r="D133" s="10" t="inlineStr">
        <is>
          <t>AL05G06</t>
        </is>
      </c>
      <c r="E133" s="10" t="inlineStr">
        <is>
          <t>Q02C1</t>
        </is>
      </c>
      <c r="F133" s="10" t="inlineStr">
        <is>
          <t>Queen</t>
        </is>
      </c>
      <c r="H133" s="16" t="n"/>
      <c r="J133" s="16" t="n"/>
      <c r="L133" s="10" t="inlineStr">
        <is>
          <t>Typology drawing R01</t>
        </is>
      </c>
      <c r="M133" s="10">
        <f>Config!$B$3&amp;"?room="&amp;A133</f>
        <v/>
      </c>
    </row>
    <row r="134" ht="15" customHeight="1" s="11">
      <c r="A134" s="10" t="inlineStr">
        <is>
          <t>A-L05-Q02C1-02</t>
        </is>
      </c>
      <c r="B134" s="10" t="inlineStr">
        <is>
          <t>Tower A</t>
        </is>
      </c>
      <c r="C134" s="10" t="inlineStr">
        <is>
          <t>L05</t>
        </is>
      </c>
      <c r="D134" s="10" t="inlineStr">
        <is>
          <t>AL05G10</t>
        </is>
      </c>
      <c r="E134" s="10" t="inlineStr">
        <is>
          <t>Q02C1</t>
        </is>
      </c>
      <c r="F134" s="10" t="inlineStr">
        <is>
          <t>Queen</t>
        </is>
      </c>
      <c r="H134" s="16" t="n"/>
      <c r="J134" s="16" t="n"/>
      <c r="L134" s="10" t="inlineStr">
        <is>
          <t>Typology drawing R01</t>
        </is>
      </c>
      <c r="M134" s="10">
        <f>Config!$B$3&amp;"?room="&amp;A134</f>
        <v/>
      </c>
    </row>
    <row r="135" ht="15" customHeight="1" s="11">
      <c r="A135" s="10" t="inlineStr">
        <is>
          <t>A-L05-Q02C2-01</t>
        </is>
      </c>
      <c r="B135" s="10" t="inlineStr">
        <is>
          <t>Tower A</t>
        </is>
      </c>
      <c r="C135" s="10" t="inlineStr">
        <is>
          <t>L05</t>
        </is>
      </c>
      <c r="D135" s="10" t="inlineStr">
        <is>
          <t>AL05G22</t>
        </is>
      </c>
      <c r="E135" s="10" t="inlineStr">
        <is>
          <t>Q02C2</t>
        </is>
      </c>
      <c r="F135" s="10" t="inlineStr">
        <is>
          <t>Queen</t>
        </is>
      </c>
      <c r="H135" s="16" t="n"/>
      <c r="J135" s="16" t="n"/>
      <c r="L135" s="10" t="inlineStr">
        <is>
          <t>Typology drawing R01</t>
        </is>
      </c>
      <c r="M135" s="10">
        <f>Config!$B$3&amp;"?room="&amp;A135</f>
        <v/>
      </c>
    </row>
    <row r="136" ht="15" customHeight="1" s="11">
      <c r="A136" s="10" t="inlineStr">
        <is>
          <t>A-L05-Q02C2-02</t>
        </is>
      </c>
      <c r="B136" s="10" t="inlineStr">
        <is>
          <t>Tower A</t>
        </is>
      </c>
      <c r="C136" s="10" t="inlineStr">
        <is>
          <t>L05</t>
        </is>
      </c>
      <c r="D136" s="10" t="inlineStr">
        <is>
          <t>AL05G34</t>
        </is>
      </c>
      <c r="E136" s="10" t="inlineStr">
        <is>
          <t>Q02C2</t>
        </is>
      </c>
      <c r="F136" s="10" t="inlineStr">
        <is>
          <t>Queen</t>
        </is>
      </c>
      <c r="H136" s="16" t="n"/>
      <c r="J136" s="16" t="n"/>
      <c r="L136" s="10" t="inlineStr">
        <is>
          <t>Typology drawing R01</t>
        </is>
      </c>
      <c r="M136" s="10">
        <f>Config!$B$3&amp;"?room="&amp;A136</f>
        <v/>
      </c>
    </row>
    <row r="137" ht="15" customHeight="1" s="11">
      <c r="A137" s="10" t="inlineStr">
        <is>
          <t>A-L05-Q02E</t>
        </is>
      </c>
      <c r="B137" s="10" t="inlineStr">
        <is>
          <t>Tower A</t>
        </is>
      </c>
      <c r="C137" s="10" t="inlineStr">
        <is>
          <t>L05</t>
        </is>
      </c>
      <c r="D137" s="10" t="inlineStr">
        <is>
          <t>AL05G41</t>
        </is>
      </c>
      <c r="E137" s="10" t="inlineStr">
        <is>
          <t>Q02E</t>
        </is>
      </c>
      <c r="F137" s="10" t="inlineStr">
        <is>
          <t>Queen</t>
        </is>
      </c>
      <c r="H137" s="16" t="n"/>
      <c r="J137" s="16" t="n"/>
      <c r="L137" s="10" t="inlineStr">
        <is>
          <t>Typology drawing R01</t>
        </is>
      </c>
      <c r="M137" s="10">
        <f>Config!$B$3&amp;"?room="&amp;A137</f>
        <v/>
      </c>
    </row>
    <row r="138" ht="15" customHeight="1" s="11">
      <c r="A138" s="10" t="inlineStr">
        <is>
          <t>A-L05-QADA2</t>
        </is>
      </c>
      <c r="B138" s="10" t="inlineStr">
        <is>
          <t>Tower A</t>
        </is>
      </c>
      <c r="C138" s="10" t="inlineStr">
        <is>
          <t>L05</t>
        </is>
      </c>
      <c r="D138" s="10" t="inlineStr">
        <is>
          <t>AL05G37</t>
        </is>
      </c>
      <c r="E138" s="10" t="inlineStr">
        <is>
          <t>QADA2</t>
        </is>
      </c>
      <c r="F138" s="10" t="inlineStr">
        <is>
          <t>Queen ADA</t>
        </is>
      </c>
      <c r="H138" s="16" t="n"/>
      <c r="J138" s="16" t="n"/>
      <c r="L138" s="10" t="inlineStr">
        <is>
          <t>Typology drawing R01</t>
        </is>
      </c>
      <c r="M138" s="10">
        <f>Config!$B$3&amp;"?room="&amp;A138</f>
        <v/>
      </c>
    </row>
    <row r="139" ht="15" customHeight="1" s="11">
      <c r="A139" s="10" t="inlineStr">
        <is>
          <t>A-L05-S05</t>
        </is>
      </c>
      <c r="B139" s="10" t="inlineStr">
        <is>
          <t>Tower A</t>
        </is>
      </c>
      <c r="C139" s="10" t="inlineStr">
        <is>
          <t>L05</t>
        </is>
      </c>
      <c r="D139" s="10" t="inlineStr">
        <is>
          <t>AL05G16</t>
        </is>
      </c>
      <c r="E139" s="10" t="inlineStr">
        <is>
          <t>S05</t>
        </is>
      </c>
      <c r="F139" s="10" t="inlineStr">
        <is>
          <t>Suite</t>
        </is>
      </c>
      <c r="H139" s="16" t="n"/>
      <c r="J139" s="16" t="n"/>
      <c r="L139" s="10" t="inlineStr">
        <is>
          <t>Typology drawing R01</t>
        </is>
      </c>
      <c r="M139" s="10">
        <f>Config!$B$3&amp;"?room="&amp;A139</f>
        <v/>
      </c>
    </row>
    <row r="140" ht="15" customHeight="1" s="11">
      <c r="A140" s="10" t="inlineStr">
        <is>
          <t>A-L05-S06</t>
        </is>
      </c>
      <c r="B140" s="10" t="inlineStr">
        <is>
          <t>Tower A</t>
        </is>
      </c>
      <c r="C140" s="10" t="inlineStr">
        <is>
          <t>L05</t>
        </is>
      </c>
      <c r="D140" s="10" t="inlineStr">
        <is>
          <t>AL05G43</t>
        </is>
      </c>
      <c r="E140" s="10" t="inlineStr">
        <is>
          <t>S06</t>
        </is>
      </c>
      <c r="F140" s="10" t="inlineStr">
        <is>
          <t>Suite</t>
        </is>
      </c>
      <c r="H140" s="16" t="n"/>
      <c r="J140" s="16" t="n"/>
      <c r="L140" s="10" t="inlineStr">
        <is>
          <t>Typology drawing R01</t>
        </is>
      </c>
      <c r="M140" s="10">
        <f>Config!$B$3&amp;"?room="&amp;A140</f>
        <v/>
      </c>
    </row>
    <row r="141" ht="15" customHeight="1" s="11">
      <c r="A141" s="10" t="inlineStr">
        <is>
          <t>A-L06-F03</t>
        </is>
      </c>
      <c r="B141" s="10" t="inlineStr">
        <is>
          <t>Tower A</t>
        </is>
      </c>
      <c r="C141" s="10" t="inlineStr">
        <is>
          <t>L06</t>
        </is>
      </c>
      <c r="D141" s="10" t="inlineStr">
        <is>
          <t>AL06G03</t>
        </is>
      </c>
      <c r="E141" s="10" t="inlineStr">
        <is>
          <t>F03</t>
        </is>
      </c>
      <c r="F141" s="10" t="inlineStr">
        <is>
          <t>Family</t>
        </is>
      </c>
      <c r="H141" s="16" t="n"/>
      <c r="J141" s="16" t="n"/>
      <c r="L141" s="10" t="inlineStr">
        <is>
          <t>Typology drawing R01</t>
        </is>
      </c>
      <c r="M141" s="10">
        <f>Config!$B$3&amp;"?room="&amp;A141</f>
        <v/>
      </c>
    </row>
    <row r="142" ht="15" customHeight="1" s="11">
      <c r="A142" s="10" t="inlineStr">
        <is>
          <t>A-L06-F03B</t>
        </is>
      </c>
      <c r="B142" s="10" t="inlineStr">
        <is>
          <t>Tower A</t>
        </is>
      </c>
      <c r="C142" s="10" t="inlineStr">
        <is>
          <t>L06</t>
        </is>
      </c>
      <c r="D142" s="10" t="inlineStr">
        <is>
          <t>AL06G04</t>
        </is>
      </c>
      <c r="E142" s="10" t="inlineStr">
        <is>
          <t>F03B</t>
        </is>
      </c>
      <c r="F142" s="10" t="inlineStr">
        <is>
          <t>Family</t>
        </is>
      </c>
      <c r="H142" s="16" t="n"/>
      <c r="J142" s="16" t="n"/>
      <c r="L142" s="10" t="inlineStr">
        <is>
          <t>Type per Room Matrix (drawing shows F03A)</t>
        </is>
      </c>
      <c r="M142" s="10">
        <f>Config!$B$3&amp;"?room="&amp;A142</f>
        <v/>
      </c>
    </row>
    <row r="143" ht="15" customHeight="1" s="11">
      <c r="A143" s="10" t="inlineStr">
        <is>
          <t>A-L06-F04</t>
        </is>
      </c>
      <c r="B143" s="10" t="inlineStr">
        <is>
          <t>Tower A</t>
        </is>
      </c>
      <c r="C143" s="10" t="inlineStr">
        <is>
          <t>L06</t>
        </is>
      </c>
      <c r="D143" s="10" t="inlineStr">
        <is>
          <t>AL06G11</t>
        </is>
      </c>
      <c r="E143" s="10" t="inlineStr">
        <is>
          <t>F04</t>
        </is>
      </c>
      <c r="F143" s="10" t="inlineStr">
        <is>
          <t>Family</t>
        </is>
      </c>
      <c r="H143" s="16" t="n"/>
      <c r="J143" s="16" t="n"/>
      <c r="L143" s="10" t="inlineStr">
        <is>
          <t>Typology drawing R01</t>
        </is>
      </c>
      <c r="M143" s="10">
        <f>Config!$B$3&amp;"?room="&amp;A143</f>
        <v/>
      </c>
    </row>
    <row r="144" ht="15" customHeight="1" s="11">
      <c r="A144" s="10" t="inlineStr">
        <is>
          <t>A-L06-F05</t>
        </is>
      </c>
      <c r="B144" s="10" t="inlineStr">
        <is>
          <t>Tower A</t>
        </is>
      </c>
      <c r="C144" s="10" t="inlineStr">
        <is>
          <t>L06</t>
        </is>
      </c>
      <c r="D144" s="10" t="inlineStr">
        <is>
          <t>AL06G46</t>
        </is>
      </c>
      <c r="E144" s="10" t="inlineStr">
        <is>
          <t>F05</t>
        </is>
      </c>
      <c r="F144" s="10" t="inlineStr">
        <is>
          <t>Family</t>
        </is>
      </c>
      <c r="H144" s="16" t="n"/>
      <c r="J144" s="16" t="n"/>
      <c r="L144" s="10" t="inlineStr">
        <is>
          <t>Typology drawing R01</t>
        </is>
      </c>
      <c r="M144" s="10">
        <f>Config!$B$3&amp;"?room="&amp;A144</f>
        <v/>
      </c>
    </row>
    <row r="145" ht="15" customHeight="1" s="11">
      <c r="A145" s="10" t="inlineStr">
        <is>
          <t>A-L06-K01-01</t>
        </is>
      </c>
      <c r="B145" s="10" t="inlineStr">
        <is>
          <t>Tower A</t>
        </is>
      </c>
      <c r="C145" s="10" t="inlineStr">
        <is>
          <t>L06</t>
        </is>
      </c>
      <c r="D145" s="10" t="inlineStr">
        <is>
          <t>AL06G19</t>
        </is>
      </c>
      <c r="E145" s="10" t="inlineStr">
        <is>
          <t>K01</t>
        </is>
      </c>
      <c r="F145" s="10" t="inlineStr">
        <is>
          <t>King</t>
        </is>
      </c>
      <c r="H145" s="16" t="n"/>
      <c r="J145" s="16" t="n"/>
      <c r="L145" s="10" t="inlineStr">
        <is>
          <t>Typology drawing R01</t>
        </is>
      </c>
      <c r="M145" s="10">
        <f>Config!$B$3&amp;"?room="&amp;A145</f>
        <v/>
      </c>
    </row>
    <row r="146" ht="15" customHeight="1" s="11">
      <c r="A146" s="10" t="inlineStr">
        <is>
          <t>A-L06-K01-02</t>
        </is>
      </c>
      <c r="B146" s="10" t="inlineStr">
        <is>
          <t>Tower A</t>
        </is>
      </c>
      <c r="C146" s="10" t="inlineStr">
        <is>
          <t>L06</t>
        </is>
      </c>
      <c r="D146" s="10" t="inlineStr">
        <is>
          <t>AL06G23</t>
        </is>
      </c>
      <c r="E146" s="10" t="inlineStr">
        <is>
          <t>K01</t>
        </is>
      </c>
      <c r="F146" s="10" t="inlineStr">
        <is>
          <t>King</t>
        </is>
      </c>
      <c r="H146" s="16" t="n"/>
      <c r="J146" s="16" t="n"/>
      <c r="L146" s="10" t="inlineStr">
        <is>
          <t>Typology drawing R01</t>
        </is>
      </c>
      <c r="M146" s="10">
        <f>Config!$B$3&amp;"?room="&amp;A146</f>
        <v/>
      </c>
    </row>
    <row r="147" ht="15" customHeight="1" s="11">
      <c r="A147" s="10" t="inlineStr">
        <is>
          <t>A-L06-K01-03</t>
        </is>
      </c>
      <c r="B147" s="10" t="inlineStr">
        <is>
          <t>Tower A</t>
        </is>
      </c>
      <c r="C147" s="10" t="inlineStr">
        <is>
          <t>L06</t>
        </is>
      </c>
      <c r="D147" s="10" t="inlineStr">
        <is>
          <t>AL06G27</t>
        </is>
      </c>
      <c r="E147" s="10" t="inlineStr">
        <is>
          <t>K01</t>
        </is>
      </c>
      <c r="F147" s="10" t="inlineStr">
        <is>
          <t>King</t>
        </is>
      </c>
      <c r="H147" s="16" t="n"/>
      <c r="J147" s="16" t="n"/>
      <c r="L147" s="10" t="inlineStr">
        <is>
          <t>Typology drawing R01</t>
        </is>
      </c>
      <c r="M147" s="10">
        <f>Config!$B$3&amp;"?room="&amp;A147</f>
        <v/>
      </c>
    </row>
    <row r="148" ht="15" customHeight="1" s="11">
      <c r="A148" s="10" t="inlineStr">
        <is>
          <t>A-L06-K01B-01</t>
        </is>
      </c>
      <c r="B148" s="10" t="inlineStr">
        <is>
          <t>Tower A</t>
        </is>
      </c>
      <c r="C148" s="10" t="inlineStr">
        <is>
          <t>L06</t>
        </is>
      </c>
      <c r="D148" s="10" t="inlineStr">
        <is>
          <t>AL06G26</t>
        </is>
      </c>
      <c r="E148" s="10" t="inlineStr">
        <is>
          <t>K01B</t>
        </is>
      </c>
      <c r="F148" s="10" t="inlineStr">
        <is>
          <t>King</t>
        </is>
      </c>
      <c r="H148" s="16" t="n"/>
      <c r="J148" s="16" t="n"/>
      <c r="L148" s="10" t="inlineStr">
        <is>
          <t>Typology drawing R01</t>
        </is>
      </c>
      <c r="M148" s="10">
        <f>Config!$B$3&amp;"?room="&amp;A148</f>
        <v/>
      </c>
    </row>
    <row r="149" ht="15" customHeight="1" s="11">
      <c r="A149" s="10" t="inlineStr">
        <is>
          <t>A-L06-K01B-02</t>
        </is>
      </c>
      <c r="B149" s="10" t="inlineStr">
        <is>
          <t>Tower A</t>
        </is>
      </c>
      <c r="C149" s="10" t="inlineStr">
        <is>
          <t>L06</t>
        </is>
      </c>
      <c r="D149" s="10" t="inlineStr">
        <is>
          <t>AL06G30</t>
        </is>
      </c>
      <c r="E149" s="10" t="inlineStr">
        <is>
          <t>K01B</t>
        </is>
      </c>
      <c r="F149" s="10" t="inlineStr">
        <is>
          <t>King</t>
        </is>
      </c>
      <c r="H149" s="16" t="n"/>
      <c r="J149" s="16" t="n"/>
      <c r="L149" s="10" t="inlineStr">
        <is>
          <t>Typology drawing R01</t>
        </is>
      </c>
      <c r="M149" s="10">
        <f>Config!$B$3&amp;"?room="&amp;A149</f>
        <v/>
      </c>
    </row>
    <row r="150" ht="15" customHeight="1" s="11">
      <c r="A150" s="10" t="inlineStr">
        <is>
          <t>A-L06-K01C-01</t>
        </is>
      </c>
      <c r="B150" s="10" t="inlineStr">
        <is>
          <t>Tower A</t>
        </is>
      </c>
      <c r="C150" s="10" t="inlineStr">
        <is>
          <t>L06</t>
        </is>
      </c>
      <c r="D150" s="10" t="inlineStr">
        <is>
          <t>AL06G07</t>
        </is>
      </c>
      <c r="E150" s="10" t="inlineStr">
        <is>
          <t>K01C</t>
        </is>
      </c>
      <c r="F150" s="10" t="inlineStr">
        <is>
          <t>King</t>
        </is>
      </c>
      <c r="H150" s="16" t="n"/>
      <c r="J150" s="16" t="n"/>
      <c r="L150" s="10" t="inlineStr">
        <is>
          <t>Typology drawing R01</t>
        </is>
      </c>
      <c r="M150" s="10">
        <f>Config!$B$3&amp;"?room="&amp;A150</f>
        <v/>
      </c>
    </row>
    <row r="151" ht="15" customHeight="1" s="11">
      <c r="A151" s="10" t="inlineStr">
        <is>
          <t>A-L06-K01C-02</t>
        </is>
      </c>
      <c r="B151" s="10" t="inlineStr">
        <is>
          <t>Tower A</t>
        </is>
      </c>
      <c r="C151" s="10" t="inlineStr">
        <is>
          <t>L06</t>
        </is>
      </c>
      <c r="D151" s="10" t="inlineStr">
        <is>
          <t>AL06G31</t>
        </is>
      </c>
      <c r="E151" s="10" t="inlineStr">
        <is>
          <t>K01C</t>
        </is>
      </c>
      <c r="F151" s="10" t="inlineStr">
        <is>
          <t>King</t>
        </is>
      </c>
      <c r="H151" s="16" t="n"/>
      <c r="J151" s="16" t="n"/>
      <c r="L151" s="10" t="inlineStr">
        <is>
          <t>Typology drawing R01</t>
        </is>
      </c>
      <c r="M151" s="10">
        <f>Config!$B$3&amp;"?room="&amp;A151</f>
        <v/>
      </c>
    </row>
    <row r="152" ht="15" customHeight="1" s="11">
      <c r="A152" s="10" t="inlineStr">
        <is>
          <t>A-L06-K01C-03</t>
        </is>
      </c>
      <c r="B152" s="10" t="inlineStr">
        <is>
          <t>Tower A</t>
        </is>
      </c>
      <c r="C152" s="10" t="inlineStr">
        <is>
          <t>L06</t>
        </is>
      </c>
      <c r="D152" s="10" t="inlineStr">
        <is>
          <t>AL06G35</t>
        </is>
      </c>
      <c r="E152" s="10" t="inlineStr">
        <is>
          <t>K01C</t>
        </is>
      </c>
      <c r="F152" s="10" t="inlineStr">
        <is>
          <t>King</t>
        </is>
      </c>
      <c r="H152" s="16" t="n"/>
      <c r="J152" s="16" t="n"/>
      <c r="L152" s="10" t="inlineStr">
        <is>
          <t>Typology drawing R01</t>
        </is>
      </c>
      <c r="M152" s="10">
        <f>Config!$B$3&amp;"?room="&amp;A152</f>
        <v/>
      </c>
    </row>
    <row r="153" ht="15" customHeight="1" s="11">
      <c r="A153" s="10" t="inlineStr">
        <is>
          <t>A-L06-K01D</t>
        </is>
      </c>
      <c r="B153" s="10" t="inlineStr">
        <is>
          <t>Tower A</t>
        </is>
      </c>
      <c r="C153" s="10" t="inlineStr">
        <is>
          <t>L06</t>
        </is>
      </c>
      <c r="D153" s="10" t="inlineStr">
        <is>
          <t>AL06G39</t>
        </is>
      </c>
      <c r="E153" s="10" t="inlineStr">
        <is>
          <t>K01D</t>
        </is>
      </c>
      <c r="F153" s="10" t="inlineStr">
        <is>
          <t>King</t>
        </is>
      </c>
      <c r="H153" s="16" t="n"/>
      <c r="J153" s="16" t="n"/>
      <c r="L153" s="10" t="inlineStr">
        <is>
          <t>Typology drawing R01</t>
        </is>
      </c>
      <c r="M153" s="10">
        <f>Config!$B$3&amp;"?room="&amp;A153</f>
        <v/>
      </c>
    </row>
    <row r="154" ht="15" customHeight="1" s="11">
      <c r="A154" s="10" t="inlineStr">
        <is>
          <t>A-L06-K02-01</t>
        </is>
      </c>
      <c r="B154" s="10" t="inlineStr">
        <is>
          <t>Tower A</t>
        </is>
      </c>
      <c r="C154" s="10" t="inlineStr">
        <is>
          <t>L06</t>
        </is>
      </c>
      <c r="D154" s="10" t="inlineStr">
        <is>
          <t>AL06G25</t>
        </is>
      </c>
      <c r="E154" s="10" t="inlineStr">
        <is>
          <t>K02</t>
        </is>
      </c>
      <c r="F154" s="10" t="inlineStr">
        <is>
          <t>King</t>
        </is>
      </c>
      <c r="H154" s="16" t="n"/>
      <c r="J154" s="16" t="n"/>
      <c r="L154" s="10" t="inlineStr">
        <is>
          <t>Typology drawing R01</t>
        </is>
      </c>
      <c r="M154" s="10">
        <f>Config!$B$3&amp;"?room="&amp;A154</f>
        <v/>
      </c>
    </row>
    <row r="155" ht="15" customHeight="1" s="11">
      <c r="A155" s="10" t="inlineStr">
        <is>
          <t>A-L06-K02-02</t>
        </is>
      </c>
      <c r="B155" s="10" t="inlineStr">
        <is>
          <t>Tower A</t>
        </is>
      </c>
      <c r="C155" s="10" t="inlineStr">
        <is>
          <t>L06</t>
        </is>
      </c>
      <c r="D155" s="10" t="inlineStr">
        <is>
          <t>AL06G29</t>
        </is>
      </c>
      <c r="E155" s="10" t="inlineStr">
        <is>
          <t>K02</t>
        </is>
      </c>
      <c r="F155" s="10" t="inlineStr">
        <is>
          <t>King</t>
        </is>
      </c>
      <c r="H155" s="16" t="n"/>
      <c r="J155" s="16" t="n"/>
      <c r="L155" s="10" t="inlineStr">
        <is>
          <t>Typology drawing R01</t>
        </is>
      </c>
      <c r="M155" s="10">
        <f>Config!$B$3&amp;"?room="&amp;A155</f>
        <v/>
      </c>
    </row>
    <row r="156" ht="15" customHeight="1" s="11">
      <c r="A156" s="10" t="inlineStr">
        <is>
          <t>A-L06-K02B-01</t>
        </is>
      </c>
      <c r="B156" s="10" t="inlineStr">
        <is>
          <t>Tower A</t>
        </is>
      </c>
      <c r="C156" s="10" t="inlineStr">
        <is>
          <t>L06</t>
        </is>
      </c>
      <c r="D156" s="10" t="inlineStr">
        <is>
          <t>AL06G24</t>
        </is>
      </c>
      <c r="E156" s="10" t="inlineStr">
        <is>
          <t>K02B</t>
        </is>
      </c>
      <c r="F156" s="10" t="inlineStr">
        <is>
          <t>King</t>
        </is>
      </c>
      <c r="H156" s="16" t="n"/>
      <c r="J156" s="16" t="n"/>
      <c r="L156" s="10" t="inlineStr">
        <is>
          <t>Typology drawing R01</t>
        </is>
      </c>
      <c r="M156" s="10">
        <f>Config!$B$3&amp;"?room="&amp;A156</f>
        <v/>
      </c>
    </row>
    <row r="157" ht="15" customHeight="1" s="11">
      <c r="A157" s="10" t="inlineStr">
        <is>
          <t>A-L06-K02B-02</t>
        </is>
      </c>
      <c r="B157" s="10" t="inlineStr">
        <is>
          <t>Tower A</t>
        </is>
      </c>
      <c r="C157" s="10" t="inlineStr">
        <is>
          <t>L06</t>
        </is>
      </c>
      <c r="D157" s="10" t="inlineStr">
        <is>
          <t>AL06G28</t>
        </is>
      </c>
      <c r="E157" s="10" t="inlineStr">
        <is>
          <t>K02B</t>
        </is>
      </c>
      <c r="F157" s="10" t="inlineStr">
        <is>
          <t>King</t>
        </is>
      </c>
      <c r="H157" s="16" t="n"/>
      <c r="J157" s="16" t="n"/>
      <c r="L157" s="10" t="inlineStr">
        <is>
          <t>Typology drawing R01</t>
        </is>
      </c>
      <c r="M157" s="10">
        <f>Config!$B$3&amp;"?room="&amp;A157</f>
        <v/>
      </c>
    </row>
    <row r="158" ht="15" customHeight="1" s="11">
      <c r="A158" s="10" t="inlineStr">
        <is>
          <t>A-L06-K02B-03</t>
        </is>
      </c>
      <c r="B158" s="10" t="inlineStr">
        <is>
          <t>Tower A</t>
        </is>
      </c>
      <c r="C158" s="10" t="inlineStr">
        <is>
          <t>L06</t>
        </is>
      </c>
      <c r="D158" s="10" t="inlineStr">
        <is>
          <t>AL06G36</t>
        </is>
      </c>
      <c r="E158" s="10" t="inlineStr">
        <is>
          <t>K02B</t>
        </is>
      </c>
      <c r="F158" s="10" t="inlineStr">
        <is>
          <t>King</t>
        </is>
      </c>
      <c r="H158" s="16" t="n"/>
      <c r="J158" s="16" t="n"/>
      <c r="L158" s="10" t="inlineStr">
        <is>
          <t>Typology drawing R01</t>
        </is>
      </c>
      <c r="M158" s="10">
        <f>Config!$B$3&amp;"?room="&amp;A158</f>
        <v/>
      </c>
    </row>
    <row r="159" ht="15" customHeight="1" s="11">
      <c r="A159" s="10" t="inlineStr">
        <is>
          <t>A-L06-K02C1</t>
        </is>
      </c>
      <c r="B159" s="10" t="inlineStr">
        <is>
          <t>Tower A</t>
        </is>
      </c>
      <c r="C159" s="10" t="inlineStr">
        <is>
          <t>L06</t>
        </is>
      </c>
      <c r="D159" s="10" t="inlineStr">
        <is>
          <t>AL06G08</t>
        </is>
      </c>
      <c r="E159" s="10" t="inlineStr">
        <is>
          <t>K02C1</t>
        </is>
      </c>
      <c r="F159" s="10" t="inlineStr">
        <is>
          <t>King</t>
        </is>
      </c>
      <c r="H159" s="16" t="n"/>
      <c r="J159" s="16" t="n"/>
      <c r="L159" s="10" t="inlineStr">
        <is>
          <t>Typology drawing R01</t>
        </is>
      </c>
      <c r="M159" s="10">
        <f>Config!$B$3&amp;"?room="&amp;A159</f>
        <v/>
      </c>
    </row>
    <row r="160" ht="15" customHeight="1" s="11">
      <c r="A160" s="10" t="inlineStr">
        <is>
          <t>A-L06-K02C2-01</t>
        </is>
      </c>
      <c r="B160" s="10" t="inlineStr">
        <is>
          <t>Tower A</t>
        </is>
      </c>
      <c r="C160" s="10" t="inlineStr">
        <is>
          <t>L06</t>
        </is>
      </c>
      <c r="D160" s="10" t="inlineStr">
        <is>
          <t>AL06G20</t>
        </is>
      </c>
      <c r="E160" s="10" t="inlineStr">
        <is>
          <t>K02C2</t>
        </is>
      </c>
      <c r="F160" s="10" t="inlineStr">
        <is>
          <t>King</t>
        </is>
      </c>
      <c r="H160" s="16" t="n"/>
      <c r="J160" s="16" t="n"/>
      <c r="L160" s="10" t="inlineStr">
        <is>
          <t>Typology drawing R01</t>
        </is>
      </c>
      <c r="M160" s="10">
        <f>Config!$B$3&amp;"?room="&amp;A160</f>
        <v/>
      </c>
    </row>
    <row r="161" ht="15" customHeight="1" s="11">
      <c r="A161" s="10" t="inlineStr">
        <is>
          <t>A-L06-K02C2-02</t>
        </is>
      </c>
      <c r="B161" s="10" t="inlineStr">
        <is>
          <t>Tower A</t>
        </is>
      </c>
      <c r="C161" s="10" t="inlineStr">
        <is>
          <t>L06</t>
        </is>
      </c>
      <c r="D161" s="10" t="inlineStr">
        <is>
          <t>AL06G32</t>
        </is>
      </c>
      <c r="E161" s="10" t="inlineStr">
        <is>
          <t>K02C2</t>
        </is>
      </c>
      <c r="F161" s="10" t="inlineStr">
        <is>
          <t>King</t>
        </is>
      </c>
      <c r="H161" s="16" t="n"/>
      <c r="J161" s="16" t="n"/>
      <c r="L161" s="10" t="inlineStr">
        <is>
          <t>Typology drawing R01</t>
        </is>
      </c>
      <c r="M161" s="10">
        <f>Config!$B$3&amp;"?room="&amp;A161</f>
        <v/>
      </c>
    </row>
    <row r="162" ht="15" customHeight="1" s="11">
      <c r="A162" s="10" t="inlineStr">
        <is>
          <t>A-L06-K02D1</t>
        </is>
      </c>
      <c r="B162" s="10" t="inlineStr">
        <is>
          <t>Tower A</t>
        </is>
      </c>
      <c r="C162" s="10" t="inlineStr">
        <is>
          <t>L06</t>
        </is>
      </c>
      <c r="D162" s="10" t="inlineStr">
        <is>
          <t>AL06G12</t>
        </is>
      </c>
      <c r="E162" s="10" t="inlineStr">
        <is>
          <t>K02D1</t>
        </is>
      </c>
      <c r="F162" s="10" t="inlineStr">
        <is>
          <t>King</t>
        </is>
      </c>
      <c r="H162" s="16" t="n"/>
      <c r="J162" s="16" t="n"/>
      <c r="L162" s="10" t="inlineStr">
        <is>
          <t>Typology drawing R01</t>
        </is>
      </c>
      <c r="M162" s="10">
        <f>Config!$B$3&amp;"?room="&amp;A162</f>
        <v/>
      </c>
    </row>
    <row r="163" ht="15" customHeight="1" s="11">
      <c r="A163" s="10" t="inlineStr">
        <is>
          <t>A-L06-Q01</t>
        </is>
      </c>
      <c r="B163" s="10" t="inlineStr">
        <is>
          <t>Tower A</t>
        </is>
      </c>
      <c r="C163" s="10" t="inlineStr">
        <is>
          <t>L06</t>
        </is>
      </c>
      <c r="D163" s="10" t="inlineStr">
        <is>
          <t>AL06G21</t>
        </is>
      </c>
      <c r="E163" s="10" t="inlineStr">
        <is>
          <t>Q01</t>
        </is>
      </c>
      <c r="F163" s="10" t="inlineStr">
        <is>
          <t>Queen</t>
        </is>
      </c>
      <c r="H163" s="16" t="n"/>
      <c r="J163" s="16" t="n"/>
      <c r="L163" s="10" t="inlineStr">
        <is>
          <t>Typology drawing R01</t>
        </is>
      </c>
      <c r="M163" s="10">
        <f>Config!$B$3&amp;"?room="&amp;A163</f>
        <v/>
      </c>
    </row>
    <row r="164" ht="15" customHeight="1" s="11">
      <c r="A164" s="10" t="inlineStr">
        <is>
          <t>A-L06-Q01C-01</t>
        </is>
      </c>
      <c r="B164" s="10" t="inlineStr">
        <is>
          <t>Tower A</t>
        </is>
      </c>
      <c r="C164" s="10" t="inlineStr">
        <is>
          <t>L06</t>
        </is>
      </c>
      <c r="D164" s="10" t="inlineStr">
        <is>
          <t>AL06G05</t>
        </is>
      </c>
      <c r="E164" s="10" t="inlineStr">
        <is>
          <t>Q01C</t>
        </is>
      </c>
      <c r="F164" s="10" t="inlineStr">
        <is>
          <t>Queen</t>
        </is>
      </c>
      <c r="H164" s="16" t="n"/>
      <c r="J164" s="16" t="n"/>
      <c r="L164" s="10" t="inlineStr">
        <is>
          <t>Typology drawing R01</t>
        </is>
      </c>
      <c r="M164" s="10">
        <f>Config!$B$3&amp;"?room="&amp;A164</f>
        <v/>
      </c>
    </row>
    <row r="165" ht="15" customHeight="1" s="11">
      <c r="A165" s="10" t="inlineStr">
        <is>
          <t>A-L06-Q01C-02</t>
        </is>
      </c>
      <c r="B165" s="10" t="inlineStr">
        <is>
          <t>Tower A</t>
        </is>
      </c>
      <c r="C165" s="10" t="inlineStr">
        <is>
          <t>L06</t>
        </is>
      </c>
      <c r="D165" s="10" t="inlineStr">
        <is>
          <t>AL06G09</t>
        </is>
      </c>
      <c r="E165" s="10" t="inlineStr">
        <is>
          <t>Q01C</t>
        </is>
      </c>
      <c r="F165" s="10" t="inlineStr">
        <is>
          <t>Queen</t>
        </is>
      </c>
      <c r="H165" s="16" t="n"/>
      <c r="J165" s="16" t="n"/>
      <c r="L165" s="10" t="inlineStr">
        <is>
          <t>Typology drawing R01</t>
        </is>
      </c>
      <c r="M165" s="10">
        <f>Config!$B$3&amp;"?room="&amp;A165</f>
        <v/>
      </c>
    </row>
    <row r="166" ht="15" customHeight="1" s="11">
      <c r="A166" s="10" t="inlineStr">
        <is>
          <t>A-L06-Q01C-03</t>
        </is>
      </c>
      <c r="B166" s="10" t="inlineStr">
        <is>
          <t>Tower A</t>
        </is>
      </c>
      <c r="C166" s="10" t="inlineStr">
        <is>
          <t>L06</t>
        </is>
      </c>
      <c r="D166" s="10" t="inlineStr">
        <is>
          <t>AL06G33</t>
        </is>
      </c>
      <c r="E166" s="10" t="inlineStr">
        <is>
          <t>Q01C</t>
        </is>
      </c>
      <c r="F166" s="10" t="inlineStr">
        <is>
          <t>Queen</t>
        </is>
      </c>
      <c r="H166" s="16" t="n"/>
      <c r="J166" s="16" t="n"/>
      <c r="L166" s="10" t="inlineStr">
        <is>
          <t>Typology drawing R01</t>
        </is>
      </c>
      <c r="M166" s="10">
        <f>Config!$B$3&amp;"?room="&amp;A166</f>
        <v/>
      </c>
    </row>
    <row r="167" ht="15" customHeight="1" s="11">
      <c r="A167" s="10" t="inlineStr">
        <is>
          <t>A-L06-Q01C1</t>
        </is>
      </c>
      <c r="B167" s="10" t="inlineStr">
        <is>
          <t>Tower A</t>
        </is>
      </c>
      <c r="C167" s="10" t="inlineStr">
        <is>
          <t>L06</t>
        </is>
      </c>
      <c r="D167" s="10" t="inlineStr">
        <is>
          <t>AL06G14</t>
        </is>
      </c>
      <c r="E167" s="10" t="inlineStr">
        <is>
          <t>Q01C1</t>
        </is>
      </c>
      <c r="F167" s="10" t="inlineStr">
        <is>
          <t>Queen</t>
        </is>
      </c>
      <c r="H167" s="16" t="n"/>
      <c r="J167" s="16" t="n"/>
      <c r="L167" s="10" t="inlineStr">
        <is>
          <t>Typology drawing R01</t>
        </is>
      </c>
      <c r="M167" s="10">
        <f>Config!$B$3&amp;"?room="&amp;A167</f>
        <v/>
      </c>
    </row>
    <row r="168" ht="15" customHeight="1" s="11">
      <c r="A168" s="10" t="inlineStr">
        <is>
          <t>A-L06-Q02C1-01</t>
        </is>
      </c>
      <c r="B168" s="10" t="inlineStr">
        <is>
          <t>Tower A</t>
        </is>
      </c>
      <c r="C168" s="10" t="inlineStr">
        <is>
          <t>L06</t>
        </is>
      </c>
      <c r="D168" s="10" t="inlineStr">
        <is>
          <t>AL06G06</t>
        </is>
      </c>
      <c r="E168" s="10" t="inlineStr">
        <is>
          <t>Q02C1</t>
        </is>
      </c>
      <c r="F168" s="10" t="inlineStr">
        <is>
          <t>Queen</t>
        </is>
      </c>
      <c r="H168" s="16" t="n"/>
      <c r="J168" s="16" t="n"/>
      <c r="L168" s="10" t="inlineStr">
        <is>
          <t>Typology drawing R01</t>
        </is>
      </c>
      <c r="M168" s="10">
        <f>Config!$B$3&amp;"?room="&amp;A168</f>
        <v/>
      </c>
    </row>
    <row r="169" ht="15" customHeight="1" s="11">
      <c r="A169" s="10" t="inlineStr">
        <is>
          <t>A-L06-Q02C1-02</t>
        </is>
      </c>
      <c r="B169" s="10" t="inlineStr">
        <is>
          <t>Tower A</t>
        </is>
      </c>
      <c r="C169" s="10" t="inlineStr">
        <is>
          <t>L06</t>
        </is>
      </c>
      <c r="D169" s="10" t="inlineStr">
        <is>
          <t>AL06G10</t>
        </is>
      </c>
      <c r="E169" s="10" t="inlineStr">
        <is>
          <t>Q02C1</t>
        </is>
      </c>
      <c r="F169" s="10" t="inlineStr">
        <is>
          <t>Queen</t>
        </is>
      </c>
      <c r="H169" s="16" t="n"/>
      <c r="J169" s="16" t="n"/>
      <c r="L169" s="10" t="inlineStr">
        <is>
          <t>Typology drawing R01</t>
        </is>
      </c>
      <c r="M169" s="10">
        <f>Config!$B$3&amp;"?room="&amp;A169</f>
        <v/>
      </c>
    </row>
    <row r="170" ht="15" customHeight="1" s="11">
      <c r="A170" s="10" t="inlineStr">
        <is>
          <t>A-L06-Q02C2-01</t>
        </is>
      </c>
      <c r="B170" s="10" t="inlineStr">
        <is>
          <t>Tower A</t>
        </is>
      </c>
      <c r="C170" s="10" t="inlineStr">
        <is>
          <t>L06</t>
        </is>
      </c>
      <c r="D170" s="10" t="inlineStr">
        <is>
          <t>AL06G22</t>
        </is>
      </c>
      <c r="E170" s="10" t="inlineStr">
        <is>
          <t>Q02C2</t>
        </is>
      </c>
      <c r="F170" s="10" t="inlineStr">
        <is>
          <t>Queen</t>
        </is>
      </c>
      <c r="H170" s="16" t="n"/>
      <c r="J170" s="16" t="n"/>
      <c r="L170" s="10" t="inlineStr">
        <is>
          <t>Typology drawing R01</t>
        </is>
      </c>
      <c r="M170" s="10">
        <f>Config!$B$3&amp;"?room="&amp;A170</f>
        <v/>
      </c>
    </row>
    <row r="171" ht="15" customHeight="1" s="11">
      <c r="A171" s="10" t="inlineStr">
        <is>
          <t>A-L06-Q02C2-02</t>
        </is>
      </c>
      <c r="B171" s="10" t="inlineStr">
        <is>
          <t>Tower A</t>
        </is>
      </c>
      <c r="C171" s="10" t="inlineStr">
        <is>
          <t>L06</t>
        </is>
      </c>
      <c r="D171" s="10" t="inlineStr">
        <is>
          <t>AL06G34</t>
        </is>
      </c>
      <c r="E171" s="10" t="inlineStr">
        <is>
          <t>Q02C2</t>
        </is>
      </c>
      <c r="F171" s="10" t="inlineStr">
        <is>
          <t>Queen</t>
        </is>
      </c>
      <c r="H171" s="16" t="n"/>
      <c r="J171" s="16" t="n"/>
      <c r="L171" s="10" t="inlineStr">
        <is>
          <t>Typology drawing R01</t>
        </is>
      </c>
      <c r="M171" s="10">
        <f>Config!$B$3&amp;"?room="&amp;A171</f>
        <v/>
      </c>
    </row>
    <row r="172" ht="15" customHeight="1" s="11">
      <c r="A172" s="10" t="inlineStr">
        <is>
          <t>A-L06-Q02E</t>
        </is>
      </c>
      <c r="B172" s="10" t="inlineStr">
        <is>
          <t>Tower A</t>
        </is>
      </c>
      <c r="C172" s="10" t="inlineStr">
        <is>
          <t>L06</t>
        </is>
      </c>
      <c r="D172" s="10" t="inlineStr">
        <is>
          <t>AL06G41</t>
        </is>
      </c>
      <c r="E172" s="10" t="inlineStr">
        <is>
          <t>Q02E</t>
        </is>
      </c>
      <c r="F172" s="10" t="inlineStr">
        <is>
          <t>Queen</t>
        </is>
      </c>
      <c r="H172" s="16" t="n"/>
      <c r="J172" s="16" t="n"/>
      <c r="L172" s="10" t="inlineStr">
        <is>
          <t>Typology drawing R01</t>
        </is>
      </c>
      <c r="M172" s="10">
        <f>Config!$B$3&amp;"?room="&amp;A172</f>
        <v/>
      </c>
    </row>
    <row r="173" ht="15" customHeight="1" s="11">
      <c r="A173" s="10" t="inlineStr">
        <is>
          <t>A-L06-QADA2</t>
        </is>
      </c>
      <c r="B173" s="10" t="inlineStr">
        <is>
          <t>Tower A</t>
        </is>
      </c>
      <c r="C173" s="10" t="inlineStr">
        <is>
          <t>L06</t>
        </is>
      </c>
      <c r="D173" s="10" t="inlineStr">
        <is>
          <t>AL06G37</t>
        </is>
      </c>
      <c r="E173" s="10" t="inlineStr">
        <is>
          <t>QADA2</t>
        </is>
      </c>
      <c r="F173" s="10" t="inlineStr">
        <is>
          <t>Queen ADA</t>
        </is>
      </c>
      <c r="H173" s="16" t="n"/>
      <c r="J173" s="16" t="n"/>
      <c r="L173" s="10" t="inlineStr">
        <is>
          <t>Typology drawing R01</t>
        </is>
      </c>
      <c r="M173" s="10">
        <f>Config!$B$3&amp;"?room="&amp;A173</f>
        <v/>
      </c>
    </row>
    <row r="174" ht="15" customHeight="1" s="11">
      <c r="A174" s="10" t="inlineStr">
        <is>
          <t>A-L06-S05</t>
        </is>
      </c>
      <c r="B174" s="10" t="inlineStr">
        <is>
          <t>Tower A</t>
        </is>
      </c>
      <c r="C174" s="10" t="inlineStr">
        <is>
          <t>L06</t>
        </is>
      </c>
      <c r="D174" s="10" t="inlineStr">
        <is>
          <t>AL06G16</t>
        </is>
      </c>
      <c r="E174" s="10" t="inlineStr">
        <is>
          <t>S05</t>
        </is>
      </c>
      <c r="F174" s="10" t="inlineStr">
        <is>
          <t>Suite</t>
        </is>
      </c>
      <c r="H174" s="16" t="n"/>
      <c r="J174" s="16" t="n"/>
      <c r="L174" s="10" t="inlineStr">
        <is>
          <t>Typology drawing R01</t>
        </is>
      </c>
      <c r="M174" s="10">
        <f>Config!$B$3&amp;"?room="&amp;A174</f>
        <v/>
      </c>
    </row>
    <row r="175" ht="15" customHeight="1" s="11">
      <c r="A175" s="10" t="inlineStr">
        <is>
          <t>A-L06-S06</t>
        </is>
      </c>
      <c r="B175" s="10" t="inlineStr">
        <is>
          <t>Tower A</t>
        </is>
      </c>
      <c r="C175" s="10" t="inlineStr">
        <is>
          <t>L06</t>
        </is>
      </c>
      <c r="D175" s="10" t="inlineStr">
        <is>
          <t>AL06G43</t>
        </is>
      </c>
      <c r="E175" s="10" t="inlineStr">
        <is>
          <t>S06</t>
        </is>
      </c>
      <c r="F175" s="10" t="inlineStr">
        <is>
          <t>Suite</t>
        </is>
      </c>
      <c r="H175" s="16" t="n"/>
      <c r="J175" s="16" t="n"/>
      <c r="L175" s="10" t="inlineStr">
        <is>
          <t>Typology drawing R01</t>
        </is>
      </c>
      <c r="M175" s="10">
        <f>Config!$B$3&amp;"?room="&amp;A175</f>
        <v/>
      </c>
    </row>
    <row r="176" ht="15" customHeight="1" s="11">
      <c r="A176" s="10" t="inlineStr">
        <is>
          <t>A-L07-F04</t>
        </is>
      </c>
      <c r="B176" s="10" t="inlineStr">
        <is>
          <t>Tower A</t>
        </is>
      </c>
      <c r="C176" s="10" t="inlineStr">
        <is>
          <t>L07</t>
        </is>
      </c>
      <c r="D176" s="10" t="inlineStr">
        <is>
          <t>AL07G11</t>
        </is>
      </c>
      <c r="E176" s="10" t="inlineStr">
        <is>
          <t>F04</t>
        </is>
      </c>
      <c r="F176" s="10" t="inlineStr">
        <is>
          <t>Family</t>
        </is>
      </c>
      <c r="H176" s="16" t="n"/>
      <c r="J176" s="16" t="n"/>
      <c r="L176" s="10" t="inlineStr">
        <is>
          <t>Typology drawing R01</t>
        </is>
      </c>
      <c r="M176" s="10">
        <f>Config!$B$3&amp;"?room="&amp;A176</f>
        <v/>
      </c>
    </row>
    <row r="177" ht="15" customHeight="1" s="11">
      <c r="A177" s="10" t="inlineStr">
        <is>
          <t>A-L07-F05</t>
        </is>
      </c>
      <c r="B177" s="10" t="inlineStr">
        <is>
          <t>Tower A</t>
        </is>
      </c>
      <c r="C177" s="10" t="inlineStr">
        <is>
          <t>L07</t>
        </is>
      </c>
      <c r="D177" s="10" t="inlineStr">
        <is>
          <t>AL07G46</t>
        </is>
      </c>
      <c r="E177" s="10" t="inlineStr">
        <is>
          <t>F05</t>
        </is>
      </c>
      <c r="F177" s="10" t="inlineStr">
        <is>
          <t>Family</t>
        </is>
      </c>
      <c r="H177" s="16" t="n"/>
      <c r="J177" s="16" t="n"/>
      <c r="L177" s="10" t="inlineStr">
        <is>
          <t>Typology drawing R01</t>
        </is>
      </c>
      <c r="M177" s="10">
        <f>Config!$B$3&amp;"?room="&amp;A177</f>
        <v/>
      </c>
    </row>
    <row r="178" ht="15" customHeight="1" s="11">
      <c r="A178" s="10" t="inlineStr">
        <is>
          <t>A-L07-K01-01</t>
        </is>
      </c>
      <c r="B178" s="10" t="inlineStr">
        <is>
          <t>Tower A</t>
        </is>
      </c>
      <c r="C178" s="10" t="inlineStr">
        <is>
          <t>L07</t>
        </is>
      </c>
      <c r="D178" s="10" t="inlineStr">
        <is>
          <t>AL07G19</t>
        </is>
      </c>
      <c r="E178" s="10" t="inlineStr">
        <is>
          <t>K01</t>
        </is>
      </c>
      <c r="F178" s="10" t="inlineStr">
        <is>
          <t>King</t>
        </is>
      </c>
      <c r="H178" s="16" t="n"/>
      <c r="J178" s="16" t="n"/>
      <c r="L178" s="10" t="inlineStr">
        <is>
          <t>Typology drawing R01</t>
        </is>
      </c>
      <c r="M178" s="10">
        <f>Config!$B$3&amp;"?room="&amp;A178</f>
        <v/>
      </c>
    </row>
    <row r="179" ht="15" customHeight="1" s="11">
      <c r="A179" s="10" t="inlineStr">
        <is>
          <t>A-L07-K01-02</t>
        </is>
      </c>
      <c r="B179" s="10" t="inlineStr">
        <is>
          <t>Tower A</t>
        </is>
      </c>
      <c r="C179" s="10" t="inlineStr">
        <is>
          <t>L07</t>
        </is>
      </c>
      <c r="D179" s="10" t="inlineStr">
        <is>
          <t>AL07G23</t>
        </is>
      </c>
      <c r="E179" s="10" t="inlineStr">
        <is>
          <t>K01</t>
        </is>
      </c>
      <c r="F179" s="10" t="inlineStr">
        <is>
          <t>King</t>
        </is>
      </c>
      <c r="H179" s="16" t="n"/>
      <c r="J179" s="16" t="n"/>
      <c r="L179" s="10" t="inlineStr">
        <is>
          <t>Typology drawing R01</t>
        </is>
      </c>
      <c r="M179" s="10">
        <f>Config!$B$3&amp;"?room="&amp;A179</f>
        <v/>
      </c>
    </row>
    <row r="180" ht="15" customHeight="1" s="11">
      <c r="A180" s="10" t="inlineStr">
        <is>
          <t>A-L07-K01-03</t>
        </is>
      </c>
      <c r="B180" s="10" t="inlineStr">
        <is>
          <t>Tower A</t>
        </is>
      </c>
      <c r="C180" s="10" t="inlineStr">
        <is>
          <t>L07</t>
        </is>
      </c>
      <c r="D180" s="10" t="inlineStr">
        <is>
          <t>AL07G27</t>
        </is>
      </c>
      <c r="E180" s="10" t="inlineStr">
        <is>
          <t>K01</t>
        </is>
      </c>
      <c r="F180" s="10" t="inlineStr">
        <is>
          <t>King</t>
        </is>
      </c>
      <c r="H180" s="16" t="n"/>
      <c r="J180" s="16" t="n"/>
      <c r="L180" s="10" t="inlineStr">
        <is>
          <t>Typology drawing R01</t>
        </is>
      </c>
      <c r="M180" s="10">
        <f>Config!$B$3&amp;"?room="&amp;A180</f>
        <v/>
      </c>
    </row>
    <row r="181" ht="15" customHeight="1" s="11">
      <c r="A181" s="10" t="inlineStr">
        <is>
          <t>A-L07-K01B-01</t>
        </is>
      </c>
      <c r="B181" s="10" t="inlineStr">
        <is>
          <t>Tower A</t>
        </is>
      </c>
      <c r="C181" s="10" t="inlineStr">
        <is>
          <t>L07</t>
        </is>
      </c>
      <c r="D181" s="10" t="inlineStr">
        <is>
          <t>AL07G26</t>
        </is>
      </c>
      <c r="E181" s="10" t="inlineStr">
        <is>
          <t>K01B</t>
        </is>
      </c>
      <c r="F181" s="10" t="inlineStr">
        <is>
          <t>King</t>
        </is>
      </c>
      <c r="H181" s="16" t="n"/>
      <c r="J181" s="16" t="n"/>
      <c r="L181" s="10" t="inlineStr">
        <is>
          <t>Typology drawing R01</t>
        </is>
      </c>
      <c r="M181" s="10">
        <f>Config!$B$3&amp;"?room="&amp;A181</f>
        <v/>
      </c>
    </row>
    <row r="182" ht="15" customHeight="1" s="11">
      <c r="A182" s="10" t="inlineStr">
        <is>
          <t>A-L07-K01B-02</t>
        </is>
      </c>
      <c r="B182" s="10" t="inlineStr">
        <is>
          <t>Tower A</t>
        </is>
      </c>
      <c r="C182" s="10" t="inlineStr">
        <is>
          <t>L07</t>
        </is>
      </c>
      <c r="D182" s="10" t="inlineStr">
        <is>
          <t>AL07G30</t>
        </is>
      </c>
      <c r="E182" s="10" t="inlineStr">
        <is>
          <t>K01B</t>
        </is>
      </c>
      <c r="F182" s="10" t="inlineStr">
        <is>
          <t>King</t>
        </is>
      </c>
      <c r="H182" s="16" t="n"/>
      <c r="J182" s="16" t="n"/>
      <c r="L182" s="10" t="inlineStr">
        <is>
          <t>Typology drawing R01</t>
        </is>
      </c>
      <c r="M182" s="10">
        <f>Config!$B$3&amp;"?room="&amp;A182</f>
        <v/>
      </c>
    </row>
    <row r="183" ht="15" customHeight="1" s="11">
      <c r="A183" s="10" t="inlineStr">
        <is>
          <t>A-L07-K01C-01</t>
        </is>
      </c>
      <c r="B183" s="10" t="inlineStr">
        <is>
          <t>Tower A</t>
        </is>
      </c>
      <c r="C183" s="10" t="inlineStr">
        <is>
          <t>L07</t>
        </is>
      </c>
      <c r="D183" s="10" t="inlineStr">
        <is>
          <t>AL07G07</t>
        </is>
      </c>
      <c r="E183" s="10" t="inlineStr">
        <is>
          <t>K01C</t>
        </is>
      </c>
      <c r="F183" s="10" t="inlineStr">
        <is>
          <t>King</t>
        </is>
      </c>
      <c r="H183" s="16" t="n"/>
      <c r="J183" s="16" t="n"/>
      <c r="L183" s="10" t="inlineStr">
        <is>
          <t>Typology drawing R01</t>
        </is>
      </c>
      <c r="M183" s="10">
        <f>Config!$B$3&amp;"?room="&amp;A183</f>
        <v/>
      </c>
    </row>
    <row r="184" ht="15" customHeight="1" s="11">
      <c r="A184" s="10" t="inlineStr">
        <is>
          <t>A-L07-K01C-02</t>
        </is>
      </c>
      <c r="B184" s="10" t="inlineStr">
        <is>
          <t>Tower A</t>
        </is>
      </c>
      <c r="C184" s="10" t="inlineStr">
        <is>
          <t>L07</t>
        </is>
      </c>
      <c r="D184" s="10" t="inlineStr">
        <is>
          <t>AL07G31</t>
        </is>
      </c>
      <c r="E184" s="10" t="inlineStr">
        <is>
          <t>K01C</t>
        </is>
      </c>
      <c r="F184" s="10" t="inlineStr">
        <is>
          <t>King</t>
        </is>
      </c>
      <c r="H184" s="16" t="n"/>
      <c r="J184" s="16" t="n"/>
      <c r="L184" s="10" t="inlineStr">
        <is>
          <t>Typology drawing R01</t>
        </is>
      </c>
      <c r="M184" s="10">
        <f>Config!$B$3&amp;"?room="&amp;A184</f>
        <v/>
      </c>
    </row>
    <row r="185" ht="15" customHeight="1" s="11">
      <c r="A185" s="10" t="inlineStr">
        <is>
          <t>A-L07-K01C-03</t>
        </is>
      </c>
      <c r="B185" s="10" t="inlineStr">
        <is>
          <t>Tower A</t>
        </is>
      </c>
      <c r="C185" s="10" t="inlineStr">
        <is>
          <t>L07</t>
        </is>
      </c>
      <c r="D185" s="10" t="inlineStr">
        <is>
          <t>AL07G35</t>
        </is>
      </c>
      <c r="E185" s="10" t="inlineStr">
        <is>
          <t>K01C</t>
        </is>
      </c>
      <c r="F185" s="10" t="inlineStr">
        <is>
          <t>King</t>
        </is>
      </c>
      <c r="H185" s="16" t="n"/>
      <c r="J185" s="16" t="n"/>
      <c r="L185" s="10" t="inlineStr">
        <is>
          <t>Typology drawing R01</t>
        </is>
      </c>
      <c r="M185" s="10">
        <f>Config!$B$3&amp;"?room="&amp;A185</f>
        <v/>
      </c>
    </row>
    <row r="186" ht="15" customHeight="1" s="11">
      <c r="A186" s="10" t="inlineStr">
        <is>
          <t>A-L07-K01D</t>
        </is>
      </c>
      <c r="B186" s="10" t="inlineStr">
        <is>
          <t>Tower A</t>
        </is>
      </c>
      <c r="C186" s="10" t="inlineStr">
        <is>
          <t>L07</t>
        </is>
      </c>
      <c r="D186" s="10" t="inlineStr">
        <is>
          <t>AL07G39</t>
        </is>
      </c>
      <c r="E186" s="10" t="inlineStr">
        <is>
          <t>K01D</t>
        </is>
      </c>
      <c r="F186" s="10" t="inlineStr">
        <is>
          <t>King</t>
        </is>
      </c>
      <c r="H186" s="16" t="n"/>
      <c r="J186" s="16" t="n"/>
      <c r="L186" s="10" t="inlineStr">
        <is>
          <t>Typology drawing R01</t>
        </is>
      </c>
      <c r="M186" s="10">
        <f>Config!$B$3&amp;"?room="&amp;A186</f>
        <v/>
      </c>
    </row>
    <row r="187" ht="15" customHeight="1" s="11">
      <c r="A187" s="10" t="inlineStr">
        <is>
          <t>A-L07-K02-01</t>
        </is>
      </c>
      <c r="B187" s="10" t="inlineStr">
        <is>
          <t>Tower A</t>
        </is>
      </c>
      <c r="C187" s="10" t="inlineStr">
        <is>
          <t>L07</t>
        </is>
      </c>
      <c r="D187" s="10" t="inlineStr">
        <is>
          <t>AL07G25</t>
        </is>
      </c>
      <c r="E187" s="10" t="inlineStr">
        <is>
          <t>K02</t>
        </is>
      </c>
      <c r="F187" s="10" t="inlineStr">
        <is>
          <t>King</t>
        </is>
      </c>
      <c r="H187" s="16" t="n"/>
      <c r="J187" s="16" t="n"/>
      <c r="L187" s="10" t="inlineStr">
        <is>
          <t>Typology drawing R01</t>
        </is>
      </c>
      <c r="M187" s="10">
        <f>Config!$B$3&amp;"?room="&amp;A187</f>
        <v/>
      </c>
    </row>
    <row r="188" ht="15" customHeight="1" s="11">
      <c r="A188" s="10" t="inlineStr">
        <is>
          <t>A-L07-K02-02</t>
        </is>
      </c>
      <c r="B188" s="10" t="inlineStr">
        <is>
          <t>Tower A</t>
        </is>
      </c>
      <c r="C188" s="10" t="inlineStr">
        <is>
          <t>L07</t>
        </is>
      </c>
      <c r="D188" s="10" t="inlineStr">
        <is>
          <t>AL07G29</t>
        </is>
      </c>
      <c r="E188" s="10" t="inlineStr">
        <is>
          <t>K02</t>
        </is>
      </c>
      <c r="F188" s="10" t="inlineStr">
        <is>
          <t>King</t>
        </is>
      </c>
      <c r="H188" s="16" t="n"/>
      <c r="J188" s="16" t="n"/>
      <c r="L188" s="10" t="inlineStr">
        <is>
          <t>Typology drawing R01</t>
        </is>
      </c>
      <c r="M188" s="10">
        <f>Config!$B$3&amp;"?room="&amp;A188</f>
        <v/>
      </c>
    </row>
    <row r="189" ht="15" customHeight="1" s="11">
      <c r="A189" s="10" t="inlineStr">
        <is>
          <t>A-L07-K02B-01</t>
        </is>
      </c>
      <c r="B189" s="10" t="inlineStr">
        <is>
          <t>Tower A</t>
        </is>
      </c>
      <c r="C189" s="10" t="inlineStr">
        <is>
          <t>L07</t>
        </is>
      </c>
      <c r="D189" s="10" t="inlineStr">
        <is>
          <t>AL07G24</t>
        </is>
      </c>
      <c r="E189" s="10" t="inlineStr">
        <is>
          <t>K02B</t>
        </is>
      </c>
      <c r="F189" s="10" t="inlineStr">
        <is>
          <t>King</t>
        </is>
      </c>
      <c r="H189" s="16" t="n"/>
      <c r="J189" s="16" t="n"/>
      <c r="L189" s="10" t="inlineStr">
        <is>
          <t>Typology drawing R01</t>
        </is>
      </c>
      <c r="M189" s="10">
        <f>Config!$B$3&amp;"?room="&amp;A189</f>
        <v/>
      </c>
    </row>
    <row r="190" ht="15" customHeight="1" s="11">
      <c r="A190" s="10" t="inlineStr">
        <is>
          <t>A-L07-K02B-02</t>
        </is>
      </c>
      <c r="B190" s="10" t="inlineStr">
        <is>
          <t>Tower A</t>
        </is>
      </c>
      <c r="C190" s="10" t="inlineStr">
        <is>
          <t>L07</t>
        </is>
      </c>
      <c r="D190" s="10" t="inlineStr">
        <is>
          <t>AL07G28</t>
        </is>
      </c>
      <c r="E190" s="10" t="inlineStr">
        <is>
          <t>K02B</t>
        </is>
      </c>
      <c r="F190" s="10" t="inlineStr">
        <is>
          <t>King</t>
        </is>
      </c>
      <c r="H190" s="16" t="n"/>
      <c r="J190" s="16" t="n"/>
      <c r="L190" s="10" t="inlineStr">
        <is>
          <t>Typology drawing R01</t>
        </is>
      </c>
      <c r="M190" s="10">
        <f>Config!$B$3&amp;"?room="&amp;A190</f>
        <v/>
      </c>
    </row>
    <row r="191" ht="15" customHeight="1" s="11">
      <c r="A191" s="10" t="inlineStr">
        <is>
          <t>A-L07-K02B-03</t>
        </is>
      </c>
      <c r="B191" s="10" t="inlineStr">
        <is>
          <t>Tower A</t>
        </is>
      </c>
      <c r="C191" s="10" t="inlineStr">
        <is>
          <t>L07</t>
        </is>
      </c>
      <c r="D191" s="10" t="inlineStr">
        <is>
          <t>AL07G36</t>
        </is>
      </c>
      <c r="E191" s="10" t="inlineStr">
        <is>
          <t>K02B</t>
        </is>
      </c>
      <c r="F191" s="10" t="inlineStr">
        <is>
          <t>King</t>
        </is>
      </c>
      <c r="H191" s="16" t="n"/>
      <c r="J191" s="16" t="n"/>
      <c r="L191" s="10" t="inlineStr">
        <is>
          <t>Typology drawing R01</t>
        </is>
      </c>
      <c r="M191" s="10">
        <f>Config!$B$3&amp;"?room="&amp;A191</f>
        <v/>
      </c>
    </row>
    <row r="192" ht="15" customHeight="1" s="11">
      <c r="A192" s="10" t="inlineStr">
        <is>
          <t>A-L07-K02C1</t>
        </is>
      </c>
      <c r="B192" s="10" t="inlineStr">
        <is>
          <t>Tower A</t>
        </is>
      </c>
      <c r="C192" s="10" t="inlineStr">
        <is>
          <t>L07</t>
        </is>
      </c>
      <c r="D192" s="10" t="inlineStr">
        <is>
          <t>AL07G08</t>
        </is>
      </c>
      <c r="E192" s="10" t="inlineStr">
        <is>
          <t>K02C1</t>
        </is>
      </c>
      <c r="F192" s="10" t="inlineStr">
        <is>
          <t>King</t>
        </is>
      </c>
      <c r="H192" s="16" t="n"/>
      <c r="J192" s="16" t="n"/>
      <c r="L192" s="10" t="inlineStr">
        <is>
          <t>Typology drawing R01</t>
        </is>
      </c>
      <c r="M192" s="10">
        <f>Config!$B$3&amp;"?room="&amp;A192</f>
        <v/>
      </c>
    </row>
    <row r="193" ht="15" customHeight="1" s="11">
      <c r="A193" s="10" t="inlineStr">
        <is>
          <t>A-L07-K02C2-01</t>
        </is>
      </c>
      <c r="B193" s="10" t="inlineStr">
        <is>
          <t>Tower A</t>
        </is>
      </c>
      <c r="C193" s="10" t="inlineStr">
        <is>
          <t>L07</t>
        </is>
      </c>
      <c r="D193" s="10" t="inlineStr">
        <is>
          <t>AL07G20</t>
        </is>
      </c>
      <c r="E193" s="10" t="inlineStr">
        <is>
          <t>K02C2</t>
        </is>
      </c>
      <c r="F193" s="10" t="inlineStr">
        <is>
          <t>King</t>
        </is>
      </c>
      <c r="H193" s="16" t="n"/>
      <c r="J193" s="16" t="n"/>
      <c r="L193" s="10" t="inlineStr">
        <is>
          <t>Typology drawing R01</t>
        </is>
      </c>
      <c r="M193" s="10">
        <f>Config!$B$3&amp;"?room="&amp;A193</f>
        <v/>
      </c>
    </row>
    <row r="194" ht="15" customHeight="1" s="11">
      <c r="A194" s="10" t="inlineStr">
        <is>
          <t>A-L07-K02C2-02</t>
        </is>
      </c>
      <c r="B194" s="10" t="inlineStr">
        <is>
          <t>Tower A</t>
        </is>
      </c>
      <c r="C194" s="10" t="inlineStr">
        <is>
          <t>L07</t>
        </is>
      </c>
      <c r="D194" s="10" t="inlineStr">
        <is>
          <t>AL07G32</t>
        </is>
      </c>
      <c r="E194" s="10" t="inlineStr">
        <is>
          <t>K02C2</t>
        </is>
      </c>
      <c r="F194" s="10" t="inlineStr">
        <is>
          <t>King</t>
        </is>
      </c>
      <c r="H194" s="16" t="n"/>
      <c r="J194" s="16" t="n"/>
      <c r="L194" s="10" t="inlineStr">
        <is>
          <t>Typology drawing R01</t>
        </is>
      </c>
      <c r="M194" s="10">
        <f>Config!$B$3&amp;"?room="&amp;A194</f>
        <v/>
      </c>
    </row>
    <row r="195" ht="15" customHeight="1" s="11">
      <c r="A195" s="10" t="inlineStr">
        <is>
          <t>A-L07-K02D1</t>
        </is>
      </c>
      <c r="B195" s="10" t="inlineStr">
        <is>
          <t>Tower A</t>
        </is>
      </c>
      <c r="C195" s="10" t="inlineStr">
        <is>
          <t>L07</t>
        </is>
      </c>
      <c r="D195" s="10" t="inlineStr">
        <is>
          <t>AL07G12</t>
        </is>
      </c>
      <c r="E195" s="10" t="inlineStr">
        <is>
          <t>K02D1</t>
        </is>
      </c>
      <c r="F195" s="10" t="inlineStr">
        <is>
          <t>King</t>
        </is>
      </c>
      <c r="H195" s="16" t="n"/>
      <c r="J195" s="16" t="n"/>
      <c r="L195" s="10" t="inlineStr">
        <is>
          <t>Typology drawing R01</t>
        </is>
      </c>
      <c r="M195" s="10">
        <f>Config!$B$3&amp;"?room="&amp;A195</f>
        <v/>
      </c>
    </row>
    <row r="196" ht="15" customHeight="1" s="11">
      <c r="A196" s="10" t="inlineStr">
        <is>
          <t>A-L07-Q01</t>
        </is>
      </c>
      <c r="B196" s="10" t="inlineStr">
        <is>
          <t>Tower A</t>
        </is>
      </c>
      <c r="C196" s="10" t="inlineStr">
        <is>
          <t>L07</t>
        </is>
      </c>
      <c r="D196" s="10" t="inlineStr">
        <is>
          <t>AL07G21</t>
        </is>
      </c>
      <c r="E196" s="10" t="inlineStr">
        <is>
          <t>Q01</t>
        </is>
      </c>
      <c r="F196" s="10" t="inlineStr">
        <is>
          <t>Queen</t>
        </is>
      </c>
      <c r="H196" s="16" t="n"/>
      <c r="J196" s="16" t="n"/>
      <c r="L196" s="10" t="inlineStr">
        <is>
          <t>Typology drawing R01</t>
        </is>
      </c>
      <c r="M196" s="10">
        <f>Config!$B$3&amp;"?room="&amp;A196</f>
        <v/>
      </c>
    </row>
    <row r="197" ht="15" customHeight="1" s="11">
      <c r="A197" s="10" t="inlineStr">
        <is>
          <t>A-L07-Q01C-01</t>
        </is>
      </c>
      <c r="B197" s="10" t="inlineStr">
        <is>
          <t>Tower A</t>
        </is>
      </c>
      <c r="C197" s="10" t="inlineStr">
        <is>
          <t>L07</t>
        </is>
      </c>
      <c r="D197" s="10" t="inlineStr">
        <is>
          <t>AL07G05</t>
        </is>
      </c>
      <c r="E197" s="10" t="inlineStr">
        <is>
          <t>Q01C</t>
        </is>
      </c>
      <c r="F197" s="10" t="inlineStr">
        <is>
          <t>Queen</t>
        </is>
      </c>
      <c r="H197" s="16" t="n"/>
      <c r="J197" s="16" t="n"/>
      <c r="L197" s="10" t="inlineStr">
        <is>
          <t>Typology drawing R01</t>
        </is>
      </c>
      <c r="M197" s="10">
        <f>Config!$B$3&amp;"?room="&amp;A197</f>
        <v/>
      </c>
    </row>
    <row r="198" ht="15" customHeight="1" s="11">
      <c r="A198" s="10" t="inlineStr">
        <is>
          <t>A-L07-Q01C-02</t>
        </is>
      </c>
      <c r="B198" s="10" t="inlineStr">
        <is>
          <t>Tower A</t>
        </is>
      </c>
      <c r="C198" s="10" t="inlineStr">
        <is>
          <t>L07</t>
        </is>
      </c>
      <c r="D198" s="10" t="inlineStr">
        <is>
          <t>AL07G09</t>
        </is>
      </c>
      <c r="E198" s="10" t="inlineStr">
        <is>
          <t>Q01C</t>
        </is>
      </c>
      <c r="F198" s="10" t="inlineStr">
        <is>
          <t>Queen</t>
        </is>
      </c>
      <c r="H198" s="16" t="n"/>
      <c r="J198" s="16" t="n"/>
      <c r="L198" s="10" t="inlineStr">
        <is>
          <t>Typology drawing R01</t>
        </is>
      </c>
      <c r="M198" s="10">
        <f>Config!$B$3&amp;"?room="&amp;A198</f>
        <v/>
      </c>
    </row>
    <row r="199" ht="15" customHeight="1" s="11">
      <c r="A199" s="10" t="inlineStr">
        <is>
          <t>A-L07-Q01C-03</t>
        </is>
      </c>
      <c r="B199" s="10" t="inlineStr">
        <is>
          <t>Tower A</t>
        </is>
      </c>
      <c r="C199" s="10" t="inlineStr">
        <is>
          <t>L07</t>
        </is>
      </c>
      <c r="D199" s="10" t="inlineStr">
        <is>
          <t>AL07G33</t>
        </is>
      </c>
      <c r="E199" s="10" t="inlineStr">
        <is>
          <t>Q01C</t>
        </is>
      </c>
      <c r="F199" s="10" t="inlineStr">
        <is>
          <t>Queen</t>
        </is>
      </c>
      <c r="H199" s="16" t="n"/>
      <c r="J199" s="16" t="n"/>
      <c r="L199" s="10" t="inlineStr">
        <is>
          <t>Typology drawing R01</t>
        </is>
      </c>
      <c r="M199" s="10">
        <f>Config!$B$3&amp;"?room="&amp;A199</f>
        <v/>
      </c>
    </row>
    <row r="200" ht="15" customHeight="1" s="11">
      <c r="A200" s="10" t="inlineStr">
        <is>
          <t>A-L07-Q01C1</t>
        </is>
      </c>
      <c r="B200" s="10" t="inlineStr">
        <is>
          <t>Tower A</t>
        </is>
      </c>
      <c r="C200" s="10" t="inlineStr">
        <is>
          <t>L07</t>
        </is>
      </c>
      <c r="D200" s="10" t="inlineStr">
        <is>
          <t>AL07G14</t>
        </is>
      </c>
      <c r="E200" s="10" t="inlineStr">
        <is>
          <t>Q01C1</t>
        </is>
      </c>
      <c r="F200" s="10" t="inlineStr">
        <is>
          <t>Queen</t>
        </is>
      </c>
      <c r="H200" s="16" t="n"/>
      <c r="J200" s="16" t="n"/>
      <c r="L200" s="10" t="inlineStr">
        <is>
          <t>Typology drawing R01</t>
        </is>
      </c>
      <c r="M200" s="10">
        <f>Config!$B$3&amp;"?room="&amp;A200</f>
        <v/>
      </c>
    </row>
    <row r="201" ht="15" customHeight="1" s="11">
      <c r="A201" s="10" t="inlineStr">
        <is>
          <t>A-L07-Q02C1-01</t>
        </is>
      </c>
      <c r="B201" s="10" t="inlineStr">
        <is>
          <t>Tower A</t>
        </is>
      </c>
      <c r="C201" s="10" t="inlineStr">
        <is>
          <t>L07</t>
        </is>
      </c>
      <c r="D201" s="10" t="inlineStr">
        <is>
          <t>AL07G06</t>
        </is>
      </c>
      <c r="E201" s="10" t="inlineStr">
        <is>
          <t>Q02C1</t>
        </is>
      </c>
      <c r="F201" s="10" t="inlineStr">
        <is>
          <t>Queen</t>
        </is>
      </c>
      <c r="H201" s="16" t="n"/>
      <c r="J201" s="16" t="n"/>
      <c r="L201" s="10" t="inlineStr">
        <is>
          <t>Typology drawing R01</t>
        </is>
      </c>
      <c r="M201" s="10">
        <f>Config!$B$3&amp;"?room="&amp;A201</f>
        <v/>
      </c>
    </row>
    <row r="202" ht="15" customHeight="1" s="11">
      <c r="A202" s="10" t="inlineStr">
        <is>
          <t>A-L07-Q02C1-02</t>
        </is>
      </c>
      <c r="B202" s="10" t="inlineStr">
        <is>
          <t>Tower A</t>
        </is>
      </c>
      <c r="C202" s="10" t="inlineStr">
        <is>
          <t>L07</t>
        </is>
      </c>
      <c r="D202" s="10" t="inlineStr">
        <is>
          <t>AL07G10</t>
        </is>
      </c>
      <c r="E202" s="10" t="inlineStr">
        <is>
          <t>Q02C1</t>
        </is>
      </c>
      <c r="F202" s="10" t="inlineStr">
        <is>
          <t>Queen</t>
        </is>
      </c>
      <c r="H202" s="16" t="n"/>
      <c r="J202" s="16" t="n"/>
      <c r="L202" s="10" t="inlineStr">
        <is>
          <t>Typology drawing R01</t>
        </is>
      </c>
      <c r="M202" s="10">
        <f>Config!$B$3&amp;"?room="&amp;A202</f>
        <v/>
      </c>
    </row>
    <row r="203" ht="15" customHeight="1" s="11">
      <c r="A203" s="10" t="inlineStr">
        <is>
          <t>A-L07-Q02C2-01</t>
        </is>
      </c>
      <c r="B203" s="10" t="inlineStr">
        <is>
          <t>Tower A</t>
        </is>
      </c>
      <c r="C203" s="10" t="inlineStr">
        <is>
          <t>L07</t>
        </is>
      </c>
      <c r="D203" s="10" t="inlineStr">
        <is>
          <t>AL07G22</t>
        </is>
      </c>
      <c r="E203" s="10" t="inlineStr">
        <is>
          <t>Q02C2</t>
        </is>
      </c>
      <c r="F203" s="10" t="inlineStr">
        <is>
          <t>Queen</t>
        </is>
      </c>
      <c r="H203" s="16" t="n"/>
      <c r="J203" s="16" t="n"/>
      <c r="L203" s="10" t="inlineStr">
        <is>
          <t>Typology drawing R01</t>
        </is>
      </c>
      <c r="M203" s="10">
        <f>Config!$B$3&amp;"?room="&amp;A203</f>
        <v/>
      </c>
    </row>
    <row r="204" ht="15" customHeight="1" s="11">
      <c r="A204" s="10" t="inlineStr">
        <is>
          <t>A-L07-Q02C2-02</t>
        </is>
      </c>
      <c r="B204" s="10" t="inlineStr">
        <is>
          <t>Tower A</t>
        </is>
      </c>
      <c r="C204" s="10" t="inlineStr">
        <is>
          <t>L07</t>
        </is>
      </c>
      <c r="D204" s="10" t="inlineStr">
        <is>
          <t>AL07G34</t>
        </is>
      </c>
      <c r="E204" s="10" t="inlineStr">
        <is>
          <t>Q02C2</t>
        </is>
      </c>
      <c r="F204" s="10" t="inlineStr">
        <is>
          <t>Queen</t>
        </is>
      </c>
      <c r="H204" s="16" t="n"/>
      <c r="J204" s="16" t="n"/>
      <c r="L204" s="10" t="inlineStr">
        <is>
          <t>Typology drawing R01</t>
        </is>
      </c>
      <c r="M204" s="10">
        <f>Config!$B$3&amp;"?room="&amp;A204</f>
        <v/>
      </c>
    </row>
    <row r="205" ht="15" customHeight="1" s="11">
      <c r="A205" s="10" t="inlineStr">
        <is>
          <t>A-L07-Q02E</t>
        </is>
      </c>
      <c r="B205" s="10" t="inlineStr">
        <is>
          <t>Tower A</t>
        </is>
      </c>
      <c r="C205" s="10" t="inlineStr">
        <is>
          <t>L07</t>
        </is>
      </c>
      <c r="D205" s="10" t="inlineStr">
        <is>
          <t>AL07G41</t>
        </is>
      </c>
      <c r="E205" s="10" t="inlineStr">
        <is>
          <t>Q02E</t>
        </is>
      </c>
      <c r="F205" s="10" t="inlineStr">
        <is>
          <t>Queen</t>
        </is>
      </c>
      <c r="H205" s="16" t="n"/>
      <c r="J205" s="16" t="n"/>
      <c r="L205" s="10" t="inlineStr">
        <is>
          <t>Typology drawing R01</t>
        </is>
      </c>
      <c r="M205" s="10">
        <f>Config!$B$3&amp;"?room="&amp;A205</f>
        <v/>
      </c>
    </row>
    <row r="206" ht="15" customHeight="1" s="11">
      <c r="A206" s="10" t="inlineStr">
        <is>
          <t>A-L07-QADA2</t>
        </is>
      </c>
      <c r="B206" s="10" t="inlineStr">
        <is>
          <t>Tower A</t>
        </is>
      </c>
      <c r="C206" s="10" t="inlineStr">
        <is>
          <t>L07</t>
        </is>
      </c>
      <c r="D206" s="10" t="inlineStr">
        <is>
          <t>AL07G37</t>
        </is>
      </c>
      <c r="E206" s="10" t="inlineStr">
        <is>
          <t>QADA2</t>
        </is>
      </c>
      <c r="F206" s="10" t="inlineStr">
        <is>
          <t>Queen ADA</t>
        </is>
      </c>
      <c r="H206" s="16" t="n"/>
      <c r="J206" s="16" t="n"/>
      <c r="L206" s="10" t="inlineStr">
        <is>
          <t>Typology drawing R01</t>
        </is>
      </c>
      <c r="M206" s="10">
        <f>Config!$B$3&amp;"?room="&amp;A206</f>
        <v/>
      </c>
    </row>
    <row r="207" ht="15" customHeight="1" s="11">
      <c r="A207" s="10" t="inlineStr">
        <is>
          <t>A-L07-S05</t>
        </is>
      </c>
      <c r="B207" s="10" t="inlineStr">
        <is>
          <t>Tower A</t>
        </is>
      </c>
      <c r="C207" s="10" t="inlineStr">
        <is>
          <t>L07</t>
        </is>
      </c>
      <c r="D207" s="10" t="inlineStr">
        <is>
          <t>AL07G16</t>
        </is>
      </c>
      <c r="E207" s="10" t="inlineStr">
        <is>
          <t>S05</t>
        </is>
      </c>
      <c r="F207" s="10" t="inlineStr">
        <is>
          <t>Suite</t>
        </is>
      </c>
      <c r="H207" s="16" t="n"/>
      <c r="J207" s="16" t="n"/>
      <c r="L207" s="10" t="inlineStr">
        <is>
          <t>Typology drawing R01</t>
        </is>
      </c>
      <c r="M207" s="10">
        <f>Config!$B$3&amp;"?room="&amp;A207</f>
        <v/>
      </c>
    </row>
    <row r="208" ht="15" customHeight="1" s="11">
      <c r="A208" s="10" t="inlineStr">
        <is>
          <t>A-L07-S06</t>
        </is>
      </c>
      <c r="B208" s="10" t="inlineStr">
        <is>
          <t>Tower A</t>
        </is>
      </c>
      <c r="C208" s="10" t="inlineStr">
        <is>
          <t>L07</t>
        </is>
      </c>
      <c r="D208" s="10" t="inlineStr">
        <is>
          <t>AL07G43</t>
        </is>
      </c>
      <c r="E208" s="10" t="inlineStr">
        <is>
          <t>S06</t>
        </is>
      </c>
      <c r="F208" s="10" t="inlineStr">
        <is>
          <t>Suite</t>
        </is>
      </c>
      <c r="H208" s="16" t="n"/>
      <c r="J208" s="16" t="n"/>
      <c r="L208" s="10" t="inlineStr">
        <is>
          <t>Typology drawing R01</t>
        </is>
      </c>
      <c r="M208" s="10">
        <f>Config!$B$3&amp;"?room="&amp;A208</f>
        <v/>
      </c>
    </row>
    <row r="209" ht="15" customHeight="1" s="11">
      <c r="A209" s="10" t="inlineStr">
        <is>
          <t>A-L07-S08</t>
        </is>
      </c>
      <c r="B209" s="10" t="inlineStr">
        <is>
          <t>Tower A</t>
        </is>
      </c>
      <c r="C209" s="10" t="inlineStr">
        <is>
          <t>L07</t>
        </is>
      </c>
      <c r="D209" s="10" t="inlineStr">
        <is>
          <t>AL07G03</t>
        </is>
      </c>
      <c r="E209" s="10" t="inlineStr">
        <is>
          <t>S08</t>
        </is>
      </c>
      <c r="F209" s="10" t="inlineStr">
        <is>
          <t>Suite</t>
        </is>
      </c>
      <c r="H209" s="16" t="n"/>
      <c r="J209" s="16" t="n"/>
      <c r="L209" s="10" t="inlineStr">
        <is>
          <t>Inferred – verify</t>
        </is>
      </c>
      <c r="M209" s="10">
        <f>Config!$B$3&amp;"?room="&amp;A209</f>
        <v/>
      </c>
    </row>
    <row r="210" ht="15" customHeight="1" s="11">
      <c r="A210" s="10" t="inlineStr">
        <is>
          <t>A-L07-S08A</t>
        </is>
      </c>
      <c r="B210" s="10" t="inlineStr">
        <is>
          <t>Tower A</t>
        </is>
      </c>
      <c r="C210" s="10" t="inlineStr">
        <is>
          <t>L07</t>
        </is>
      </c>
      <c r="D210" s="10" t="inlineStr">
        <is>
          <t>AL07G04</t>
        </is>
      </c>
      <c r="E210" s="10" t="inlineStr">
        <is>
          <t>S08A</t>
        </is>
      </c>
      <c r="F210" s="10" t="inlineStr">
        <is>
          <t>Suite</t>
        </is>
      </c>
      <c r="H210" s="16" t="n"/>
      <c r="J210" s="16" t="n"/>
      <c r="L210" s="10" t="inlineStr">
        <is>
          <t>Typology drawing R01</t>
        </is>
      </c>
      <c r="M210" s="10">
        <f>Config!$B$3&amp;"?room="&amp;A210</f>
        <v/>
      </c>
    </row>
    <row r="211" ht="15" customHeight="1" s="11">
      <c r="A211" s="10" t="inlineStr">
        <is>
          <t>A-L08-F04</t>
        </is>
      </c>
      <c r="B211" s="10" t="inlineStr">
        <is>
          <t>Tower A</t>
        </is>
      </c>
      <c r="C211" s="10" t="inlineStr">
        <is>
          <t>L08</t>
        </is>
      </c>
      <c r="D211" s="10" t="inlineStr">
        <is>
          <t>AL08G11</t>
        </is>
      </c>
      <c r="E211" s="10" t="inlineStr">
        <is>
          <t>F04</t>
        </is>
      </c>
      <c r="F211" s="10" t="inlineStr">
        <is>
          <t>Family</t>
        </is>
      </c>
      <c r="H211" s="16" t="n"/>
      <c r="J211" s="16" t="n"/>
      <c r="L211" s="10" t="inlineStr">
        <is>
          <t>Typology drawing R01</t>
        </is>
      </c>
      <c r="M211" s="10">
        <f>Config!$B$3&amp;"?room="&amp;A211</f>
        <v/>
      </c>
    </row>
    <row r="212" ht="15" customHeight="1" s="11">
      <c r="A212" s="10" t="inlineStr">
        <is>
          <t>A-L08-F05</t>
        </is>
      </c>
      <c r="B212" s="10" t="inlineStr">
        <is>
          <t>Tower A</t>
        </is>
      </c>
      <c r="C212" s="10" t="inlineStr">
        <is>
          <t>L08</t>
        </is>
      </c>
      <c r="D212" s="10" t="inlineStr">
        <is>
          <t>AL08G46</t>
        </is>
      </c>
      <c r="E212" s="10" t="inlineStr">
        <is>
          <t>F05</t>
        </is>
      </c>
      <c r="F212" s="10" t="inlineStr">
        <is>
          <t>Family</t>
        </is>
      </c>
      <c r="H212" s="16" t="n"/>
      <c r="J212" s="16" t="n"/>
      <c r="L212" s="10" t="inlineStr">
        <is>
          <t>Typology drawing R01</t>
        </is>
      </c>
      <c r="M212" s="10">
        <f>Config!$B$3&amp;"?room="&amp;A212</f>
        <v/>
      </c>
    </row>
    <row r="213" ht="15" customHeight="1" s="11">
      <c r="A213" s="10" t="inlineStr">
        <is>
          <t>A-L08-K01-01</t>
        </is>
      </c>
      <c r="B213" s="10" t="inlineStr">
        <is>
          <t>Tower A</t>
        </is>
      </c>
      <c r="C213" s="10" t="inlineStr">
        <is>
          <t>L08</t>
        </is>
      </c>
      <c r="D213" s="10" t="inlineStr">
        <is>
          <t>AL08G19</t>
        </is>
      </c>
      <c r="E213" s="10" t="inlineStr">
        <is>
          <t>K01</t>
        </is>
      </c>
      <c r="F213" s="10" t="inlineStr">
        <is>
          <t>King</t>
        </is>
      </c>
      <c r="H213" s="16" t="n"/>
      <c r="J213" s="16" t="n"/>
      <c r="L213" s="10" t="inlineStr">
        <is>
          <t>Typology drawing R01</t>
        </is>
      </c>
      <c r="M213" s="10">
        <f>Config!$B$3&amp;"?room="&amp;A213</f>
        <v/>
      </c>
    </row>
    <row r="214" ht="15" customHeight="1" s="11">
      <c r="A214" s="10" t="inlineStr">
        <is>
          <t>A-L08-K01-02</t>
        </is>
      </c>
      <c r="B214" s="10" t="inlineStr">
        <is>
          <t>Tower A</t>
        </is>
      </c>
      <c r="C214" s="10" t="inlineStr">
        <is>
          <t>L08</t>
        </is>
      </c>
      <c r="D214" s="10" t="inlineStr">
        <is>
          <t>AL08G23</t>
        </is>
      </c>
      <c r="E214" s="10" t="inlineStr">
        <is>
          <t>K01</t>
        </is>
      </c>
      <c r="F214" s="10" t="inlineStr">
        <is>
          <t>King</t>
        </is>
      </c>
      <c r="H214" s="16" t="n"/>
      <c r="J214" s="16" t="n"/>
      <c r="L214" s="10" t="inlineStr">
        <is>
          <t>Typology drawing R01</t>
        </is>
      </c>
      <c r="M214" s="10">
        <f>Config!$B$3&amp;"?room="&amp;A214</f>
        <v/>
      </c>
    </row>
    <row r="215" ht="15" customHeight="1" s="11">
      <c r="A215" s="10" t="inlineStr">
        <is>
          <t>A-L08-K01-03</t>
        </is>
      </c>
      <c r="B215" s="10" t="inlineStr">
        <is>
          <t>Tower A</t>
        </is>
      </c>
      <c r="C215" s="10" t="inlineStr">
        <is>
          <t>L08</t>
        </is>
      </c>
      <c r="D215" s="10" t="inlineStr">
        <is>
          <t>AL08G27</t>
        </is>
      </c>
      <c r="E215" s="10" t="inlineStr">
        <is>
          <t>K01</t>
        </is>
      </c>
      <c r="F215" s="10" t="inlineStr">
        <is>
          <t>King</t>
        </is>
      </c>
      <c r="H215" s="16" t="n"/>
      <c r="J215" s="16" t="n"/>
      <c r="L215" s="10" t="inlineStr">
        <is>
          <t>Typology drawing R01</t>
        </is>
      </c>
      <c r="M215" s="10">
        <f>Config!$B$3&amp;"?room="&amp;A215</f>
        <v/>
      </c>
    </row>
    <row r="216" ht="15" customHeight="1" s="11">
      <c r="A216" s="10" t="inlineStr">
        <is>
          <t>A-L08-K01B-01</t>
        </is>
      </c>
      <c r="B216" s="10" t="inlineStr">
        <is>
          <t>Tower A</t>
        </is>
      </c>
      <c r="C216" s="10" t="inlineStr">
        <is>
          <t>L08</t>
        </is>
      </c>
      <c r="D216" s="10" t="inlineStr">
        <is>
          <t>AL08G26</t>
        </is>
      </c>
      <c r="E216" s="10" t="inlineStr">
        <is>
          <t>K01B</t>
        </is>
      </c>
      <c r="F216" s="10" t="inlineStr">
        <is>
          <t>King</t>
        </is>
      </c>
      <c r="H216" s="16" t="n"/>
      <c r="J216" s="16" t="n"/>
      <c r="L216" s="10" t="inlineStr">
        <is>
          <t>Typology drawing R01</t>
        </is>
      </c>
      <c r="M216" s="10">
        <f>Config!$B$3&amp;"?room="&amp;A216</f>
        <v/>
      </c>
    </row>
    <row r="217" ht="15" customHeight="1" s="11">
      <c r="A217" s="10" t="inlineStr">
        <is>
          <t>A-L08-K01B-02</t>
        </is>
      </c>
      <c r="B217" s="10" t="inlineStr">
        <is>
          <t>Tower A</t>
        </is>
      </c>
      <c r="C217" s="10" t="inlineStr">
        <is>
          <t>L08</t>
        </is>
      </c>
      <c r="D217" s="10" t="inlineStr">
        <is>
          <t>AL08G30</t>
        </is>
      </c>
      <c r="E217" s="10" t="inlineStr">
        <is>
          <t>K01B</t>
        </is>
      </c>
      <c r="F217" s="10" t="inlineStr">
        <is>
          <t>King</t>
        </is>
      </c>
      <c r="H217" s="16" t="n"/>
      <c r="J217" s="16" t="n"/>
      <c r="L217" s="10" t="inlineStr">
        <is>
          <t>Typology drawing R01</t>
        </is>
      </c>
      <c r="M217" s="10">
        <f>Config!$B$3&amp;"?room="&amp;A217</f>
        <v/>
      </c>
    </row>
    <row r="218" ht="15" customHeight="1" s="11">
      <c r="A218" s="10" t="inlineStr">
        <is>
          <t>A-L08-K01C-01</t>
        </is>
      </c>
      <c r="B218" s="10" t="inlineStr">
        <is>
          <t>Tower A</t>
        </is>
      </c>
      <c r="C218" s="10" t="inlineStr">
        <is>
          <t>L08</t>
        </is>
      </c>
      <c r="D218" s="10" t="inlineStr">
        <is>
          <t>AL08G07</t>
        </is>
      </c>
      <c r="E218" s="10" t="inlineStr">
        <is>
          <t>K01C</t>
        </is>
      </c>
      <c r="F218" s="10" t="inlineStr">
        <is>
          <t>King</t>
        </is>
      </c>
      <c r="H218" s="16" t="n"/>
      <c r="J218" s="16" t="n"/>
      <c r="L218" s="10" t="inlineStr">
        <is>
          <t>Typology drawing R01</t>
        </is>
      </c>
      <c r="M218" s="10">
        <f>Config!$B$3&amp;"?room="&amp;A218</f>
        <v/>
      </c>
    </row>
    <row r="219" ht="15" customHeight="1" s="11">
      <c r="A219" s="10" t="inlineStr">
        <is>
          <t>A-L08-K01C-02</t>
        </is>
      </c>
      <c r="B219" s="10" t="inlineStr">
        <is>
          <t>Tower A</t>
        </is>
      </c>
      <c r="C219" s="10" t="inlineStr">
        <is>
          <t>L08</t>
        </is>
      </c>
      <c r="D219" s="10" t="inlineStr">
        <is>
          <t>AL08G31</t>
        </is>
      </c>
      <c r="E219" s="10" t="inlineStr">
        <is>
          <t>K01C</t>
        </is>
      </c>
      <c r="F219" s="10" t="inlineStr">
        <is>
          <t>King</t>
        </is>
      </c>
      <c r="H219" s="16" t="n"/>
      <c r="J219" s="16" t="n"/>
      <c r="L219" s="10" t="inlineStr">
        <is>
          <t>Typology drawing R01</t>
        </is>
      </c>
      <c r="M219" s="10">
        <f>Config!$B$3&amp;"?room="&amp;A219</f>
        <v/>
      </c>
    </row>
    <row r="220" ht="15" customHeight="1" s="11">
      <c r="A220" s="10" t="inlineStr">
        <is>
          <t>A-L08-K01C-03</t>
        </is>
      </c>
      <c r="B220" s="10" t="inlineStr">
        <is>
          <t>Tower A</t>
        </is>
      </c>
      <c r="C220" s="10" t="inlineStr">
        <is>
          <t>L08</t>
        </is>
      </c>
      <c r="D220" s="10" t="inlineStr">
        <is>
          <t>AL08G35</t>
        </is>
      </c>
      <c r="E220" s="10" t="inlineStr">
        <is>
          <t>K01C</t>
        </is>
      </c>
      <c r="F220" s="10" t="inlineStr">
        <is>
          <t>King</t>
        </is>
      </c>
      <c r="H220" s="16" t="n"/>
      <c r="J220" s="16" t="n"/>
      <c r="L220" s="10" t="inlineStr">
        <is>
          <t>Typology drawing R01</t>
        </is>
      </c>
      <c r="M220" s="10">
        <f>Config!$B$3&amp;"?room="&amp;A220</f>
        <v/>
      </c>
    </row>
    <row r="221" ht="15" customHeight="1" s="11">
      <c r="A221" s="10" t="inlineStr">
        <is>
          <t>A-L08-K01D</t>
        </is>
      </c>
      <c r="B221" s="10" t="inlineStr">
        <is>
          <t>Tower A</t>
        </is>
      </c>
      <c r="C221" s="10" t="inlineStr">
        <is>
          <t>L08</t>
        </is>
      </c>
      <c r="D221" s="10" t="inlineStr">
        <is>
          <t>AL08G39</t>
        </is>
      </c>
      <c r="E221" s="10" t="inlineStr">
        <is>
          <t>K01D</t>
        </is>
      </c>
      <c r="F221" s="10" t="inlineStr">
        <is>
          <t>King</t>
        </is>
      </c>
      <c r="H221" s="16" t="n"/>
      <c r="J221" s="16" t="n"/>
      <c r="L221" s="10" t="inlineStr">
        <is>
          <t>Typology drawing R01</t>
        </is>
      </c>
      <c r="M221" s="10">
        <f>Config!$B$3&amp;"?room="&amp;A221</f>
        <v/>
      </c>
    </row>
    <row r="222" ht="15" customHeight="1" s="11">
      <c r="A222" s="10" t="inlineStr">
        <is>
          <t>A-L08-K02-01</t>
        </is>
      </c>
      <c r="B222" s="10" t="inlineStr">
        <is>
          <t>Tower A</t>
        </is>
      </c>
      <c r="C222" s="10" t="inlineStr">
        <is>
          <t>L08</t>
        </is>
      </c>
      <c r="D222" s="10" t="inlineStr">
        <is>
          <t>AL08G25</t>
        </is>
      </c>
      <c r="E222" s="10" t="inlineStr">
        <is>
          <t>K02</t>
        </is>
      </c>
      <c r="F222" s="10" t="inlineStr">
        <is>
          <t>King</t>
        </is>
      </c>
      <c r="H222" s="16" t="n"/>
      <c r="J222" s="16" t="n"/>
      <c r="L222" s="10" t="inlineStr">
        <is>
          <t>Typology drawing R01</t>
        </is>
      </c>
      <c r="M222" s="10">
        <f>Config!$B$3&amp;"?room="&amp;A222</f>
        <v/>
      </c>
    </row>
    <row r="223" ht="15" customHeight="1" s="11">
      <c r="A223" s="10" t="inlineStr">
        <is>
          <t>A-L08-K02-02</t>
        </is>
      </c>
      <c r="B223" s="10" t="inlineStr">
        <is>
          <t>Tower A</t>
        </is>
      </c>
      <c r="C223" s="10" t="inlineStr">
        <is>
          <t>L08</t>
        </is>
      </c>
      <c r="D223" s="10" t="inlineStr">
        <is>
          <t>AL08G29</t>
        </is>
      </c>
      <c r="E223" s="10" t="inlineStr">
        <is>
          <t>K02</t>
        </is>
      </c>
      <c r="F223" s="10" t="inlineStr">
        <is>
          <t>King</t>
        </is>
      </c>
      <c r="H223" s="16" t="n"/>
      <c r="J223" s="16" t="n"/>
      <c r="L223" s="10" t="inlineStr">
        <is>
          <t>Typology drawing R01</t>
        </is>
      </c>
      <c r="M223" s="10">
        <f>Config!$B$3&amp;"?room="&amp;A223</f>
        <v/>
      </c>
    </row>
    <row r="224" ht="15" customHeight="1" s="11">
      <c r="A224" s="10" t="inlineStr">
        <is>
          <t>A-L08-K02B-01</t>
        </is>
      </c>
      <c r="B224" s="10" t="inlineStr">
        <is>
          <t>Tower A</t>
        </is>
      </c>
      <c r="C224" s="10" t="inlineStr">
        <is>
          <t>L08</t>
        </is>
      </c>
      <c r="D224" s="10" t="inlineStr">
        <is>
          <t>AL08G24</t>
        </is>
      </c>
      <c r="E224" s="10" t="inlineStr">
        <is>
          <t>K02B</t>
        </is>
      </c>
      <c r="F224" s="10" t="inlineStr">
        <is>
          <t>King</t>
        </is>
      </c>
      <c r="H224" s="16" t="n"/>
      <c r="J224" s="16" t="n"/>
      <c r="L224" s="10" t="inlineStr">
        <is>
          <t>Typology drawing R01</t>
        </is>
      </c>
      <c r="M224" s="10">
        <f>Config!$B$3&amp;"?room="&amp;A224</f>
        <v/>
      </c>
    </row>
    <row r="225" ht="15" customHeight="1" s="11">
      <c r="A225" s="10" t="inlineStr">
        <is>
          <t>A-L08-K02B-02</t>
        </is>
      </c>
      <c r="B225" s="10" t="inlineStr">
        <is>
          <t>Tower A</t>
        </is>
      </c>
      <c r="C225" s="10" t="inlineStr">
        <is>
          <t>L08</t>
        </is>
      </c>
      <c r="D225" s="10" t="inlineStr">
        <is>
          <t>AL08G28</t>
        </is>
      </c>
      <c r="E225" s="10" t="inlineStr">
        <is>
          <t>K02B</t>
        </is>
      </c>
      <c r="F225" s="10" t="inlineStr">
        <is>
          <t>King</t>
        </is>
      </c>
      <c r="H225" s="16" t="n"/>
      <c r="J225" s="16" t="n"/>
      <c r="L225" s="10" t="inlineStr">
        <is>
          <t>Typology drawing R01</t>
        </is>
      </c>
      <c r="M225" s="10">
        <f>Config!$B$3&amp;"?room="&amp;A225</f>
        <v/>
      </c>
    </row>
    <row r="226" ht="15" customHeight="1" s="11">
      <c r="A226" s="10" t="inlineStr">
        <is>
          <t>A-L08-K02B-03</t>
        </is>
      </c>
      <c r="B226" s="10" t="inlineStr">
        <is>
          <t>Tower A</t>
        </is>
      </c>
      <c r="C226" s="10" t="inlineStr">
        <is>
          <t>L08</t>
        </is>
      </c>
      <c r="D226" s="10" t="inlineStr">
        <is>
          <t>AL08G36</t>
        </is>
      </c>
      <c r="E226" s="10" t="inlineStr">
        <is>
          <t>K02B</t>
        </is>
      </c>
      <c r="F226" s="10" t="inlineStr">
        <is>
          <t>King</t>
        </is>
      </c>
      <c r="H226" s="16" t="n"/>
      <c r="J226" s="16" t="n"/>
      <c r="L226" s="10" t="inlineStr">
        <is>
          <t>Typology drawing R01</t>
        </is>
      </c>
      <c r="M226" s="10">
        <f>Config!$B$3&amp;"?room="&amp;A226</f>
        <v/>
      </c>
    </row>
    <row r="227" ht="15" customHeight="1" s="11">
      <c r="A227" s="10" t="inlineStr">
        <is>
          <t>A-L08-K02C1</t>
        </is>
      </c>
      <c r="B227" s="10" t="inlineStr">
        <is>
          <t>Tower A</t>
        </is>
      </c>
      <c r="C227" s="10" t="inlineStr">
        <is>
          <t>L08</t>
        </is>
      </c>
      <c r="D227" s="10" t="inlineStr">
        <is>
          <t>AL08G08</t>
        </is>
      </c>
      <c r="E227" s="10" t="inlineStr">
        <is>
          <t>K02C1</t>
        </is>
      </c>
      <c r="F227" s="10" t="inlineStr">
        <is>
          <t>King</t>
        </is>
      </c>
      <c r="H227" s="16" t="n"/>
      <c r="J227" s="16" t="n"/>
      <c r="L227" s="10" t="inlineStr">
        <is>
          <t>Typology drawing R01</t>
        </is>
      </c>
      <c r="M227" s="10">
        <f>Config!$B$3&amp;"?room="&amp;A227</f>
        <v/>
      </c>
    </row>
    <row r="228" ht="15" customHeight="1" s="11">
      <c r="A228" s="10" t="inlineStr">
        <is>
          <t>A-L08-K02C2-01</t>
        </is>
      </c>
      <c r="B228" s="10" t="inlineStr">
        <is>
          <t>Tower A</t>
        </is>
      </c>
      <c r="C228" s="10" t="inlineStr">
        <is>
          <t>L08</t>
        </is>
      </c>
      <c r="D228" s="10" t="inlineStr">
        <is>
          <t>AL08G20</t>
        </is>
      </c>
      <c r="E228" s="10" t="inlineStr">
        <is>
          <t>K02C2</t>
        </is>
      </c>
      <c r="F228" s="10" t="inlineStr">
        <is>
          <t>King</t>
        </is>
      </c>
      <c r="H228" s="16" t="n"/>
      <c r="J228" s="16" t="n"/>
      <c r="L228" s="10" t="inlineStr">
        <is>
          <t>Typology drawing R01</t>
        </is>
      </c>
      <c r="M228" s="10">
        <f>Config!$B$3&amp;"?room="&amp;A228</f>
        <v/>
      </c>
    </row>
    <row r="229" ht="15" customHeight="1" s="11">
      <c r="A229" s="10" t="inlineStr">
        <is>
          <t>A-L08-K02C2-02</t>
        </is>
      </c>
      <c r="B229" s="10" t="inlineStr">
        <is>
          <t>Tower A</t>
        </is>
      </c>
      <c r="C229" s="10" t="inlineStr">
        <is>
          <t>L08</t>
        </is>
      </c>
      <c r="D229" s="10" t="inlineStr">
        <is>
          <t>AL08G32</t>
        </is>
      </c>
      <c r="E229" s="10" t="inlineStr">
        <is>
          <t>K02C2</t>
        </is>
      </c>
      <c r="F229" s="10" t="inlineStr">
        <is>
          <t>King</t>
        </is>
      </c>
      <c r="H229" s="16" t="n"/>
      <c r="J229" s="16" t="n"/>
      <c r="L229" s="10" t="inlineStr">
        <is>
          <t>Typology drawing R01</t>
        </is>
      </c>
      <c r="M229" s="10">
        <f>Config!$B$3&amp;"?room="&amp;A229</f>
        <v/>
      </c>
    </row>
    <row r="230" ht="15" customHeight="1" s="11">
      <c r="A230" s="10" t="inlineStr">
        <is>
          <t>A-L08-K02D1</t>
        </is>
      </c>
      <c r="B230" s="10" t="inlineStr">
        <is>
          <t>Tower A</t>
        </is>
      </c>
      <c r="C230" s="10" t="inlineStr">
        <is>
          <t>L08</t>
        </is>
      </c>
      <c r="D230" s="10" t="inlineStr">
        <is>
          <t>AL08G12</t>
        </is>
      </c>
      <c r="E230" s="10" t="inlineStr">
        <is>
          <t>K02D1</t>
        </is>
      </c>
      <c r="F230" s="10" t="inlineStr">
        <is>
          <t>King</t>
        </is>
      </c>
      <c r="H230" s="16" t="n"/>
      <c r="J230" s="16" t="n"/>
      <c r="L230" s="10" t="inlineStr">
        <is>
          <t>Typology drawing R01</t>
        </is>
      </c>
      <c r="M230" s="10">
        <f>Config!$B$3&amp;"?room="&amp;A230</f>
        <v/>
      </c>
    </row>
    <row r="231" ht="15" customHeight="1" s="11">
      <c r="A231" s="10" t="inlineStr">
        <is>
          <t>A-L08-Q01</t>
        </is>
      </c>
      <c r="B231" s="10" t="inlineStr">
        <is>
          <t>Tower A</t>
        </is>
      </c>
      <c r="C231" s="10" t="inlineStr">
        <is>
          <t>L08</t>
        </is>
      </c>
      <c r="D231" s="10" t="inlineStr">
        <is>
          <t>AL08G21</t>
        </is>
      </c>
      <c r="E231" s="10" t="inlineStr">
        <is>
          <t>Q01</t>
        </is>
      </c>
      <c r="F231" s="10" t="inlineStr">
        <is>
          <t>Queen</t>
        </is>
      </c>
      <c r="H231" s="16" t="n"/>
      <c r="J231" s="16" t="n"/>
      <c r="L231" s="10" t="inlineStr">
        <is>
          <t>Typology drawing R01</t>
        </is>
      </c>
      <c r="M231" s="10">
        <f>Config!$B$3&amp;"?room="&amp;A231</f>
        <v/>
      </c>
    </row>
    <row r="232" ht="15" customHeight="1" s="11">
      <c r="A232" s="10" t="inlineStr">
        <is>
          <t>A-L08-Q01C-01</t>
        </is>
      </c>
      <c r="B232" s="10" t="inlineStr">
        <is>
          <t>Tower A</t>
        </is>
      </c>
      <c r="C232" s="10" t="inlineStr">
        <is>
          <t>L08</t>
        </is>
      </c>
      <c r="D232" s="10" t="inlineStr">
        <is>
          <t>AL08G05</t>
        </is>
      </c>
      <c r="E232" s="10" t="inlineStr">
        <is>
          <t>Q01C</t>
        </is>
      </c>
      <c r="F232" s="10" t="inlineStr">
        <is>
          <t>Queen</t>
        </is>
      </c>
      <c r="H232" s="16" t="n"/>
      <c r="J232" s="16" t="n"/>
      <c r="L232" s="10" t="inlineStr">
        <is>
          <t>Typology drawing R01</t>
        </is>
      </c>
      <c r="M232" s="10">
        <f>Config!$B$3&amp;"?room="&amp;A232</f>
        <v/>
      </c>
    </row>
    <row r="233" ht="15" customHeight="1" s="11">
      <c r="A233" s="10" t="inlineStr">
        <is>
          <t>A-L08-Q01C-02</t>
        </is>
      </c>
      <c r="B233" s="10" t="inlineStr">
        <is>
          <t>Tower A</t>
        </is>
      </c>
      <c r="C233" s="10" t="inlineStr">
        <is>
          <t>L08</t>
        </is>
      </c>
      <c r="D233" s="10" t="inlineStr">
        <is>
          <t>AL08G09</t>
        </is>
      </c>
      <c r="E233" s="10" t="inlineStr">
        <is>
          <t>Q01C</t>
        </is>
      </c>
      <c r="F233" s="10" t="inlineStr">
        <is>
          <t>Queen</t>
        </is>
      </c>
      <c r="H233" s="16" t="n"/>
      <c r="J233" s="16" t="n"/>
      <c r="L233" s="10" t="inlineStr">
        <is>
          <t>Typology drawing R01</t>
        </is>
      </c>
      <c r="M233" s="10">
        <f>Config!$B$3&amp;"?room="&amp;A233</f>
        <v/>
      </c>
    </row>
    <row r="234" ht="15" customHeight="1" s="11">
      <c r="A234" s="10" t="inlineStr">
        <is>
          <t>A-L08-Q01C-03</t>
        </is>
      </c>
      <c r="B234" s="10" t="inlineStr">
        <is>
          <t>Tower A</t>
        </is>
      </c>
      <c r="C234" s="10" t="inlineStr">
        <is>
          <t>L08</t>
        </is>
      </c>
      <c r="D234" s="10" t="inlineStr">
        <is>
          <t>AL08G33</t>
        </is>
      </c>
      <c r="E234" s="10" t="inlineStr">
        <is>
          <t>Q01C</t>
        </is>
      </c>
      <c r="F234" s="10" t="inlineStr">
        <is>
          <t>Queen</t>
        </is>
      </c>
      <c r="H234" s="16" t="n"/>
      <c r="J234" s="16" t="n"/>
      <c r="L234" s="10" t="inlineStr">
        <is>
          <t>Typology drawing R01</t>
        </is>
      </c>
      <c r="M234" s="10">
        <f>Config!$B$3&amp;"?room="&amp;A234</f>
        <v/>
      </c>
    </row>
    <row r="235" ht="15" customHeight="1" s="11">
      <c r="A235" s="10" t="inlineStr">
        <is>
          <t>A-L08-Q01C-04</t>
        </is>
      </c>
      <c r="B235" s="10" t="inlineStr">
        <is>
          <t>Tower A</t>
        </is>
      </c>
      <c r="C235" s="10" t="inlineStr">
        <is>
          <t>L08</t>
        </is>
      </c>
      <c r="D235" s="10" t="inlineStr">
        <is>
          <t>AL08G37</t>
        </is>
      </c>
      <c r="E235" s="10" t="inlineStr">
        <is>
          <t>Q01C</t>
        </is>
      </c>
      <c r="F235" s="10" t="inlineStr">
        <is>
          <t>Queen</t>
        </is>
      </c>
      <c r="H235" s="16" t="n"/>
      <c r="J235" s="16" t="n"/>
      <c r="L235" s="10" t="inlineStr">
        <is>
          <t>Typology drawing R01</t>
        </is>
      </c>
      <c r="M235" s="10">
        <f>Config!$B$3&amp;"?room="&amp;A235</f>
        <v/>
      </c>
    </row>
    <row r="236" ht="15" customHeight="1" s="11">
      <c r="A236" s="10" t="inlineStr">
        <is>
          <t>A-L08-Q01C1</t>
        </is>
      </c>
      <c r="B236" s="10" t="inlineStr">
        <is>
          <t>Tower A</t>
        </is>
      </c>
      <c r="C236" s="10" t="inlineStr">
        <is>
          <t>L08</t>
        </is>
      </c>
      <c r="D236" s="10" t="inlineStr">
        <is>
          <t>AL08G14</t>
        </is>
      </c>
      <c r="E236" s="10" t="inlineStr">
        <is>
          <t>Q01C1</t>
        </is>
      </c>
      <c r="F236" s="10" t="inlineStr">
        <is>
          <t>Queen</t>
        </is>
      </c>
      <c r="H236" s="16" t="n"/>
      <c r="J236" s="16" t="n"/>
      <c r="L236" s="10" t="inlineStr">
        <is>
          <t>Typology drawing R01</t>
        </is>
      </c>
      <c r="M236" s="10">
        <f>Config!$B$3&amp;"?room="&amp;A236</f>
        <v/>
      </c>
    </row>
    <row r="237" ht="15" customHeight="1" s="11">
      <c r="A237" s="10" t="inlineStr">
        <is>
          <t>A-L08-Q02C1-01</t>
        </is>
      </c>
      <c r="B237" s="10" t="inlineStr">
        <is>
          <t>Tower A</t>
        </is>
      </c>
      <c r="C237" s="10" t="inlineStr">
        <is>
          <t>L08</t>
        </is>
      </c>
      <c r="D237" s="10" t="inlineStr">
        <is>
          <t>AL08G06</t>
        </is>
      </c>
      <c r="E237" s="10" t="inlineStr">
        <is>
          <t>Q02C1</t>
        </is>
      </c>
      <c r="F237" s="10" t="inlineStr">
        <is>
          <t>Queen</t>
        </is>
      </c>
      <c r="H237" s="16" t="n"/>
      <c r="J237" s="16" t="n"/>
      <c r="L237" s="10" t="inlineStr">
        <is>
          <t>Typology drawing R01</t>
        </is>
      </c>
      <c r="M237" s="10">
        <f>Config!$B$3&amp;"?room="&amp;A237</f>
        <v/>
      </c>
    </row>
    <row r="238" ht="15" customHeight="1" s="11">
      <c r="A238" s="10" t="inlineStr">
        <is>
          <t>A-L08-Q02C1-02</t>
        </is>
      </c>
      <c r="B238" s="10" t="inlineStr">
        <is>
          <t>Tower A</t>
        </is>
      </c>
      <c r="C238" s="10" t="inlineStr">
        <is>
          <t>L08</t>
        </is>
      </c>
      <c r="D238" s="10" t="inlineStr">
        <is>
          <t>AL08G10</t>
        </is>
      </c>
      <c r="E238" s="10" t="inlineStr">
        <is>
          <t>Q02C1</t>
        </is>
      </c>
      <c r="F238" s="10" t="inlineStr">
        <is>
          <t>Queen</t>
        </is>
      </c>
      <c r="H238" s="16" t="n"/>
      <c r="J238" s="16" t="n"/>
      <c r="L238" s="10" t="inlineStr">
        <is>
          <t>Typology drawing R01</t>
        </is>
      </c>
      <c r="M238" s="10">
        <f>Config!$B$3&amp;"?room="&amp;A238</f>
        <v/>
      </c>
    </row>
    <row r="239" ht="15" customHeight="1" s="11">
      <c r="A239" s="10" t="inlineStr">
        <is>
          <t>A-L08-Q02C2-01</t>
        </is>
      </c>
      <c r="B239" s="10" t="inlineStr">
        <is>
          <t>Tower A</t>
        </is>
      </c>
      <c r="C239" s="10" t="inlineStr">
        <is>
          <t>L08</t>
        </is>
      </c>
      <c r="D239" s="10" t="inlineStr">
        <is>
          <t>AL08G22</t>
        </is>
      </c>
      <c r="E239" s="10" t="inlineStr">
        <is>
          <t>Q02C2</t>
        </is>
      </c>
      <c r="F239" s="10" t="inlineStr">
        <is>
          <t>Queen</t>
        </is>
      </c>
      <c r="H239" s="16" t="n"/>
      <c r="J239" s="16" t="n"/>
      <c r="L239" s="10" t="inlineStr">
        <is>
          <t>Typology drawing R01</t>
        </is>
      </c>
      <c r="M239" s="10">
        <f>Config!$B$3&amp;"?room="&amp;A239</f>
        <v/>
      </c>
    </row>
    <row r="240" ht="15" customHeight="1" s="11">
      <c r="A240" s="10" t="inlineStr">
        <is>
          <t>A-L08-Q02C2-02</t>
        </is>
      </c>
      <c r="B240" s="10" t="inlineStr">
        <is>
          <t>Tower A</t>
        </is>
      </c>
      <c r="C240" s="10" t="inlineStr">
        <is>
          <t>L08</t>
        </is>
      </c>
      <c r="D240" s="10" t="inlineStr">
        <is>
          <t>AL08G34</t>
        </is>
      </c>
      <c r="E240" s="10" t="inlineStr">
        <is>
          <t>Q02C2</t>
        </is>
      </c>
      <c r="F240" s="10" t="inlineStr">
        <is>
          <t>Queen</t>
        </is>
      </c>
      <c r="H240" s="16" t="n"/>
      <c r="J240" s="16" t="n"/>
      <c r="L240" s="10" t="inlineStr">
        <is>
          <t>Typology drawing R01</t>
        </is>
      </c>
      <c r="M240" s="10">
        <f>Config!$B$3&amp;"?room="&amp;A240</f>
        <v/>
      </c>
    </row>
    <row r="241" ht="15" customHeight="1" s="11">
      <c r="A241" s="10" t="inlineStr">
        <is>
          <t>A-L08-Q02E</t>
        </is>
      </c>
      <c r="B241" s="10" t="inlineStr">
        <is>
          <t>Tower A</t>
        </is>
      </c>
      <c r="C241" s="10" t="inlineStr">
        <is>
          <t>L08</t>
        </is>
      </c>
      <c r="D241" s="10" t="inlineStr">
        <is>
          <t>AL08G41</t>
        </is>
      </c>
      <c r="E241" s="10" t="inlineStr">
        <is>
          <t>Q02E</t>
        </is>
      </c>
      <c r="F241" s="10" t="inlineStr">
        <is>
          <t>Queen</t>
        </is>
      </c>
      <c r="H241" s="16" t="n"/>
      <c r="J241" s="16" t="n"/>
      <c r="L241" s="10" t="inlineStr">
        <is>
          <t>Typology drawing R01</t>
        </is>
      </c>
      <c r="M241" s="10">
        <f>Config!$B$3&amp;"?room="&amp;A241</f>
        <v/>
      </c>
    </row>
    <row r="242" ht="15" customHeight="1" s="11">
      <c r="A242" s="10" t="inlineStr">
        <is>
          <t>A-L08-S05</t>
        </is>
      </c>
      <c r="B242" s="10" t="inlineStr">
        <is>
          <t>Tower A</t>
        </is>
      </c>
      <c r="C242" s="10" t="inlineStr">
        <is>
          <t>L08</t>
        </is>
      </c>
      <c r="D242" s="10" t="inlineStr">
        <is>
          <t>AL08G16</t>
        </is>
      </c>
      <c r="E242" s="10" t="inlineStr">
        <is>
          <t>S05</t>
        </is>
      </c>
      <c r="F242" s="10" t="inlineStr">
        <is>
          <t>Suite</t>
        </is>
      </c>
      <c r="H242" s="16" t="n"/>
      <c r="J242" s="16" t="n"/>
      <c r="L242" s="10" t="inlineStr">
        <is>
          <t>Typology drawing R01</t>
        </is>
      </c>
      <c r="M242" s="10">
        <f>Config!$B$3&amp;"?room="&amp;A242</f>
        <v/>
      </c>
    </row>
    <row r="243" ht="15" customHeight="1" s="11">
      <c r="A243" s="10" t="inlineStr">
        <is>
          <t>A-L08-S06</t>
        </is>
      </c>
      <c r="B243" s="10" t="inlineStr">
        <is>
          <t>Tower A</t>
        </is>
      </c>
      <c r="C243" s="10" t="inlineStr">
        <is>
          <t>L08</t>
        </is>
      </c>
      <c r="D243" s="10" t="inlineStr">
        <is>
          <t>AL08G43</t>
        </is>
      </c>
      <c r="E243" s="10" t="inlineStr">
        <is>
          <t>S06</t>
        </is>
      </c>
      <c r="F243" s="10" t="inlineStr">
        <is>
          <t>Suite</t>
        </is>
      </c>
      <c r="H243" s="16" t="n"/>
      <c r="J243" s="16" t="n"/>
      <c r="L243" s="10" t="inlineStr">
        <is>
          <t>Typology drawing R01</t>
        </is>
      </c>
      <c r="M243" s="10">
        <f>Config!$B$3&amp;"?room="&amp;A243</f>
        <v/>
      </c>
    </row>
    <row r="244" ht="15" customHeight="1" s="11">
      <c r="A244" s="10" t="inlineStr">
        <is>
          <t>A-L08-S08</t>
        </is>
      </c>
      <c r="B244" s="10" t="inlineStr">
        <is>
          <t>Tower A</t>
        </is>
      </c>
      <c r="C244" s="10" t="inlineStr">
        <is>
          <t>L08</t>
        </is>
      </c>
      <c r="D244" s="10" t="inlineStr">
        <is>
          <t>AL08G03</t>
        </is>
      </c>
      <c r="E244" s="10" t="inlineStr">
        <is>
          <t>S08</t>
        </is>
      </c>
      <c r="F244" s="10" t="inlineStr">
        <is>
          <t>Suite</t>
        </is>
      </c>
      <c r="H244" s="16" t="n"/>
      <c r="J244" s="16" t="n"/>
      <c r="L244" s="10" t="inlineStr">
        <is>
          <t>Typology drawing R01</t>
        </is>
      </c>
      <c r="M244" s="10">
        <f>Config!$B$3&amp;"?room="&amp;A244</f>
        <v/>
      </c>
    </row>
    <row r="245" ht="15" customHeight="1" s="11">
      <c r="A245" s="10" t="inlineStr">
        <is>
          <t>A-L08-S08A</t>
        </is>
      </c>
      <c r="B245" s="10" t="inlineStr">
        <is>
          <t>Tower A</t>
        </is>
      </c>
      <c r="C245" s="10" t="inlineStr">
        <is>
          <t>L08</t>
        </is>
      </c>
      <c r="D245" s="10" t="inlineStr">
        <is>
          <t>AL08G04</t>
        </is>
      </c>
      <c r="E245" s="10" t="inlineStr">
        <is>
          <t>S08A</t>
        </is>
      </c>
      <c r="F245" s="10" t="inlineStr">
        <is>
          <t>Suite</t>
        </is>
      </c>
      <c r="H245" s="16" t="n"/>
      <c r="J245" s="16" t="n"/>
      <c r="L245" s="10" t="inlineStr">
        <is>
          <t>Typology drawing R01</t>
        </is>
      </c>
      <c r="M245" s="10">
        <f>Config!$B$3&amp;"?room="&amp;A245</f>
        <v/>
      </c>
    </row>
    <row r="246" ht="15" customHeight="1" s="11">
      <c r="A246" s="10" t="inlineStr">
        <is>
          <t>A-L09-F04</t>
        </is>
      </c>
      <c r="B246" s="10" t="inlineStr">
        <is>
          <t>Tower A</t>
        </is>
      </c>
      <c r="C246" s="10" t="inlineStr">
        <is>
          <t>L09</t>
        </is>
      </c>
      <c r="D246" s="10" t="inlineStr">
        <is>
          <t>AL09G11</t>
        </is>
      </c>
      <c r="E246" s="10" t="inlineStr">
        <is>
          <t>F04</t>
        </is>
      </c>
      <c r="F246" s="10" t="inlineStr">
        <is>
          <t>Family</t>
        </is>
      </c>
      <c r="H246" s="16" t="n"/>
      <c r="J246" s="16" t="n"/>
      <c r="L246" s="10" t="inlineStr">
        <is>
          <t>Typology drawing R01</t>
        </is>
      </c>
      <c r="M246" s="10">
        <f>Config!$B$3&amp;"?room="&amp;A246</f>
        <v/>
      </c>
    </row>
    <row r="247" ht="15" customHeight="1" s="11">
      <c r="A247" s="10" t="inlineStr">
        <is>
          <t>A-L09-F05</t>
        </is>
      </c>
      <c r="B247" s="10" t="inlineStr">
        <is>
          <t>Tower A</t>
        </is>
      </c>
      <c r="C247" s="10" t="inlineStr">
        <is>
          <t>L09</t>
        </is>
      </c>
      <c r="D247" s="10" t="inlineStr">
        <is>
          <t>AL09G46</t>
        </is>
      </c>
      <c r="E247" s="10" t="inlineStr">
        <is>
          <t>F05</t>
        </is>
      </c>
      <c r="F247" s="10" t="inlineStr">
        <is>
          <t>Family</t>
        </is>
      </c>
      <c r="H247" s="16" t="n"/>
      <c r="J247" s="16" t="n"/>
      <c r="L247" s="10" t="inlineStr">
        <is>
          <t>Typology drawing R01</t>
        </is>
      </c>
      <c r="M247" s="10">
        <f>Config!$B$3&amp;"?room="&amp;A247</f>
        <v/>
      </c>
    </row>
    <row r="248" ht="15" customHeight="1" s="11">
      <c r="A248" s="10" t="inlineStr">
        <is>
          <t>A-L09-K01-01</t>
        </is>
      </c>
      <c r="B248" s="10" t="inlineStr">
        <is>
          <t>Tower A</t>
        </is>
      </c>
      <c r="C248" s="10" t="inlineStr">
        <is>
          <t>L09</t>
        </is>
      </c>
      <c r="D248" s="10" t="inlineStr">
        <is>
          <t>AL09G19</t>
        </is>
      </c>
      <c r="E248" s="10" t="inlineStr">
        <is>
          <t>K01</t>
        </is>
      </c>
      <c r="F248" s="10" t="inlineStr">
        <is>
          <t>King</t>
        </is>
      </c>
      <c r="H248" s="16" t="n"/>
      <c r="J248" s="16" t="n"/>
      <c r="L248" s="10" t="inlineStr">
        <is>
          <t>Typology drawing R01</t>
        </is>
      </c>
      <c r="M248" s="10">
        <f>Config!$B$3&amp;"?room="&amp;A248</f>
        <v/>
      </c>
    </row>
    <row r="249" ht="15" customHeight="1" s="11">
      <c r="A249" s="10" t="inlineStr">
        <is>
          <t>A-L09-K01-02</t>
        </is>
      </c>
      <c r="B249" s="10" t="inlineStr">
        <is>
          <t>Tower A</t>
        </is>
      </c>
      <c r="C249" s="10" t="inlineStr">
        <is>
          <t>L09</t>
        </is>
      </c>
      <c r="D249" s="10" t="inlineStr">
        <is>
          <t>AL09G23</t>
        </is>
      </c>
      <c r="E249" s="10" t="inlineStr">
        <is>
          <t>K01</t>
        </is>
      </c>
      <c r="F249" s="10" t="inlineStr">
        <is>
          <t>King</t>
        </is>
      </c>
      <c r="H249" s="16" t="n"/>
      <c r="J249" s="16" t="n"/>
      <c r="L249" s="10" t="inlineStr">
        <is>
          <t>Typology drawing R01</t>
        </is>
      </c>
      <c r="M249" s="10">
        <f>Config!$B$3&amp;"?room="&amp;A249</f>
        <v/>
      </c>
    </row>
    <row r="250" ht="15" customHeight="1" s="11">
      <c r="A250" s="10" t="inlineStr">
        <is>
          <t>A-L09-K01-03</t>
        </is>
      </c>
      <c r="B250" s="10" t="inlineStr">
        <is>
          <t>Tower A</t>
        </is>
      </c>
      <c r="C250" s="10" t="inlineStr">
        <is>
          <t>L09</t>
        </is>
      </c>
      <c r="D250" s="10" t="inlineStr">
        <is>
          <t>AL09G27</t>
        </is>
      </c>
      <c r="E250" s="10" t="inlineStr">
        <is>
          <t>K01</t>
        </is>
      </c>
      <c r="F250" s="10" t="inlineStr">
        <is>
          <t>King</t>
        </is>
      </c>
      <c r="H250" s="16" t="n"/>
      <c r="J250" s="16" t="n"/>
      <c r="L250" s="10" t="inlineStr">
        <is>
          <t>Typology drawing R01</t>
        </is>
      </c>
      <c r="M250" s="10">
        <f>Config!$B$3&amp;"?room="&amp;A250</f>
        <v/>
      </c>
    </row>
    <row r="251" ht="15" customHeight="1" s="11">
      <c r="A251" s="10" t="inlineStr">
        <is>
          <t>A-L09-K01B-01</t>
        </is>
      </c>
      <c r="B251" s="10" t="inlineStr">
        <is>
          <t>Tower A</t>
        </is>
      </c>
      <c r="C251" s="10" t="inlineStr">
        <is>
          <t>L09</t>
        </is>
      </c>
      <c r="D251" s="10" t="inlineStr">
        <is>
          <t>AL09G26</t>
        </is>
      </c>
      <c r="E251" s="10" t="inlineStr">
        <is>
          <t>K01B</t>
        </is>
      </c>
      <c r="F251" s="10" t="inlineStr">
        <is>
          <t>King</t>
        </is>
      </c>
      <c r="H251" s="16" t="n"/>
      <c r="J251" s="16" t="n"/>
      <c r="L251" s="10" t="inlineStr">
        <is>
          <t>Typology drawing R01</t>
        </is>
      </c>
      <c r="M251" s="10">
        <f>Config!$B$3&amp;"?room="&amp;A251</f>
        <v/>
      </c>
    </row>
    <row r="252" ht="15" customHeight="1" s="11">
      <c r="A252" s="10" t="inlineStr">
        <is>
          <t>A-L09-K01B-02</t>
        </is>
      </c>
      <c r="B252" s="10" t="inlineStr">
        <is>
          <t>Tower A</t>
        </is>
      </c>
      <c r="C252" s="10" t="inlineStr">
        <is>
          <t>L09</t>
        </is>
      </c>
      <c r="D252" s="10" t="inlineStr">
        <is>
          <t>AL09G30</t>
        </is>
      </c>
      <c r="E252" s="10" t="inlineStr">
        <is>
          <t>K01B</t>
        </is>
      </c>
      <c r="F252" s="10" t="inlineStr">
        <is>
          <t>King</t>
        </is>
      </c>
      <c r="H252" s="16" t="n"/>
      <c r="J252" s="16" t="n"/>
      <c r="L252" s="10" t="inlineStr">
        <is>
          <t>Typology drawing R01</t>
        </is>
      </c>
      <c r="M252" s="10">
        <f>Config!$B$3&amp;"?room="&amp;A252</f>
        <v/>
      </c>
    </row>
    <row r="253" ht="15" customHeight="1" s="11">
      <c r="A253" s="10" t="inlineStr">
        <is>
          <t>A-L09-K01C-01</t>
        </is>
      </c>
      <c r="B253" s="10" t="inlineStr">
        <is>
          <t>Tower A</t>
        </is>
      </c>
      <c r="C253" s="10" t="inlineStr">
        <is>
          <t>L09</t>
        </is>
      </c>
      <c r="D253" s="10" t="inlineStr">
        <is>
          <t>AL09G07</t>
        </is>
      </c>
      <c r="E253" s="10" t="inlineStr">
        <is>
          <t>K01C</t>
        </is>
      </c>
      <c r="F253" s="10" t="inlineStr">
        <is>
          <t>King</t>
        </is>
      </c>
      <c r="H253" s="16" t="n"/>
      <c r="J253" s="16" t="n"/>
      <c r="L253" s="10" t="inlineStr">
        <is>
          <t>Typology drawing R01</t>
        </is>
      </c>
      <c r="M253" s="10">
        <f>Config!$B$3&amp;"?room="&amp;A253</f>
        <v/>
      </c>
    </row>
    <row r="254" ht="15" customHeight="1" s="11">
      <c r="A254" s="10" t="inlineStr">
        <is>
          <t>A-L09-K01C-02</t>
        </is>
      </c>
      <c r="B254" s="10" t="inlineStr">
        <is>
          <t>Tower A</t>
        </is>
      </c>
      <c r="C254" s="10" t="inlineStr">
        <is>
          <t>L09</t>
        </is>
      </c>
      <c r="D254" s="10" t="inlineStr">
        <is>
          <t>AL09G31</t>
        </is>
      </c>
      <c r="E254" s="10" t="inlineStr">
        <is>
          <t>K01C</t>
        </is>
      </c>
      <c r="F254" s="10" t="inlineStr">
        <is>
          <t>King</t>
        </is>
      </c>
      <c r="H254" s="16" t="n"/>
      <c r="J254" s="16" t="n"/>
      <c r="L254" s="10" t="inlineStr">
        <is>
          <t>Typology drawing R01</t>
        </is>
      </c>
      <c r="M254" s="10">
        <f>Config!$B$3&amp;"?room="&amp;A254</f>
        <v/>
      </c>
    </row>
    <row r="255" ht="15" customHeight="1" s="11">
      <c r="A255" s="10" t="inlineStr">
        <is>
          <t>A-L09-K01C-03</t>
        </is>
      </c>
      <c r="B255" s="10" t="inlineStr">
        <is>
          <t>Tower A</t>
        </is>
      </c>
      <c r="C255" s="10" t="inlineStr">
        <is>
          <t>L09</t>
        </is>
      </c>
      <c r="D255" s="10" t="inlineStr">
        <is>
          <t>AL09G35</t>
        </is>
      </c>
      <c r="E255" s="10" t="inlineStr">
        <is>
          <t>K01C</t>
        </is>
      </c>
      <c r="F255" s="10" t="inlineStr">
        <is>
          <t>King</t>
        </is>
      </c>
      <c r="H255" s="16" t="n"/>
      <c r="J255" s="16" t="n"/>
      <c r="L255" s="10" t="inlineStr">
        <is>
          <t>Typology drawing R01</t>
        </is>
      </c>
      <c r="M255" s="10">
        <f>Config!$B$3&amp;"?room="&amp;A255</f>
        <v/>
      </c>
    </row>
    <row r="256" ht="15" customHeight="1" s="11">
      <c r="A256" s="10" t="inlineStr">
        <is>
          <t>A-L09-K01D</t>
        </is>
      </c>
      <c r="B256" s="10" t="inlineStr">
        <is>
          <t>Tower A</t>
        </is>
      </c>
      <c r="C256" s="10" t="inlineStr">
        <is>
          <t>L09</t>
        </is>
      </c>
      <c r="D256" s="10" t="inlineStr">
        <is>
          <t>AL09G39</t>
        </is>
      </c>
      <c r="E256" s="10" t="inlineStr">
        <is>
          <t>K01D</t>
        </is>
      </c>
      <c r="F256" s="10" t="inlineStr">
        <is>
          <t>King</t>
        </is>
      </c>
      <c r="H256" s="16" t="n"/>
      <c r="J256" s="16" t="n"/>
      <c r="L256" s="10" t="inlineStr">
        <is>
          <t>Typology drawing R01</t>
        </is>
      </c>
      <c r="M256" s="10">
        <f>Config!$B$3&amp;"?room="&amp;A256</f>
        <v/>
      </c>
    </row>
    <row r="257" ht="15" customHeight="1" s="11">
      <c r="A257" s="10" t="inlineStr">
        <is>
          <t>A-L09-K02-01</t>
        </is>
      </c>
      <c r="B257" s="10" t="inlineStr">
        <is>
          <t>Tower A</t>
        </is>
      </c>
      <c r="C257" s="10" t="inlineStr">
        <is>
          <t>L09</t>
        </is>
      </c>
      <c r="D257" s="10" t="inlineStr">
        <is>
          <t>AL09G25</t>
        </is>
      </c>
      <c r="E257" s="10" t="inlineStr">
        <is>
          <t>K02</t>
        </is>
      </c>
      <c r="F257" s="10" t="inlineStr">
        <is>
          <t>King</t>
        </is>
      </c>
      <c r="H257" s="16" t="n"/>
      <c r="J257" s="16" t="n"/>
      <c r="L257" s="10" t="inlineStr">
        <is>
          <t>Typology drawing R01</t>
        </is>
      </c>
      <c r="M257" s="10">
        <f>Config!$B$3&amp;"?room="&amp;A257</f>
        <v/>
      </c>
    </row>
    <row r="258" ht="15" customHeight="1" s="11">
      <c r="A258" s="10" t="inlineStr">
        <is>
          <t>A-L09-K02-02</t>
        </is>
      </c>
      <c r="B258" s="10" t="inlineStr">
        <is>
          <t>Tower A</t>
        </is>
      </c>
      <c r="C258" s="10" t="inlineStr">
        <is>
          <t>L09</t>
        </is>
      </c>
      <c r="D258" s="10" t="inlineStr">
        <is>
          <t>AL09G29</t>
        </is>
      </c>
      <c r="E258" s="10" t="inlineStr">
        <is>
          <t>K02</t>
        </is>
      </c>
      <c r="F258" s="10" t="inlineStr">
        <is>
          <t>King</t>
        </is>
      </c>
      <c r="H258" s="16" t="n"/>
      <c r="J258" s="16" t="n"/>
      <c r="L258" s="10" t="inlineStr">
        <is>
          <t>Typology drawing R01</t>
        </is>
      </c>
      <c r="M258" s="10">
        <f>Config!$B$3&amp;"?room="&amp;A258</f>
        <v/>
      </c>
    </row>
    <row r="259" ht="15" customHeight="1" s="11">
      <c r="A259" s="10" t="inlineStr">
        <is>
          <t>A-L09-K02B-01</t>
        </is>
      </c>
      <c r="B259" s="10" t="inlineStr">
        <is>
          <t>Tower A</t>
        </is>
      </c>
      <c r="C259" s="10" t="inlineStr">
        <is>
          <t>L09</t>
        </is>
      </c>
      <c r="D259" s="10" t="inlineStr">
        <is>
          <t>AL09G24</t>
        </is>
      </c>
      <c r="E259" s="10" t="inlineStr">
        <is>
          <t>K02B</t>
        </is>
      </c>
      <c r="F259" s="10" t="inlineStr">
        <is>
          <t>King</t>
        </is>
      </c>
      <c r="H259" s="16" t="n"/>
      <c r="J259" s="16" t="n"/>
      <c r="L259" s="10" t="inlineStr">
        <is>
          <t>Typology drawing R01</t>
        </is>
      </c>
      <c r="M259" s="10">
        <f>Config!$B$3&amp;"?room="&amp;A259</f>
        <v/>
      </c>
    </row>
    <row r="260" ht="15" customHeight="1" s="11">
      <c r="A260" s="10" t="inlineStr">
        <is>
          <t>A-L09-K02B-02</t>
        </is>
      </c>
      <c r="B260" s="10" t="inlineStr">
        <is>
          <t>Tower A</t>
        </is>
      </c>
      <c r="C260" s="10" t="inlineStr">
        <is>
          <t>L09</t>
        </is>
      </c>
      <c r="D260" s="10" t="inlineStr">
        <is>
          <t>AL09G28</t>
        </is>
      </c>
      <c r="E260" s="10" t="inlineStr">
        <is>
          <t>K02B</t>
        </is>
      </c>
      <c r="F260" s="10" t="inlineStr">
        <is>
          <t>King</t>
        </is>
      </c>
      <c r="H260" s="16" t="n"/>
      <c r="J260" s="16" t="n"/>
      <c r="L260" s="10" t="inlineStr">
        <is>
          <t>Typology drawing R01</t>
        </is>
      </c>
      <c r="M260" s="10">
        <f>Config!$B$3&amp;"?room="&amp;A260</f>
        <v/>
      </c>
    </row>
    <row r="261" ht="15" customHeight="1" s="11">
      <c r="A261" s="10" t="inlineStr">
        <is>
          <t>A-L09-K02B-03</t>
        </is>
      </c>
      <c r="B261" s="10" t="inlineStr">
        <is>
          <t>Tower A</t>
        </is>
      </c>
      <c r="C261" s="10" t="inlineStr">
        <is>
          <t>L09</t>
        </is>
      </c>
      <c r="D261" s="10" t="inlineStr">
        <is>
          <t>AL09G36</t>
        </is>
      </c>
      <c r="E261" s="10" t="inlineStr">
        <is>
          <t>K02B</t>
        </is>
      </c>
      <c r="F261" s="10" t="inlineStr">
        <is>
          <t>King</t>
        </is>
      </c>
      <c r="H261" s="16" t="n"/>
      <c r="J261" s="16" t="n"/>
      <c r="L261" s="10" t="inlineStr">
        <is>
          <t>Typology drawing R01</t>
        </is>
      </c>
      <c r="M261" s="10">
        <f>Config!$B$3&amp;"?room="&amp;A261</f>
        <v/>
      </c>
    </row>
    <row r="262" ht="15" customHeight="1" s="11">
      <c r="A262" s="10" t="inlineStr">
        <is>
          <t>A-L09-K02C1</t>
        </is>
      </c>
      <c r="B262" s="10" t="inlineStr">
        <is>
          <t>Tower A</t>
        </is>
      </c>
      <c r="C262" s="10" t="inlineStr">
        <is>
          <t>L09</t>
        </is>
      </c>
      <c r="D262" s="10" t="inlineStr">
        <is>
          <t>AL09G08</t>
        </is>
      </c>
      <c r="E262" s="10" t="inlineStr">
        <is>
          <t>K02C1</t>
        </is>
      </c>
      <c r="F262" s="10" t="inlineStr">
        <is>
          <t>King</t>
        </is>
      </c>
      <c r="H262" s="16" t="n"/>
      <c r="J262" s="16" t="n"/>
      <c r="L262" s="10" t="inlineStr">
        <is>
          <t>Typology drawing R01</t>
        </is>
      </c>
      <c r="M262" s="10">
        <f>Config!$B$3&amp;"?room="&amp;A262</f>
        <v/>
      </c>
    </row>
    <row r="263" ht="15" customHeight="1" s="11">
      <c r="A263" s="10" t="inlineStr">
        <is>
          <t>A-L09-K02C2-01</t>
        </is>
      </c>
      <c r="B263" s="10" t="inlineStr">
        <is>
          <t>Tower A</t>
        </is>
      </c>
      <c r="C263" s="10" t="inlineStr">
        <is>
          <t>L09</t>
        </is>
      </c>
      <c r="D263" s="10" t="inlineStr">
        <is>
          <t>AL09G20</t>
        </is>
      </c>
      <c r="E263" s="10" t="inlineStr">
        <is>
          <t>K02C2</t>
        </is>
      </c>
      <c r="F263" s="10" t="inlineStr">
        <is>
          <t>King</t>
        </is>
      </c>
      <c r="H263" s="16" t="n"/>
      <c r="J263" s="16" t="n"/>
      <c r="L263" s="10" t="inlineStr">
        <is>
          <t>Typology drawing R01</t>
        </is>
      </c>
      <c r="M263" s="10">
        <f>Config!$B$3&amp;"?room="&amp;A263</f>
        <v/>
      </c>
    </row>
    <row r="264" ht="15" customHeight="1" s="11">
      <c r="A264" s="10" t="inlineStr">
        <is>
          <t>A-L09-K02C2-02</t>
        </is>
      </c>
      <c r="B264" s="10" t="inlineStr">
        <is>
          <t>Tower A</t>
        </is>
      </c>
      <c r="C264" s="10" t="inlineStr">
        <is>
          <t>L09</t>
        </is>
      </c>
      <c r="D264" s="10" t="inlineStr">
        <is>
          <t>AL09G32</t>
        </is>
      </c>
      <c r="E264" s="10" t="inlineStr">
        <is>
          <t>K02C2</t>
        </is>
      </c>
      <c r="F264" s="10" t="inlineStr">
        <is>
          <t>King</t>
        </is>
      </c>
      <c r="H264" s="16" t="n"/>
      <c r="J264" s="16" t="n"/>
      <c r="L264" s="10" t="inlineStr">
        <is>
          <t>Typology drawing R01</t>
        </is>
      </c>
      <c r="M264" s="10">
        <f>Config!$B$3&amp;"?room="&amp;A264</f>
        <v/>
      </c>
    </row>
    <row r="265" ht="15" customHeight="1" s="11">
      <c r="A265" s="10" t="inlineStr">
        <is>
          <t>A-L09-K02D1</t>
        </is>
      </c>
      <c r="B265" s="10" t="inlineStr">
        <is>
          <t>Tower A</t>
        </is>
      </c>
      <c r="C265" s="10" t="inlineStr">
        <is>
          <t>L09</t>
        </is>
      </c>
      <c r="D265" s="10" t="inlineStr">
        <is>
          <t>AL09G12</t>
        </is>
      </c>
      <c r="E265" s="10" t="inlineStr">
        <is>
          <t>K02D1</t>
        </is>
      </c>
      <c r="F265" s="10" t="inlineStr">
        <is>
          <t>King</t>
        </is>
      </c>
      <c r="H265" s="16" t="n"/>
      <c r="J265" s="16" t="n"/>
      <c r="L265" s="10" t="inlineStr">
        <is>
          <t>Typology drawing R01</t>
        </is>
      </c>
      <c r="M265" s="10">
        <f>Config!$B$3&amp;"?room="&amp;A265</f>
        <v/>
      </c>
    </row>
    <row r="266" ht="15" customHeight="1" s="11">
      <c r="A266" s="10" t="inlineStr">
        <is>
          <t>A-L09-Q01</t>
        </is>
      </c>
      <c r="B266" s="10" t="inlineStr">
        <is>
          <t>Tower A</t>
        </is>
      </c>
      <c r="C266" s="10" t="inlineStr">
        <is>
          <t>L09</t>
        </is>
      </c>
      <c r="D266" s="10" t="inlineStr">
        <is>
          <t>AL09G21</t>
        </is>
      </c>
      <c r="E266" s="10" t="inlineStr">
        <is>
          <t>Q01</t>
        </is>
      </c>
      <c r="F266" s="10" t="inlineStr">
        <is>
          <t>Queen</t>
        </is>
      </c>
      <c r="H266" s="16" t="n"/>
      <c r="J266" s="16" t="n"/>
      <c r="L266" s="10" t="inlineStr">
        <is>
          <t>Typology drawing R01</t>
        </is>
      </c>
      <c r="M266" s="10">
        <f>Config!$B$3&amp;"?room="&amp;A266</f>
        <v/>
      </c>
    </row>
    <row r="267" ht="15" customHeight="1" s="11">
      <c r="A267" s="10" t="inlineStr">
        <is>
          <t>A-L09-Q01C-01</t>
        </is>
      </c>
      <c r="B267" s="10" t="inlineStr">
        <is>
          <t>Tower A</t>
        </is>
      </c>
      <c r="C267" s="10" t="inlineStr">
        <is>
          <t>L09</t>
        </is>
      </c>
      <c r="D267" s="10" t="inlineStr">
        <is>
          <t>AL09G05</t>
        </is>
      </c>
      <c r="E267" s="10" t="inlineStr">
        <is>
          <t>Q01C</t>
        </is>
      </c>
      <c r="F267" s="10" t="inlineStr">
        <is>
          <t>Queen</t>
        </is>
      </c>
      <c r="H267" s="16" t="n"/>
      <c r="J267" s="16" t="n"/>
      <c r="L267" s="10" t="inlineStr">
        <is>
          <t>Typology drawing R01</t>
        </is>
      </c>
      <c r="M267" s="10">
        <f>Config!$B$3&amp;"?room="&amp;A267</f>
        <v/>
      </c>
    </row>
    <row r="268" ht="15" customHeight="1" s="11">
      <c r="A268" s="10" t="inlineStr">
        <is>
          <t>A-L09-Q01C-02</t>
        </is>
      </c>
      <c r="B268" s="10" t="inlineStr">
        <is>
          <t>Tower A</t>
        </is>
      </c>
      <c r="C268" s="10" t="inlineStr">
        <is>
          <t>L09</t>
        </is>
      </c>
      <c r="D268" s="10" t="inlineStr">
        <is>
          <t>AL09G09</t>
        </is>
      </c>
      <c r="E268" s="10" t="inlineStr">
        <is>
          <t>Q01C</t>
        </is>
      </c>
      <c r="F268" s="10" t="inlineStr">
        <is>
          <t>Queen</t>
        </is>
      </c>
      <c r="H268" s="16" t="n"/>
      <c r="J268" s="16" t="n"/>
      <c r="L268" s="10" t="inlineStr">
        <is>
          <t>Typology drawing R01</t>
        </is>
      </c>
      <c r="M268" s="10">
        <f>Config!$B$3&amp;"?room="&amp;A268</f>
        <v/>
      </c>
    </row>
    <row r="269" ht="15" customHeight="1" s="11">
      <c r="A269" s="10" t="inlineStr">
        <is>
          <t>A-L09-Q01C-03</t>
        </is>
      </c>
      <c r="B269" s="10" t="inlineStr">
        <is>
          <t>Tower A</t>
        </is>
      </c>
      <c r="C269" s="10" t="inlineStr">
        <is>
          <t>L09</t>
        </is>
      </c>
      <c r="D269" s="10" t="inlineStr">
        <is>
          <t>AL09G33</t>
        </is>
      </c>
      <c r="E269" s="10" t="inlineStr">
        <is>
          <t>Q01C</t>
        </is>
      </c>
      <c r="F269" s="10" t="inlineStr">
        <is>
          <t>Queen</t>
        </is>
      </c>
      <c r="H269" s="16" t="n"/>
      <c r="J269" s="16" t="n"/>
      <c r="L269" s="10" t="inlineStr">
        <is>
          <t>Typology drawing R01</t>
        </is>
      </c>
      <c r="M269" s="10">
        <f>Config!$B$3&amp;"?room="&amp;A269</f>
        <v/>
      </c>
    </row>
    <row r="270" ht="15" customHeight="1" s="11">
      <c r="A270" s="10" t="inlineStr">
        <is>
          <t>A-L09-Q01C-04</t>
        </is>
      </c>
      <c r="B270" s="10" t="inlineStr">
        <is>
          <t>Tower A</t>
        </is>
      </c>
      <c r="C270" s="10" t="inlineStr">
        <is>
          <t>L09</t>
        </is>
      </c>
      <c r="D270" s="10" t="inlineStr">
        <is>
          <t>AL09G37</t>
        </is>
      </c>
      <c r="E270" s="10" t="inlineStr">
        <is>
          <t>Q01C</t>
        </is>
      </c>
      <c r="F270" s="10" t="inlineStr">
        <is>
          <t>Queen</t>
        </is>
      </c>
      <c r="H270" s="16" t="n"/>
      <c r="J270" s="16" t="n"/>
      <c r="L270" s="10" t="inlineStr">
        <is>
          <t>Typology drawing R01</t>
        </is>
      </c>
      <c r="M270" s="10">
        <f>Config!$B$3&amp;"?room="&amp;A270</f>
        <v/>
      </c>
    </row>
    <row r="271" ht="15" customHeight="1" s="11">
      <c r="A271" s="10" t="inlineStr">
        <is>
          <t>A-L09-Q01C1</t>
        </is>
      </c>
      <c r="B271" s="10" t="inlineStr">
        <is>
          <t>Tower A</t>
        </is>
      </c>
      <c r="C271" s="10" t="inlineStr">
        <is>
          <t>L09</t>
        </is>
      </c>
      <c r="D271" s="10" t="inlineStr">
        <is>
          <t>AL09G14</t>
        </is>
      </c>
      <c r="E271" s="10" t="inlineStr">
        <is>
          <t>Q01C1</t>
        </is>
      </c>
      <c r="F271" s="10" t="inlineStr">
        <is>
          <t>Queen</t>
        </is>
      </c>
      <c r="H271" s="16" t="n"/>
      <c r="J271" s="16" t="n"/>
      <c r="L271" s="10" t="inlineStr">
        <is>
          <t>Typology drawing R01</t>
        </is>
      </c>
      <c r="M271" s="10">
        <f>Config!$B$3&amp;"?room="&amp;A271</f>
        <v/>
      </c>
    </row>
    <row r="272" ht="15" customHeight="1" s="11">
      <c r="A272" s="10" t="inlineStr">
        <is>
          <t>A-L09-Q02C1-01</t>
        </is>
      </c>
      <c r="B272" s="10" t="inlineStr">
        <is>
          <t>Tower A</t>
        </is>
      </c>
      <c r="C272" s="10" t="inlineStr">
        <is>
          <t>L09</t>
        </is>
      </c>
      <c r="D272" s="10" t="inlineStr">
        <is>
          <t>AL09G06</t>
        </is>
      </c>
      <c r="E272" s="10" t="inlineStr">
        <is>
          <t>Q02C1</t>
        </is>
      </c>
      <c r="F272" s="10" t="inlineStr">
        <is>
          <t>Queen</t>
        </is>
      </c>
      <c r="H272" s="16" t="n"/>
      <c r="J272" s="16" t="n"/>
      <c r="L272" s="10" t="inlineStr">
        <is>
          <t>Typology drawing R01</t>
        </is>
      </c>
      <c r="M272" s="10">
        <f>Config!$B$3&amp;"?room="&amp;A272</f>
        <v/>
      </c>
    </row>
    <row r="273" ht="15" customHeight="1" s="11">
      <c r="A273" s="10" t="inlineStr">
        <is>
          <t>A-L09-Q02C1-02</t>
        </is>
      </c>
      <c r="B273" s="10" t="inlineStr">
        <is>
          <t>Tower A</t>
        </is>
      </c>
      <c r="C273" s="10" t="inlineStr">
        <is>
          <t>L09</t>
        </is>
      </c>
      <c r="D273" s="10" t="inlineStr">
        <is>
          <t>AL09G10</t>
        </is>
      </c>
      <c r="E273" s="10" t="inlineStr">
        <is>
          <t>Q02C1</t>
        </is>
      </c>
      <c r="F273" s="10" t="inlineStr">
        <is>
          <t>Queen</t>
        </is>
      </c>
      <c r="H273" s="16" t="n"/>
      <c r="J273" s="16" t="n"/>
      <c r="L273" s="10" t="inlineStr">
        <is>
          <t>Typology drawing R01</t>
        </is>
      </c>
      <c r="M273" s="10">
        <f>Config!$B$3&amp;"?room="&amp;A273</f>
        <v/>
      </c>
    </row>
    <row r="274" ht="15" customHeight="1" s="11">
      <c r="A274" s="10" t="inlineStr">
        <is>
          <t>A-L09-Q02C2-01</t>
        </is>
      </c>
      <c r="B274" s="10" t="inlineStr">
        <is>
          <t>Tower A</t>
        </is>
      </c>
      <c r="C274" s="10" t="inlineStr">
        <is>
          <t>L09</t>
        </is>
      </c>
      <c r="D274" s="10" t="inlineStr">
        <is>
          <t>AL09G22</t>
        </is>
      </c>
      <c r="E274" s="10" t="inlineStr">
        <is>
          <t>Q02C2</t>
        </is>
      </c>
      <c r="F274" s="10" t="inlineStr">
        <is>
          <t>Queen</t>
        </is>
      </c>
      <c r="H274" s="16" t="n"/>
      <c r="J274" s="16" t="n"/>
      <c r="L274" s="10" t="inlineStr">
        <is>
          <t>Typology drawing R01</t>
        </is>
      </c>
      <c r="M274" s="10">
        <f>Config!$B$3&amp;"?room="&amp;A274</f>
        <v/>
      </c>
    </row>
    <row r="275" ht="15" customHeight="1" s="11">
      <c r="A275" s="10" t="inlineStr">
        <is>
          <t>A-L09-Q02C2-02</t>
        </is>
      </c>
      <c r="B275" s="10" t="inlineStr">
        <is>
          <t>Tower A</t>
        </is>
      </c>
      <c r="C275" s="10" t="inlineStr">
        <is>
          <t>L09</t>
        </is>
      </c>
      <c r="D275" s="10" t="inlineStr">
        <is>
          <t>AL09G34</t>
        </is>
      </c>
      <c r="E275" s="10" t="inlineStr">
        <is>
          <t>Q02C2</t>
        </is>
      </c>
      <c r="F275" s="10" t="inlineStr">
        <is>
          <t>Queen</t>
        </is>
      </c>
      <c r="H275" s="16" t="n"/>
      <c r="J275" s="16" t="n"/>
      <c r="L275" s="10" t="inlineStr">
        <is>
          <t>Typology drawing R01</t>
        </is>
      </c>
      <c r="M275" s="10">
        <f>Config!$B$3&amp;"?room="&amp;A275</f>
        <v/>
      </c>
    </row>
    <row r="276" ht="15" customHeight="1" s="11">
      <c r="A276" s="10" t="inlineStr">
        <is>
          <t>A-L09-Q02E</t>
        </is>
      </c>
      <c r="B276" s="10" t="inlineStr">
        <is>
          <t>Tower A</t>
        </is>
      </c>
      <c r="C276" s="10" t="inlineStr">
        <is>
          <t>L09</t>
        </is>
      </c>
      <c r="D276" s="10" t="inlineStr">
        <is>
          <t>AL09G41</t>
        </is>
      </c>
      <c r="E276" s="10" t="inlineStr">
        <is>
          <t>Q02E</t>
        </is>
      </c>
      <c r="F276" s="10" t="inlineStr">
        <is>
          <t>Queen</t>
        </is>
      </c>
      <c r="H276" s="16" t="n"/>
      <c r="J276" s="16" t="n"/>
      <c r="L276" s="10" t="inlineStr">
        <is>
          <t>Typology drawing R01</t>
        </is>
      </c>
      <c r="M276" s="10">
        <f>Config!$B$3&amp;"?room="&amp;A276</f>
        <v/>
      </c>
    </row>
    <row r="277" ht="15" customHeight="1" s="11">
      <c r="A277" s="10" t="inlineStr">
        <is>
          <t>A-L09-S05</t>
        </is>
      </c>
      <c r="B277" s="10" t="inlineStr">
        <is>
          <t>Tower A</t>
        </is>
      </c>
      <c r="C277" s="10" t="inlineStr">
        <is>
          <t>L09</t>
        </is>
      </c>
      <c r="D277" s="10" t="inlineStr">
        <is>
          <t>AL09G16</t>
        </is>
      </c>
      <c r="E277" s="10" t="inlineStr">
        <is>
          <t>S05</t>
        </is>
      </c>
      <c r="F277" s="10" t="inlineStr">
        <is>
          <t>Suite</t>
        </is>
      </c>
      <c r="H277" s="16" t="n"/>
      <c r="J277" s="16" t="n"/>
      <c r="L277" s="10" t="inlineStr">
        <is>
          <t>Typology drawing R01</t>
        </is>
      </c>
      <c r="M277" s="10">
        <f>Config!$B$3&amp;"?room="&amp;A277</f>
        <v/>
      </c>
    </row>
    <row r="278" ht="15" customHeight="1" s="11">
      <c r="A278" s="10" t="inlineStr">
        <is>
          <t>A-L09-S06</t>
        </is>
      </c>
      <c r="B278" s="10" t="inlineStr">
        <is>
          <t>Tower A</t>
        </is>
      </c>
      <c r="C278" s="10" t="inlineStr">
        <is>
          <t>L09</t>
        </is>
      </c>
      <c r="D278" s="10" t="inlineStr">
        <is>
          <t>AL09G43</t>
        </is>
      </c>
      <c r="E278" s="10" t="inlineStr">
        <is>
          <t>S06</t>
        </is>
      </c>
      <c r="F278" s="10" t="inlineStr">
        <is>
          <t>Suite</t>
        </is>
      </c>
      <c r="H278" s="16" t="n"/>
      <c r="J278" s="16" t="n"/>
      <c r="L278" s="10" t="inlineStr">
        <is>
          <t>Typology drawing R01</t>
        </is>
      </c>
      <c r="M278" s="10">
        <f>Config!$B$3&amp;"?room="&amp;A278</f>
        <v/>
      </c>
    </row>
    <row r="279" ht="15" customHeight="1" s="11">
      <c r="A279" s="10" t="inlineStr">
        <is>
          <t>A-L09-S08</t>
        </is>
      </c>
      <c r="B279" s="10" t="inlineStr">
        <is>
          <t>Tower A</t>
        </is>
      </c>
      <c r="C279" s="10" t="inlineStr">
        <is>
          <t>L09</t>
        </is>
      </c>
      <c r="D279" s="10" t="inlineStr">
        <is>
          <t>AL09G03</t>
        </is>
      </c>
      <c r="E279" s="10" t="inlineStr">
        <is>
          <t>S08</t>
        </is>
      </c>
      <c r="F279" s="10" t="inlineStr">
        <is>
          <t>Suite</t>
        </is>
      </c>
      <c r="H279" s="16" t="n"/>
      <c r="J279" s="16" t="n"/>
      <c r="L279" s="10" t="inlineStr">
        <is>
          <t>Typology drawing R01</t>
        </is>
      </c>
      <c r="M279" s="10">
        <f>Config!$B$3&amp;"?room="&amp;A279</f>
        <v/>
      </c>
    </row>
    <row r="280" ht="15" customHeight="1" s="11">
      <c r="A280" s="10" t="inlineStr">
        <is>
          <t>A-L09-S08A</t>
        </is>
      </c>
      <c r="B280" s="10" t="inlineStr">
        <is>
          <t>Tower A</t>
        </is>
      </c>
      <c r="C280" s="10" t="inlineStr">
        <is>
          <t>L09</t>
        </is>
      </c>
      <c r="D280" s="10" t="inlineStr">
        <is>
          <t>AL09G04</t>
        </is>
      </c>
      <c r="E280" s="10" t="inlineStr">
        <is>
          <t>S08A</t>
        </is>
      </c>
      <c r="F280" s="10" t="inlineStr">
        <is>
          <t>Suite</t>
        </is>
      </c>
      <c r="H280" s="16" t="n"/>
      <c r="J280" s="16" t="n"/>
      <c r="L280" s="10" t="inlineStr">
        <is>
          <t>Typology drawing R01</t>
        </is>
      </c>
      <c r="M280" s="10">
        <f>Config!$B$3&amp;"?room="&amp;A280</f>
        <v/>
      </c>
    </row>
    <row r="281" ht="15" customHeight="1" s="11">
      <c r="A281" s="10" t="inlineStr">
        <is>
          <t>B-L01-F01</t>
        </is>
      </c>
      <c r="B281" s="10" t="inlineStr">
        <is>
          <t>Tower B</t>
        </is>
      </c>
      <c r="C281" s="10" t="inlineStr">
        <is>
          <t>L01</t>
        </is>
      </c>
      <c r="D281" s="10" t="inlineStr">
        <is>
          <t>BL01G63</t>
        </is>
      </c>
      <c r="E281" s="10" t="inlineStr">
        <is>
          <t>F01</t>
        </is>
      </c>
      <c r="F281" s="10" t="inlineStr">
        <is>
          <t>Family</t>
        </is>
      </c>
      <c r="H281" s="16" t="n"/>
      <c r="J281" s="16" t="n"/>
      <c r="L281" s="10" t="inlineStr">
        <is>
          <t>Typology drawing R01</t>
        </is>
      </c>
      <c r="M281" s="10">
        <f>Config!$B$3&amp;"?room="&amp;A281</f>
        <v/>
      </c>
    </row>
    <row r="282" ht="15" customHeight="1" s="11">
      <c r="A282" s="10" t="inlineStr">
        <is>
          <t>B-L01-F02</t>
        </is>
      </c>
      <c r="B282" s="10" t="inlineStr">
        <is>
          <t>Tower B</t>
        </is>
      </c>
      <c r="C282" s="10" t="inlineStr">
        <is>
          <t>L01</t>
        </is>
      </c>
      <c r="D282" s="10" t="inlineStr">
        <is>
          <t>BL01G90</t>
        </is>
      </c>
      <c r="E282" s="10" t="inlineStr">
        <is>
          <t>F02</t>
        </is>
      </c>
      <c r="F282" s="10" t="inlineStr">
        <is>
          <t>Family</t>
        </is>
      </c>
      <c r="H282" s="16" t="n"/>
      <c r="J282" s="16" t="n"/>
      <c r="L282" s="10" t="inlineStr">
        <is>
          <t>Typology drawing R01</t>
        </is>
      </c>
      <c r="M282" s="10">
        <f>Config!$B$3&amp;"?room="&amp;A282</f>
        <v/>
      </c>
    </row>
    <row r="283" ht="15" customHeight="1" s="11">
      <c r="A283" s="10" t="inlineStr">
        <is>
          <t>B-L01-K01A-01</t>
        </is>
      </c>
      <c r="B283" s="10" t="inlineStr">
        <is>
          <t>Tower B</t>
        </is>
      </c>
      <c r="C283" s="10" t="inlineStr">
        <is>
          <t>L01</t>
        </is>
      </c>
      <c r="D283" s="10" t="inlineStr">
        <is>
          <t>BL01G58</t>
        </is>
      </c>
      <c r="E283" s="10" t="inlineStr">
        <is>
          <t>K01A</t>
        </is>
      </c>
      <c r="F283" s="10" t="inlineStr">
        <is>
          <t>King</t>
        </is>
      </c>
      <c r="H283" s="16" t="n"/>
      <c r="J283" s="16" t="n"/>
      <c r="L283" s="10" t="inlineStr">
        <is>
          <t>Typology drawing R01</t>
        </is>
      </c>
      <c r="M283" s="10">
        <f>Config!$B$3&amp;"?room="&amp;A283</f>
        <v/>
      </c>
    </row>
    <row r="284" ht="15" customHeight="1" s="11">
      <c r="A284" s="10" t="inlineStr">
        <is>
          <t>B-L01-K01A-02</t>
        </is>
      </c>
      <c r="B284" s="10" t="inlineStr">
        <is>
          <t>Tower B</t>
        </is>
      </c>
      <c r="C284" s="10" t="inlineStr">
        <is>
          <t>L01</t>
        </is>
      </c>
      <c r="D284" s="10" t="inlineStr">
        <is>
          <t>BL01G84</t>
        </is>
      </c>
      <c r="E284" s="10" t="inlineStr">
        <is>
          <t>K01A</t>
        </is>
      </c>
      <c r="F284" s="10" t="inlineStr">
        <is>
          <t>King</t>
        </is>
      </c>
      <c r="H284" s="16" t="n"/>
      <c r="J284" s="16" t="n"/>
      <c r="L284" s="10" t="inlineStr">
        <is>
          <t>Typology drawing R01</t>
        </is>
      </c>
      <c r="M284" s="10">
        <f>Config!$B$3&amp;"?room="&amp;A284</f>
        <v/>
      </c>
    </row>
    <row r="285" ht="15" customHeight="1" s="11">
      <c r="A285" s="10" t="inlineStr">
        <is>
          <t>B-L01-K01C1-01</t>
        </is>
      </c>
      <c r="B285" s="10" t="inlineStr">
        <is>
          <t>Tower B</t>
        </is>
      </c>
      <c r="C285" s="10" t="inlineStr">
        <is>
          <t>L01</t>
        </is>
      </c>
      <c r="D285" s="10" t="inlineStr">
        <is>
          <t>BL01G72</t>
        </is>
      </c>
      <c r="E285" s="10" t="inlineStr">
        <is>
          <t>K01C1</t>
        </is>
      </c>
      <c r="F285" s="10" t="inlineStr">
        <is>
          <t>King</t>
        </is>
      </c>
      <c r="H285" s="16" t="n"/>
      <c r="J285" s="16" t="n"/>
      <c r="L285" s="10" t="inlineStr">
        <is>
          <t>Typology drawing R01</t>
        </is>
      </c>
      <c r="M285" s="10">
        <f>Config!$B$3&amp;"?room="&amp;A285</f>
        <v/>
      </c>
    </row>
    <row r="286" ht="15" customHeight="1" s="11">
      <c r="A286" s="10" t="inlineStr">
        <is>
          <t>B-L01-K01C1-02</t>
        </is>
      </c>
      <c r="B286" s="10" t="inlineStr">
        <is>
          <t>Tower B</t>
        </is>
      </c>
      <c r="C286" s="10" t="inlineStr">
        <is>
          <t>L01</t>
        </is>
      </c>
      <c r="D286" s="10" t="inlineStr">
        <is>
          <t>BL01G76</t>
        </is>
      </c>
      <c r="E286" s="10" t="inlineStr">
        <is>
          <t>K01C1</t>
        </is>
      </c>
      <c r="F286" s="10" t="inlineStr">
        <is>
          <t>King</t>
        </is>
      </c>
      <c r="H286" s="16" t="n"/>
      <c r="J286" s="16" t="n"/>
      <c r="L286" s="10" t="inlineStr">
        <is>
          <t>Typology drawing R01</t>
        </is>
      </c>
      <c r="M286" s="10">
        <f>Config!$B$3&amp;"?room="&amp;A286</f>
        <v/>
      </c>
    </row>
    <row r="287" ht="15" customHeight="1" s="11">
      <c r="A287" s="10" t="inlineStr">
        <is>
          <t>B-L01-K01C1-03</t>
        </is>
      </c>
      <c r="B287" s="10" t="inlineStr">
        <is>
          <t>Tower B</t>
        </is>
      </c>
      <c r="C287" s="10" t="inlineStr">
        <is>
          <t>L01</t>
        </is>
      </c>
      <c r="D287" s="10" t="inlineStr">
        <is>
          <t>BL01G80</t>
        </is>
      </c>
      <c r="E287" s="10" t="inlineStr">
        <is>
          <t>K01C1</t>
        </is>
      </c>
      <c r="F287" s="10" t="inlineStr">
        <is>
          <t>King</t>
        </is>
      </c>
      <c r="H287" s="16" t="n"/>
      <c r="J287" s="16" t="n"/>
      <c r="L287" s="10" t="inlineStr">
        <is>
          <t>Typology drawing R01</t>
        </is>
      </c>
      <c r="M287" s="10">
        <f>Config!$B$3&amp;"?room="&amp;A287</f>
        <v/>
      </c>
    </row>
    <row r="288" ht="15" customHeight="1" s="11">
      <c r="A288" s="10" t="inlineStr">
        <is>
          <t>B-L01-K02A</t>
        </is>
      </c>
      <c r="B288" s="10" t="inlineStr">
        <is>
          <t>Tower B</t>
        </is>
      </c>
      <c r="C288" s="10" t="inlineStr">
        <is>
          <t>L01</t>
        </is>
      </c>
      <c r="D288" s="10" t="inlineStr">
        <is>
          <t>BL01G82</t>
        </is>
      </c>
      <c r="E288" s="10" t="inlineStr">
        <is>
          <t>K02A</t>
        </is>
      </c>
      <c r="F288" s="10" t="inlineStr">
        <is>
          <t>King</t>
        </is>
      </c>
      <c r="H288" s="16" t="n"/>
      <c r="J288" s="16" t="n"/>
      <c r="L288" s="10" t="inlineStr">
        <is>
          <t>Typology drawing R01</t>
        </is>
      </c>
      <c r="M288" s="10">
        <f>Config!$B$3&amp;"?room="&amp;A288</f>
        <v/>
      </c>
    </row>
    <row r="289" ht="15" customHeight="1" s="11">
      <c r="A289" s="10" t="inlineStr">
        <is>
          <t>B-L01-K02C1</t>
        </is>
      </c>
      <c r="B289" s="10" t="inlineStr">
        <is>
          <t>Tower B</t>
        </is>
      </c>
      <c r="C289" s="10" t="inlineStr">
        <is>
          <t>L01</t>
        </is>
      </c>
      <c r="D289" s="10" t="inlineStr">
        <is>
          <t>BL01G74</t>
        </is>
      </c>
      <c r="E289" s="10" t="inlineStr">
        <is>
          <t>K02C1</t>
        </is>
      </c>
      <c r="F289" s="10" t="inlineStr">
        <is>
          <t>King</t>
        </is>
      </c>
      <c r="H289" s="16" t="n"/>
      <c r="J289" s="16" t="n"/>
      <c r="L289" s="10" t="inlineStr">
        <is>
          <t>Typology drawing R01</t>
        </is>
      </c>
      <c r="M289" s="10">
        <f>Config!$B$3&amp;"?room="&amp;A289</f>
        <v/>
      </c>
    </row>
    <row r="290" ht="15" customHeight="1" s="11">
      <c r="A290" s="10" t="inlineStr">
        <is>
          <t>B-L01-K03</t>
        </is>
      </c>
      <c r="B290" s="10" t="inlineStr">
        <is>
          <t>Tower B</t>
        </is>
      </c>
      <c r="C290" s="10" t="inlineStr">
        <is>
          <t>L01</t>
        </is>
      </c>
      <c r="D290" s="10" t="inlineStr">
        <is>
          <t>BL01G89</t>
        </is>
      </c>
      <c r="E290" s="10" t="inlineStr">
        <is>
          <t>K03</t>
        </is>
      </c>
      <c r="F290" s="10" t="inlineStr">
        <is>
          <t>King</t>
        </is>
      </c>
      <c r="H290" s="16" t="n"/>
      <c r="J290" s="16" t="n"/>
      <c r="L290" s="10" t="inlineStr">
        <is>
          <t>Typology drawing R01</t>
        </is>
      </c>
      <c r="M290" s="10">
        <f>Config!$B$3&amp;"?room="&amp;A290</f>
        <v/>
      </c>
    </row>
    <row r="291" ht="15" customHeight="1" s="11">
      <c r="A291" s="10" t="inlineStr">
        <is>
          <t>B-L01-KADA1</t>
        </is>
      </c>
      <c r="B291" s="10" t="inlineStr">
        <is>
          <t>Tower B</t>
        </is>
      </c>
      <c r="C291" s="10" t="inlineStr">
        <is>
          <t>L01</t>
        </is>
      </c>
      <c r="D291" s="10" t="inlineStr">
        <is>
          <t>BL01G60</t>
        </is>
      </c>
      <c r="E291" s="10" t="inlineStr">
        <is>
          <t>KADA1</t>
        </is>
      </c>
      <c r="F291" s="10" t="inlineStr">
        <is>
          <t>King ADA</t>
        </is>
      </c>
      <c r="H291" s="16" t="n"/>
      <c r="J291" s="16" t="n"/>
      <c r="L291" s="10" t="inlineStr">
        <is>
          <t>Typology drawing R01</t>
        </is>
      </c>
      <c r="M291" s="10">
        <f>Config!$B$3&amp;"?room="&amp;A291</f>
        <v/>
      </c>
    </row>
    <row r="292" ht="15" customHeight="1" s="11">
      <c r="A292" s="10" t="inlineStr">
        <is>
          <t>B-L01-PS01-01</t>
        </is>
      </c>
      <c r="B292" s="10" t="inlineStr">
        <is>
          <t>Tower B</t>
        </is>
      </c>
      <c r="C292" s="10" t="inlineStr">
        <is>
          <t>L01</t>
        </is>
      </c>
      <c r="D292" s="10" t="inlineStr">
        <is>
          <t>BL01G59</t>
        </is>
      </c>
      <c r="E292" s="10" t="inlineStr">
        <is>
          <t>PS01</t>
        </is>
      </c>
      <c r="F292" s="10" t="inlineStr">
        <is>
          <t>Premium Suite</t>
        </is>
      </c>
      <c r="H292" s="16" t="n"/>
      <c r="J292" s="16" t="n"/>
      <c r="L292" s="10" t="inlineStr">
        <is>
          <t>Typology drawing R01</t>
        </is>
      </c>
      <c r="M292" s="10">
        <f>Config!$B$3&amp;"?room="&amp;A292</f>
        <v/>
      </c>
    </row>
    <row r="293" ht="15" customHeight="1" s="11">
      <c r="A293" s="10" t="inlineStr">
        <is>
          <t>B-L01-PS01-02</t>
        </is>
      </c>
      <c r="B293" s="10" t="inlineStr">
        <is>
          <t>Tower B</t>
        </is>
      </c>
      <c r="C293" s="10" t="inlineStr">
        <is>
          <t>L01</t>
        </is>
      </c>
      <c r="D293" s="10" t="inlineStr">
        <is>
          <t>BL01G75</t>
        </is>
      </c>
      <c r="E293" s="10" t="inlineStr">
        <is>
          <t>PS01</t>
        </is>
      </c>
      <c r="F293" s="10" t="inlineStr">
        <is>
          <t>Premium Suite</t>
        </is>
      </c>
      <c r="H293" s="16" t="n"/>
      <c r="J293" s="16" t="n"/>
      <c r="L293" s="10" t="inlineStr">
        <is>
          <t>Typology drawing R01</t>
        </is>
      </c>
      <c r="M293" s="10">
        <f>Config!$B$3&amp;"?room="&amp;A293</f>
        <v/>
      </c>
    </row>
    <row r="294" ht="15" customHeight="1" s="11">
      <c r="A294" s="10" t="inlineStr">
        <is>
          <t>B-L01-Q01C</t>
        </is>
      </c>
      <c r="B294" s="10" t="inlineStr">
        <is>
          <t>Tower B</t>
        </is>
      </c>
      <c r="C294" s="10" t="inlineStr">
        <is>
          <t>L01</t>
        </is>
      </c>
      <c r="D294" s="10" t="inlineStr">
        <is>
          <t>BL01G83</t>
        </is>
      </c>
      <c r="E294" s="10" t="inlineStr">
        <is>
          <t>Q01C</t>
        </is>
      </c>
      <c r="F294" s="10" t="inlineStr">
        <is>
          <t>Queen</t>
        </is>
      </c>
      <c r="H294" s="16" t="n"/>
      <c r="J294" s="16" t="n"/>
      <c r="L294" s="10" t="inlineStr">
        <is>
          <t>Typology drawing R01</t>
        </is>
      </c>
      <c r="M294" s="10">
        <f>Config!$B$3&amp;"?room="&amp;A294</f>
        <v/>
      </c>
    </row>
    <row r="295" ht="15" customHeight="1" s="11">
      <c r="A295" s="10" t="inlineStr">
        <is>
          <t>B-L01-Q01C1-01</t>
        </is>
      </c>
      <c r="B295" s="10" t="inlineStr">
        <is>
          <t>Tower B</t>
        </is>
      </c>
      <c r="C295" s="10" t="inlineStr">
        <is>
          <t>L01</t>
        </is>
      </c>
      <c r="D295" s="10" t="inlineStr">
        <is>
          <t>BL01G64</t>
        </is>
      </c>
      <c r="E295" s="10" t="inlineStr">
        <is>
          <t>Q01C1</t>
        </is>
      </c>
      <c r="F295" s="10" t="inlineStr">
        <is>
          <t>Queen</t>
        </is>
      </c>
      <c r="H295" s="16" t="n"/>
      <c r="J295" s="16" t="n"/>
      <c r="L295" s="10" t="inlineStr">
        <is>
          <t>Typology drawing R01</t>
        </is>
      </c>
      <c r="M295" s="10">
        <f>Config!$B$3&amp;"?room="&amp;A295</f>
        <v/>
      </c>
    </row>
    <row r="296" ht="15" customHeight="1" s="11">
      <c r="A296" s="10" t="inlineStr">
        <is>
          <t>B-L01-Q01C1-02</t>
        </is>
      </c>
      <c r="B296" s="10" t="inlineStr">
        <is>
          <t>Tower B</t>
        </is>
      </c>
      <c r="C296" s="10" t="inlineStr">
        <is>
          <t>L01</t>
        </is>
      </c>
      <c r="D296" s="10" t="inlineStr">
        <is>
          <t>BL01G70</t>
        </is>
      </c>
      <c r="E296" s="10" t="inlineStr">
        <is>
          <t>Q01C1</t>
        </is>
      </c>
      <c r="F296" s="10" t="inlineStr">
        <is>
          <t>Queen</t>
        </is>
      </c>
      <c r="H296" s="16" t="n"/>
      <c r="J296" s="16" t="n"/>
      <c r="L296" s="10" t="inlineStr">
        <is>
          <t>Typology drawing R01</t>
        </is>
      </c>
      <c r="M296" s="10">
        <f>Config!$B$3&amp;"?room="&amp;A296</f>
        <v/>
      </c>
    </row>
    <row r="297" ht="15" customHeight="1" s="11">
      <c r="A297" s="10" t="inlineStr">
        <is>
          <t>B-L01-Q01C1-03</t>
        </is>
      </c>
      <c r="B297" s="10" t="inlineStr">
        <is>
          <t>Tower B</t>
        </is>
      </c>
      <c r="C297" s="10" t="inlineStr">
        <is>
          <t>L01</t>
        </is>
      </c>
      <c r="D297" s="10" t="inlineStr">
        <is>
          <t>BL01G78</t>
        </is>
      </c>
      <c r="E297" s="10" t="inlineStr">
        <is>
          <t>Q01C1</t>
        </is>
      </c>
      <c r="F297" s="10" t="inlineStr">
        <is>
          <t>Queen</t>
        </is>
      </c>
      <c r="H297" s="16" t="n"/>
      <c r="J297" s="16" t="n"/>
      <c r="L297" s="10" t="inlineStr">
        <is>
          <t>Typology drawing R01</t>
        </is>
      </c>
      <c r="M297" s="10">
        <f>Config!$B$3&amp;"?room="&amp;A297</f>
        <v/>
      </c>
    </row>
    <row r="298" ht="15" customHeight="1" s="11">
      <c r="A298" s="10" t="inlineStr">
        <is>
          <t>B-L01-Q02C</t>
        </is>
      </c>
      <c r="B298" s="10" t="inlineStr">
        <is>
          <t>Tower B</t>
        </is>
      </c>
      <c r="C298" s="10" t="inlineStr">
        <is>
          <t>L01</t>
        </is>
      </c>
      <c r="D298" s="10" t="inlineStr">
        <is>
          <t>BL01G87</t>
        </is>
      </c>
      <c r="E298" s="10" t="inlineStr">
        <is>
          <t>Q02C</t>
        </is>
      </c>
      <c r="F298" s="10" t="inlineStr">
        <is>
          <t>Queen</t>
        </is>
      </c>
      <c r="H298" s="16" t="n"/>
      <c r="J298" s="16" t="n"/>
      <c r="L298" s="10" t="inlineStr">
        <is>
          <t>Typology drawing R01</t>
        </is>
      </c>
      <c r="M298" s="10">
        <f>Config!$B$3&amp;"?room="&amp;A298</f>
        <v/>
      </c>
    </row>
    <row r="299" ht="15" customHeight="1" s="11">
      <c r="A299" s="10" t="inlineStr">
        <is>
          <t>B-L01-Q02C1</t>
        </is>
      </c>
      <c r="B299" s="10" t="inlineStr">
        <is>
          <t>Tower B</t>
        </is>
      </c>
      <c r="C299" s="10" t="inlineStr">
        <is>
          <t>L01</t>
        </is>
      </c>
      <c r="D299" s="10" t="inlineStr">
        <is>
          <t>BL01G62</t>
        </is>
      </c>
      <c r="E299" s="10" t="inlineStr">
        <is>
          <t>Q02C1</t>
        </is>
      </c>
      <c r="F299" s="10" t="inlineStr">
        <is>
          <t>Queen</t>
        </is>
      </c>
      <c r="H299" s="16" t="n"/>
      <c r="J299" s="16" t="n"/>
      <c r="L299" s="10" t="inlineStr">
        <is>
          <t>Typology drawing R01</t>
        </is>
      </c>
      <c r="M299" s="10">
        <f>Config!$B$3&amp;"?room="&amp;A299</f>
        <v/>
      </c>
    </row>
    <row r="300" ht="15" customHeight="1" s="11">
      <c r="A300" s="10" t="inlineStr">
        <is>
          <t>B-L01-Q02D</t>
        </is>
      </c>
      <c r="B300" s="10" t="inlineStr">
        <is>
          <t>Tower B</t>
        </is>
      </c>
      <c r="C300" s="10" t="inlineStr">
        <is>
          <t>L01</t>
        </is>
      </c>
      <c r="D300" s="10" t="inlineStr">
        <is>
          <t>BL01G85</t>
        </is>
      </c>
      <c r="E300" s="10" t="inlineStr">
        <is>
          <t>Q02D</t>
        </is>
      </c>
      <c r="F300" s="10" t="inlineStr">
        <is>
          <t>Queen</t>
        </is>
      </c>
      <c r="H300" s="16" t="n"/>
      <c r="J300" s="16" t="n"/>
      <c r="L300" s="10" t="inlineStr">
        <is>
          <t>Typology drawing R01</t>
        </is>
      </c>
      <c r="M300" s="10">
        <f>Config!$B$3&amp;"?room="&amp;A300</f>
        <v/>
      </c>
    </row>
    <row r="301" ht="15" customHeight="1" s="11">
      <c r="A301" s="10" t="inlineStr">
        <is>
          <t>B-L01-Q04*</t>
        </is>
      </c>
      <c r="B301" s="10" t="inlineStr">
        <is>
          <t>Tower B</t>
        </is>
      </c>
      <c r="C301" s="10" t="inlineStr">
        <is>
          <t>L01</t>
        </is>
      </c>
      <c r="D301" s="10" t="inlineStr">
        <is>
          <t>BL01G71</t>
        </is>
      </c>
      <c r="E301" s="10" t="inlineStr">
        <is>
          <t>Q04*</t>
        </is>
      </c>
      <c r="F301" s="10" t="inlineStr">
        <is>
          <t>Queen</t>
        </is>
      </c>
      <c r="H301" s="16" t="n"/>
      <c r="J301" s="16" t="n"/>
      <c r="L301" s="10" t="inlineStr">
        <is>
          <t>Typology drawing R01</t>
        </is>
      </c>
      <c r="M301" s="10">
        <f>Config!$B$3&amp;"?room="&amp;A301</f>
        <v/>
      </c>
    </row>
    <row r="302" ht="15" customHeight="1" s="11">
      <c r="A302" s="10" t="inlineStr">
        <is>
          <t>B-L01-Q06</t>
        </is>
      </c>
      <c r="B302" s="10" t="inlineStr">
        <is>
          <t>Tower B</t>
        </is>
      </c>
      <c r="C302" s="10" t="inlineStr">
        <is>
          <t>L01</t>
        </is>
      </c>
      <c r="D302" s="10" t="inlineStr">
        <is>
          <t>BL01G86</t>
        </is>
      </c>
      <c r="E302" s="10" t="inlineStr">
        <is>
          <t>Q06</t>
        </is>
      </c>
      <c r="F302" s="10" t="inlineStr">
        <is>
          <t>Queen</t>
        </is>
      </c>
      <c r="H302" s="16" t="n"/>
      <c r="J302" s="16" t="n"/>
      <c r="L302" s="10" t="inlineStr">
        <is>
          <t>Typology drawing R01</t>
        </is>
      </c>
      <c r="M302" s="10">
        <f>Config!$B$3&amp;"?room="&amp;A302</f>
        <v/>
      </c>
    </row>
    <row r="303" ht="15" customHeight="1" s="11">
      <c r="A303" s="10" t="inlineStr">
        <is>
          <t>B-L01-Q07*-01</t>
        </is>
      </c>
      <c r="B303" s="10" t="inlineStr">
        <is>
          <t>Tower B</t>
        </is>
      </c>
      <c r="C303" s="10" t="inlineStr">
        <is>
          <t>L01</t>
        </is>
      </c>
      <c r="D303" s="10" t="inlineStr">
        <is>
          <t>BL01G61</t>
        </is>
      </c>
      <c r="E303" s="10" t="inlineStr">
        <is>
          <t>Q07*</t>
        </is>
      </c>
      <c r="F303" s="10" t="inlineStr">
        <is>
          <t>Queen</t>
        </is>
      </c>
      <c r="H303" s="16" t="n"/>
      <c r="J303" s="16" t="n"/>
      <c r="L303" s="10" t="inlineStr">
        <is>
          <t>Typology drawing R01</t>
        </is>
      </c>
      <c r="M303" s="10">
        <f>Config!$B$3&amp;"?room="&amp;A303</f>
        <v/>
      </c>
    </row>
    <row r="304" ht="15" customHeight="1" s="11">
      <c r="A304" s="10" t="inlineStr">
        <is>
          <t>B-L01-Q07*-02</t>
        </is>
      </c>
      <c r="B304" s="10" t="inlineStr">
        <is>
          <t>Tower B</t>
        </is>
      </c>
      <c r="C304" s="10" t="inlineStr">
        <is>
          <t>L01</t>
        </is>
      </c>
      <c r="D304" s="10" t="inlineStr">
        <is>
          <t>BL01G77</t>
        </is>
      </c>
      <c r="E304" s="10" t="inlineStr">
        <is>
          <t>Q07*</t>
        </is>
      </c>
      <c r="F304" s="10" t="inlineStr">
        <is>
          <t>Queen</t>
        </is>
      </c>
      <c r="H304" s="16" t="n"/>
      <c r="J304" s="16" t="n"/>
      <c r="L304" s="10" t="inlineStr">
        <is>
          <t>Typology drawing R01</t>
        </is>
      </c>
      <c r="M304" s="10">
        <f>Config!$B$3&amp;"?room="&amp;A304</f>
        <v/>
      </c>
    </row>
    <row r="305" ht="15" customHeight="1" s="11">
      <c r="A305" s="10" t="inlineStr">
        <is>
          <t>B-L01-S01</t>
        </is>
      </c>
      <c r="B305" s="10" t="inlineStr">
        <is>
          <t>Tower B</t>
        </is>
      </c>
      <c r="C305" s="10" t="inlineStr">
        <is>
          <t>L01</t>
        </is>
      </c>
      <c r="D305" s="10" t="inlineStr">
        <is>
          <t>BL01G49</t>
        </is>
      </c>
      <c r="E305" s="10" t="inlineStr">
        <is>
          <t>S01</t>
        </is>
      </c>
      <c r="F305" s="10" t="inlineStr">
        <is>
          <t>Suite</t>
        </is>
      </c>
      <c r="H305" s="16" t="n"/>
      <c r="J305" s="16" t="n"/>
      <c r="L305" s="10" t="inlineStr">
        <is>
          <t>Typology drawing R01</t>
        </is>
      </c>
      <c r="M305" s="10">
        <f>Config!$B$3&amp;"?room="&amp;A305</f>
        <v/>
      </c>
    </row>
    <row r="306" ht="15" customHeight="1" s="11">
      <c r="A306" s="10" t="inlineStr">
        <is>
          <t>B-L01-S02</t>
        </is>
      </c>
      <c r="B306" s="10" t="inlineStr">
        <is>
          <t>Tower B</t>
        </is>
      </c>
      <c r="C306" s="10" t="inlineStr">
        <is>
          <t>L01</t>
        </is>
      </c>
      <c r="D306" s="10" t="inlineStr">
        <is>
          <t>BL01G51</t>
        </is>
      </c>
      <c r="E306" s="10" t="inlineStr">
        <is>
          <t>S02</t>
        </is>
      </c>
      <c r="F306" s="10" t="inlineStr">
        <is>
          <t>Suite</t>
        </is>
      </c>
      <c r="H306" s="16" t="n"/>
      <c r="J306" s="16" t="n"/>
      <c r="L306" s="10" t="inlineStr">
        <is>
          <t>Typology drawing R01</t>
        </is>
      </c>
      <c r="M306" s="10">
        <f>Config!$B$3&amp;"?room="&amp;A306</f>
        <v/>
      </c>
    </row>
    <row r="307" ht="15" customHeight="1" s="11">
      <c r="A307" s="10" t="inlineStr">
        <is>
          <t>B-L01-S03</t>
        </is>
      </c>
      <c r="B307" s="10" t="inlineStr">
        <is>
          <t>Tower B</t>
        </is>
      </c>
      <c r="C307" s="10" t="inlineStr">
        <is>
          <t>L01</t>
        </is>
      </c>
      <c r="D307" s="10" t="inlineStr">
        <is>
          <t>BL01G66</t>
        </is>
      </c>
      <c r="E307" s="10" t="inlineStr">
        <is>
          <t>S03</t>
        </is>
      </c>
      <c r="F307" s="10" t="inlineStr">
        <is>
          <t>Suite</t>
        </is>
      </c>
      <c r="H307" s="16" t="n"/>
      <c r="J307" s="16" t="n"/>
      <c r="L307" s="10" t="inlineStr">
        <is>
          <t>Typology drawing R01</t>
        </is>
      </c>
      <c r="M307" s="10">
        <f>Config!$B$3&amp;"?room="&amp;A307</f>
        <v/>
      </c>
    </row>
    <row r="308" ht="15" customHeight="1" s="11">
      <c r="A308" s="10" t="inlineStr">
        <is>
          <t>B-L01-S04</t>
        </is>
      </c>
      <c r="B308" s="10" t="inlineStr">
        <is>
          <t>Tower B</t>
        </is>
      </c>
      <c r="C308" s="10" t="inlineStr">
        <is>
          <t>L01</t>
        </is>
      </c>
      <c r="D308" s="10" t="inlineStr">
        <is>
          <t>BL01G81</t>
        </is>
      </c>
      <c r="E308" s="10" t="inlineStr">
        <is>
          <t>S04</t>
        </is>
      </c>
      <c r="F308" s="10" t="inlineStr">
        <is>
          <t>Suite</t>
        </is>
      </c>
      <c r="H308" s="16" t="n"/>
      <c r="J308" s="16" t="n"/>
      <c r="L308" s="10" t="inlineStr">
        <is>
          <t>Typology drawing R01</t>
        </is>
      </c>
      <c r="M308" s="10">
        <f>Config!$B$3&amp;"?room="&amp;A308</f>
        <v/>
      </c>
    </row>
    <row r="309" ht="15" customHeight="1" s="11">
      <c r="A309" s="10" t="inlineStr">
        <is>
          <t>B-L02-F02</t>
        </is>
      </c>
      <c r="B309" s="10" t="inlineStr">
        <is>
          <t>Tower B</t>
        </is>
      </c>
      <c r="C309" s="10" t="inlineStr">
        <is>
          <t>L02</t>
        </is>
      </c>
      <c r="D309" s="10" t="inlineStr">
        <is>
          <t>BL02G90</t>
        </is>
      </c>
      <c r="E309" s="10" t="inlineStr">
        <is>
          <t>F02</t>
        </is>
      </c>
      <c r="F309" s="10" t="inlineStr">
        <is>
          <t>Family</t>
        </is>
      </c>
      <c r="H309" s="16" t="n"/>
      <c r="J309" s="16" t="n"/>
      <c r="L309" s="10" t="inlineStr">
        <is>
          <t>Typology drawing R01</t>
        </is>
      </c>
      <c r="M309" s="10">
        <f>Config!$B$3&amp;"?room="&amp;A309</f>
        <v/>
      </c>
    </row>
    <row r="310" ht="15" customHeight="1" s="11">
      <c r="A310" s="10" t="inlineStr">
        <is>
          <t>B-L02-F06</t>
        </is>
      </c>
      <c r="B310" s="10" t="inlineStr">
        <is>
          <t>Tower B</t>
        </is>
      </c>
      <c r="C310" s="10" t="inlineStr">
        <is>
          <t>L02</t>
        </is>
      </c>
      <c r="D310" s="10" t="inlineStr">
        <is>
          <t>BL02G63</t>
        </is>
      </c>
      <c r="E310" s="10" t="inlineStr">
        <is>
          <t>F06</t>
        </is>
      </c>
      <c r="F310" s="10" t="inlineStr">
        <is>
          <t>Family</t>
        </is>
      </c>
      <c r="H310" s="16" t="n"/>
      <c r="J310" s="16" t="n"/>
      <c r="L310" s="10" t="inlineStr">
        <is>
          <t>Typology drawing R01</t>
        </is>
      </c>
      <c r="M310" s="10">
        <f>Config!$B$3&amp;"?room="&amp;A310</f>
        <v/>
      </c>
    </row>
    <row r="311" ht="15" customHeight="1" s="11">
      <c r="A311" s="10" t="inlineStr">
        <is>
          <t>B-L02-K01-01</t>
        </is>
      </c>
      <c r="B311" s="10" t="inlineStr">
        <is>
          <t>Tower B</t>
        </is>
      </c>
      <c r="C311" s="10" t="inlineStr">
        <is>
          <t>L02</t>
        </is>
      </c>
      <c r="D311" s="10" t="inlineStr">
        <is>
          <t>BL02G53</t>
        </is>
      </c>
      <c r="E311" s="10" t="inlineStr">
        <is>
          <t>K01</t>
        </is>
      </c>
      <c r="F311" s="10" t="inlineStr">
        <is>
          <t>King</t>
        </is>
      </c>
      <c r="H311" s="16" t="n"/>
      <c r="J311" s="16" t="n"/>
      <c r="L311" s="10" t="inlineStr">
        <is>
          <t>Typology drawing R01</t>
        </is>
      </c>
      <c r="M311" s="10">
        <f>Config!$B$3&amp;"?room="&amp;A311</f>
        <v/>
      </c>
    </row>
    <row r="312" ht="15" customHeight="1" s="11">
      <c r="A312" s="10" t="inlineStr">
        <is>
          <t>B-L02-K01-02</t>
        </is>
      </c>
      <c r="B312" s="10" t="inlineStr">
        <is>
          <t>Tower B</t>
        </is>
      </c>
      <c r="C312" s="10" t="inlineStr">
        <is>
          <t>L02</t>
        </is>
      </c>
      <c r="D312" s="10" t="inlineStr">
        <is>
          <t>BL02G77</t>
        </is>
      </c>
      <c r="E312" s="10" t="inlineStr">
        <is>
          <t>K01</t>
        </is>
      </c>
      <c r="F312" s="10" t="inlineStr">
        <is>
          <t>King</t>
        </is>
      </c>
      <c r="H312" s="16" t="n"/>
      <c r="J312" s="16" t="n"/>
      <c r="L312" s="10" t="inlineStr">
        <is>
          <t>Typology drawing R01</t>
        </is>
      </c>
      <c r="M312" s="10">
        <f>Config!$B$3&amp;"?room="&amp;A312</f>
        <v/>
      </c>
    </row>
    <row r="313" ht="15" customHeight="1" s="11">
      <c r="A313" s="10" t="inlineStr">
        <is>
          <t>B-L02-K01A-01</t>
        </is>
      </c>
      <c r="B313" s="10" t="inlineStr">
        <is>
          <t>Tower B</t>
        </is>
      </c>
      <c r="C313" s="10" t="inlineStr">
        <is>
          <t>L02</t>
        </is>
      </c>
      <c r="D313" s="10" t="inlineStr">
        <is>
          <t>BL02G58</t>
        </is>
      </c>
      <c r="E313" s="10" t="inlineStr">
        <is>
          <t>K01A</t>
        </is>
      </c>
      <c r="F313" s="10" t="inlineStr">
        <is>
          <t>King</t>
        </is>
      </c>
      <c r="H313" s="16" t="n"/>
      <c r="J313" s="16" t="n"/>
      <c r="L313" s="10" t="inlineStr">
        <is>
          <t>Typology drawing R01</t>
        </is>
      </c>
      <c r="M313" s="10">
        <f>Config!$B$3&amp;"?room="&amp;A313</f>
        <v/>
      </c>
    </row>
    <row r="314" ht="15" customHeight="1" s="11">
      <c r="A314" s="10" t="inlineStr">
        <is>
          <t>B-L02-K01A-02</t>
        </is>
      </c>
      <c r="B314" s="10" t="inlineStr">
        <is>
          <t>Tower B</t>
        </is>
      </c>
      <c r="C314" s="10" t="inlineStr">
        <is>
          <t>L02</t>
        </is>
      </c>
      <c r="D314" s="10" t="inlineStr">
        <is>
          <t>BL02G76</t>
        </is>
      </c>
      <c r="E314" s="10" t="inlineStr">
        <is>
          <t>K01A</t>
        </is>
      </c>
      <c r="F314" s="10" t="inlineStr">
        <is>
          <t>King</t>
        </is>
      </c>
      <c r="H314" s="16" t="n"/>
      <c r="J314" s="16" t="n"/>
      <c r="L314" s="10" t="inlineStr">
        <is>
          <t>Typology drawing R01</t>
        </is>
      </c>
      <c r="M314" s="10">
        <f>Config!$B$3&amp;"?room="&amp;A314</f>
        <v/>
      </c>
    </row>
    <row r="315" ht="15" customHeight="1" s="11">
      <c r="A315" s="10" t="inlineStr">
        <is>
          <t>B-L02-K01A-03</t>
        </is>
      </c>
      <c r="B315" s="10" t="inlineStr">
        <is>
          <t>Tower B</t>
        </is>
      </c>
      <c r="C315" s="10" t="inlineStr">
        <is>
          <t>L02</t>
        </is>
      </c>
      <c r="D315" s="10" t="inlineStr">
        <is>
          <t>BL02G84</t>
        </is>
      </c>
      <c r="E315" s="10" t="inlineStr">
        <is>
          <t>K01A</t>
        </is>
      </c>
      <c r="F315" s="10" t="inlineStr">
        <is>
          <t>King</t>
        </is>
      </c>
      <c r="H315" s="16" t="n"/>
      <c r="J315" s="16" t="n"/>
      <c r="L315" s="10" t="inlineStr">
        <is>
          <t>Typology drawing R01</t>
        </is>
      </c>
      <c r="M315" s="10">
        <f>Config!$B$3&amp;"?room="&amp;A315</f>
        <v/>
      </c>
    </row>
    <row r="316" ht="15" customHeight="1" s="11">
      <c r="A316" s="10" t="inlineStr">
        <is>
          <t>B-L02-K01C</t>
        </is>
      </c>
      <c r="B316" s="10" t="inlineStr">
        <is>
          <t>Tower B</t>
        </is>
      </c>
      <c r="C316" s="10" t="inlineStr">
        <is>
          <t>L02</t>
        </is>
      </c>
      <c r="D316" s="10" t="inlineStr">
        <is>
          <t>BL02G81</t>
        </is>
      </c>
      <c r="E316" s="10" t="inlineStr">
        <is>
          <t>K01C</t>
        </is>
      </c>
      <c r="F316" s="10" t="inlineStr">
        <is>
          <t>King</t>
        </is>
      </c>
      <c r="H316" s="16" t="n"/>
      <c r="J316" s="16" t="n"/>
      <c r="L316" s="10" t="inlineStr">
        <is>
          <t>Typology drawing R01</t>
        </is>
      </c>
      <c r="M316" s="10">
        <f>Config!$B$3&amp;"?room="&amp;A316</f>
        <v/>
      </c>
    </row>
    <row r="317" ht="15" customHeight="1" s="11">
      <c r="A317" s="10" t="inlineStr">
        <is>
          <t>B-L02-K01C1-01</t>
        </is>
      </c>
      <c r="B317" s="10" t="inlineStr">
        <is>
          <t>Tower B</t>
        </is>
      </c>
      <c r="C317" s="10" t="inlineStr">
        <is>
          <t>L02</t>
        </is>
      </c>
      <c r="D317" s="10" t="inlineStr">
        <is>
          <t>BL02G72</t>
        </is>
      </c>
      <c r="E317" s="10" t="inlineStr">
        <is>
          <t>K01C1</t>
        </is>
      </c>
      <c r="F317" s="10" t="inlineStr">
        <is>
          <t>King</t>
        </is>
      </c>
      <c r="H317" s="16" t="n"/>
      <c r="J317" s="16" t="n"/>
      <c r="L317" s="10" t="inlineStr">
        <is>
          <t>Typology drawing R01</t>
        </is>
      </c>
      <c r="M317" s="10">
        <f>Config!$B$3&amp;"?room="&amp;A317</f>
        <v/>
      </c>
    </row>
    <row r="318" ht="15" customHeight="1" s="11">
      <c r="A318" s="10" t="inlineStr">
        <is>
          <t>B-L02-K01C1-02</t>
        </is>
      </c>
      <c r="B318" s="10" t="inlineStr">
        <is>
          <t>Tower B</t>
        </is>
      </c>
      <c r="C318" s="10" t="inlineStr">
        <is>
          <t>L02</t>
        </is>
      </c>
      <c r="D318" s="10" t="inlineStr">
        <is>
          <t>BL02G80</t>
        </is>
      </c>
      <c r="E318" s="10" t="inlineStr">
        <is>
          <t>K01C1</t>
        </is>
      </c>
      <c r="F318" s="10" t="inlineStr">
        <is>
          <t>King</t>
        </is>
      </c>
      <c r="H318" s="16" t="n"/>
      <c r="J318" s="16" t="n"/>
      <c r="L318" s="10" t="inlineStr">
        <is>
          <t>Typology drawing R01</t>
        </is>
      </c>
      <c r="M318" s="10">
        <f>Config!$B$3&amp;"?room="&amp;A318</f>
        <v/>
      </c>
    </row>
    <row r="319" ht="15" customHeight="1" s="11">
      <c r="A319" s="10" t="inlineStr">
        <is>
          <t>B-L02-K01D</t>
        </is>
      </c>
      <c r="B319" s="10" t="inlineStr">
        <is>
          <t>Tower B</t>
        </is>
      </c>
      <c r="C319" s="10" t="inlineStr">
        <is>
          <t>L02</t>
        </is>
      </c>
      <c r="D319" s="10" t="inlineStr">
        <is>
          <t>BL02G61</t>
        </is>
      </c>
      <c r="E319" s="10" t="inlineStr">
        <is>
          <t>K01D</t>
        </is>
      </c>
      <c r="F319" s="10" t="inlineStr">
        <is>
          <t>King</t>
        </is>
      </c>
      <c r="H319" s="16" t="n"/>
      <c r="J319" s="16" t="n"/>
      <c r="L319" s="10" t="inlineStr">
        <is>
          <t>Typology drawing R01</t>
        </is>
      </c>
      <c r="M319" s="10">
        <f>Config!$B$3&amp;"?room="&amp;A319</f>
        <v/>
      </c>
    </row>
    <row r="320" ht="15" customHeight="1" s="11">
      <c r="A320" s="10" t="inlineStr">
        <is>
          <t>B-L02-K02-01</t>
        </is>
      </c>
      <c r="B320" s="10" t="inlineStr">
        <is>
          <t>Tower B</t>
        </is>
      </c>
      <c r="C320" s="10" t="inlineStr">
        <is>
          <t>L02</t>
        </is>
      </c>
      <c r="D320" s="10" t="inlineStr">
        <is>
          <t>BL02G55</t>
        </is>
      </c>
      <c r="E320" s="10" t="inlineStr">
        <is>
          <t>K02</t>
        </is>
      </c>
      <c r="F320" s="10" t="inlineStr">
        <is>
          <t>King</t>
        </is>
      </c>
      <c r="H320" s="16" t="n"/>
      <c r="J320" s="16" t="n"/>
      <c r="L320" s="10" t="inlineStr">
        <is>
          <t>Typology drawing R01</t>
        </is>
      </c>
      <c r="M320" s="10">
        <f>Config!$B$3&amp;"?room="&amp;A320</f>
        <v/>
      </c>
    </row>
    <row r="321" ht="15" customHeight="1" s="11">
      <c r="A321" s="10" t="inlineStr">
        <is>
          <t>B-L02-K02-02</t>
        </is>
      </c>
      <c r="B321" s="10" t="inlineStr">
        <is>
          <t>Tower B</t>
        </is>
      </c>
      <c r="C321" s="10" t="inlineStr">
        <is>
          <t>L02</t>
        </is>
      </c>
      <c r="D321" s="10" t="inlineStr">
        <is>
          <t>BL02G71</t>
        </is>
      </c>
      <c r="E321" s="10" t="inlineStr">
        <is>
          <t>K02</t>
        </is>
      </c>
      <c r="F321" s="10" t="inlineStr">
        <is>
          <t>King</t>
        </is>
      </c>
      <c r="H321" s="16" t="n"/>
      <c r="J321" s="16" t="n"/>
      <c r="L321" s="10" t="inlineStr">
        <is>
          <t>Typology drawing R01</t>
        </is>
      </c>
      <c r="M321" s="10">
        <f>Config!$B$3&amp;"?room="&amp;A321</f>
        <v/>
      </c>
    </row>
    <row r="322" ht="15" customHeight="1" s="11">
      <c r="A322" s="10" t="inlineStr">
        <is>
          <t>B-L02-K02-03</t>
        </is>
      </c>
      <c r="B322" s="10" t="inlineStr">
        <is>
          <t>Tower B</t>
        </is>
      </c>
      <c r="C322" s="10" t="inlineStr">
        <is>
          <t>L02</t>
        </is>
      </c>
      <c r="D322" s="10" t="inlineStr">
        <is>
          <t>BL02G79</t>
        </is>
      </c>
      <c r="E322" s="10" t="inlineStr">
        <is>
          <t>K02</t>
        </is>
      </c>
      <c r="F322" s="10" t="inlineStr">
        <is>
          <t>King</t>
        </is>
      </c>
      <c r="H322" s="16" t="n"/>
      <c r="J322" s="16" t="n"/>
      <c r="L322" s="10" t="inlineStr">
        <is>
          <t>Typology drawing R01</t>
        </is>
      </c>
      <c r="M322" s="10">
        <f>Config!$B$3&amp;"?room="&amp;A322</f>
        <v/>
      </c>
    </row>
    <row r="323" ht="15" customHeight="1" s="11">
      <c r="A323" s="10" t="inlineStr">
        <is>
          <t>B-L02-K02A-01</t>
        </is>
      </c>
      <c r="B323" s="10" t="inlineStr">
        <is>
          <t>Tower B</t>
        </is>
      </c>
      <c r="C323" s="10" t="inlineStr">
        <is>
          <t>L02</t>
        </is>
      </c>
      <c r="D323" s="10" t="inlineStr">
        <is>
          <t>BL02G74</t>
        </is>
      </c>
      <c r="E323" s="10" t="inlineStr">
        <is>
          <t>K02A</t>
        </is>
      </c>
      <c r="F323" s="10" t="inlineStr">
        <is>
          <t>King</t>
        </is>
      </c>
      <c r="H323" s="16" t="n"/>
      <c r="J323" s="16" t="n"/>
      <c r="L323" s="10" t="inlineStr">
        <is>
          <t>Typology drawing R01</t>
        </is>
      </c>
      <c r="M323" s="10">
        <f>Config!$B$3&amp;"?room="&amp;A323</f>
        <v/>
      </c>
    </row>
    <row r="324" ht="15" customHeight="1" s="11">
      <c r="A324" s="10" t="inlineStr">
        <is>
          <t>B-L02-K02A-02</t>
        </is>
      </c>
      <c r="B324" s="10" t="inlineStr">
        <is>
          <t>Tower B</t>
        </is>
      </c>
      <c r="C324" s="10" t="inlineStr">
        <is>
          <t>L02</t>
        </is>
      </c>
      <c r="D324" s="10" t="inlineStr">
        <is>
          <t>BL02G82</t>
        </is>
      </c>
      <c r="E324" s="10" t="inlineStr">
        <is>
          <t>K02A</t>
        </is>
      </c>
      <c r="F324" s="10" t="inlineStr">
        <is>
          <t>King</t>
        </is>
      </c>
      <c r="H324" s="16" t="n"/>
      <c r="J324" s="16" t="n"/>
      <c r="L324" s="10" t="inlineStr">
        <is>
          <t>Typology drawing R01</t>
        </is>
      </c>
      <c r="M324" s="10">
        <f>Config!$B$3&amp;"?room="&amp;A324</f>
        <v/>
      </c>
    </row>
    <row r="325" ht="15" customHeight="1" s="11">
      <c r="A325" s="10" t="inlineStr">
        <is>
          <t>B-L02-K02C-01</t>
        </is>
      </c>
      <c r="B325" s="10" t="inlineStr">
        <is>
          <t>Tower B</t>
        </is>
      </c>
      <c r="C325" s="10" t="inlineStr">
        <is>
          <t>L02</t>
        </is>
      </c>
      <c r="D325" s="10" t="inlineStr">
        <is>
          <t>BL02G59</t>
        </is>
      </c>
      <c r="E325" s="10" t="inlineStr">
        <is>
          <t>K02C</t>
        </is>
      </c>
      <c r="F325" s="10" t="inlineStr">
        <is>
          <t>King</t>
        </is>
      </c>
      <c r="H325" s="16" t="n"/>
      <c r="J325" s="16" t="n"/>
      <c r="L325" s="10" t="inlineStr">
        <is>
          <t>Typology drawing R01</t>
        </is>
      </c>
      <c r="M325" s="10">
        <f>Config!$B$3&amp;"?room="&amp;A325</f>
        <v/>
      </c>
    </row>
    <row r="326" ht="15" customHeight="1" s="11">
      <c r="A326" s="10" t="inlineStr">
        <is>
          <t>B-L02-K02C-02</t>
        </is>
      </c>
      <c r="B326" s="10" t="inlineStr">
        <is>
          <t>Tower B</t>
        </is>
      </c>
      <c r="C326" s="10" t="inlineStr">
        <is>
          <t>L02</t>
        </is>
      </c>
      <c r="D326" s="10" t="inlineStr">
        <is>
          <t>BL02G75</t>
        </is>
      </c>
      <c r="E326" s="10" t="inlineStr">
        <is>
          <t>K02C</t>
        </is>
      </c>
      <c r="F326" s="10" t="inlineStr">
        <is>
          <t>King</t>
        </is>
      </c>
      <c r="H326" s="16" t="n"/>
      <c r="J326" s="16" t="n"/>
      <c r="L326" s="10" t="inlineStr">
        <is>
          <t>Typology drawing R01</t>
        </is>
      </c>
      <c r="M326" s="10">
        <f>Config!$B$3&amp;"?room="&amp;A326</f>
        <v/>
      </c>
    </row>
    <row r="327" ht="15" customHeight="1" s="11">
      <c r="A327" s="10" t="inlineStr">
        <is>
          <t>B-L02-K03</t>
        </is>
      </c>
      <c r="B327" s="10" t="inlineStr">
        <is>
          <t>Tower B</t>
        </is>
      </c>
      <c r="C327" s="10" t="inlineStr">
        <is>
          <t>L02</t>
        </is>
      </c>
      <c r="D327" s="10" t="inlineStr">
        <is>
          <t>BL02G89</t>
        </is>
      </c>
      <c r="E327" s="10" t="inlineStr">
        <is>
          <t>K03</t>
        </is>
      </c>
      <c r="F327" s="10" t="inlineStr">
        <is>
          <t>King</t>
        </is>
      </c>
      <c r="H327" s="16" t="n"/>
      <c r="J327" s="16" t="n"/>
      <c r="L327" s="10" t="inlineStr">
        <is>
          <t>Typology drawing R01</t>
        </is>
      </c>
      <c r="M327" s="10">
        <f>Config!$B$3&amp;"?room="&amp;A327</f>
        <v/>
      </c>
    </row>
    <row r="328" ht="15" customHeight="1" s="11">
      <c r="A328" s="10" t="inlineStr">
        <is>
          <t>B-L02-KADA1</t>
        </is>
      </c>
      <c r="B328" s="10" t="inlineStr">
        <is>
          <t>Tower B</t>
        </is>
      </c>
      <c r="C328" s="10" t="inlineStr">
        <is>
          <t>L02</t>
        </is>
      </c>
      <c r="D328" s="10" t="inlineStr">
        <is>
          <t>BL02G60</t>
        </is>
      </c>
      <c r="E328" s="10" t="inlineStr">
        <is>
          <t>KADA1</t>
        </is>
      </c>
      <c r="F328" s="10" t="inlineStr">
        <is>
          <t>King ADA</t>
        </is>
      </c>
      <c r="H328" s="16" t="n"/>
      <c r="J328" s="16" t="n"/>
      <c r="L328" s="10" t="inlineStr">
        <is>
          <t>Typology drawing R01</t>
        </is>
      </c>
      <c r="M328" s="10">
        <f>Config!$B$3&amp;"?room="&amp;A328</f>
        <v/>
      </c>
    </row>
    <row r="329" ht="15" customHeight="1" s="11">
      <c r="A329" s="10" t="inlineStr">
        <is>
          <t>B-L02-Q01C</t>
        </is>
      </c>
      <c r="B329" s="10" t="inlineStr">
        <is>
          <t>Tower B</t>
        </is>
      </c>
      <c r="C329" s="10" t="inlineStr">
        <is>
          <t>L02</t>
        </is>
      </c>
      <c r="D329" s="10" t="inlineStr">
        <is>
          <t>BL02G83</t>
        </is>
      </c>
      <c r="E329" s="10" t="inlineStr">
        <is>
          <t>Q01C</t>
        </is>
      </c>
      <c r="F329" s="10" t="inlineStr">
        <is>
          <t>Queen</t>
        </is>
      </c>
      <c r="H329" s="16" t="n"/>
      <c r="J329" s="16" t="n"/>
      <c r="L329" s="10" t="inlineStr">
        <is>
          <t>Typology drawing R01</t>
        </is>
      </c>
      <c r="M329" s="10">
        <f>Config!$B$3&amp;"?room="&amp;A329</f>
        <v/>
      </c>
    </row>
    <row r="330" ht="15" customHeight="1" s="11">
      <c r="A330" s="10" t="inlineStr">
        <is>
          <t>B-L02-Q01C1-01</t>
        </is>
      </c>
      <c r="B330" s="10" t="inlineStr">
        <is>
          <t>Tower B</t>
        </is>
      </c>
      <c r="C330" s="10" t="inlineStr">
        <is>
          <t>L02</t>
        </is>
      </c>
      <c r="D330" s="10" t="inlineStr">
        <is>
          <t>BL02G64</t>
        </is>
      </c>
      <c r="E330" s="10" t="inlineStr">
        <is>
          <t>Q01C1</t>
        </is>
      </c>
      <c r="F330" s="10" t="inlineStr">
        <is>
          <t>Queen</t>
        </is>
      </c>
      <c r="H330" s="16" t="n"/>
      <c r="J330" s="16" t="n"/>
      <c r="L330" s="10" t="inlineStr">
        <is>
          <t>Typology drawing R01</t>
        </is>
      </c>
      <c r="M330" s="10">
        <f>Config!$B$3&amp;"?room="&amp;A330</f>
        <v/>
      </c>
    </row>
    <row r="331" ht="15" customHeight="1" s="11">
      <c r="A331" s="10" t="inlineStr">
        <is>
          <t>B-L02-Q01C1-02</t>
        </is>
      </c>
      <c r="B331" s="10" t="inlineStr">
        <is>
          <t>Tower B</t>
        </is>
      </c>
      <c r="C331" s="10" t="inlineStr">
        <is>
          <t>L02</t>
        </is>
      </c>
      <c r="D331" s="10" t="inlineStr">
        <is>
          <t>BL02G70</t>
        </is>
      </c>
      <c r="E331" s="10" t="inlineStr">
        <is>
          <t>Q01C1</t>
        </is>
      </c>
      <c r="F331" s="10" t="inlineStr">
        <is>
          <t>Queen</t>
        </is>
      </c>
      <c r="H331" s="16" t="n"/>
      <c r="J331" s="16" t="n"/>
      <c r="L331" s="10" t="inlineStr">
        <is>
          <t>Typology drawing R01</t>
        </is>
      </c>
      <c r="M331" s="10">
        <f>Config!$B$3&amp;"?room="&amp;A331</f>
        <v/>
      </c>
    </row>
    <row r="332" ht="15" customHeight="1" s="11">
      <c r="A332" s="10" t="inlineStr">
        <is>
          <t>B-L02-Q01C1-03</t>
        </is>
      </c>
      <c r="B332" s="10" t="inlineStr">
        <is>
          <t>Tower B</t>
        </is>
      </c>
      <c r="C332" s="10" t="inlineStr">
        <is>
          <t>L02</t>
        </is>
      </c>
      <c r="D332" s="10" t="inlineStr">
        <is>
          <t>BL02G78</t>
        </is>
      </c>
      <c r="E332" s="10" t="inlineStr">
        <is>
          <t>Q01C1</t>
        </is>
      </c>
      <c r="F332" s="10" t="inlineStr">
        <is>
          <t>Queen</t>
        </is>
      </c>
      <c r="H332" s="16" t="n"/>
      <c r="J332" s="16" t="n"/>
      <c r="L332" s="10" t="inlineStr">
        <is>
          <t>Typology drawing R01</t>
        </is>
      </c>
      <c r="M332" s="10">
        <f>Config!$B$3&amp;"?room="&amp;A332</f>
        <v/>
      </c>
    </row>
    <row r="333" ht="15" customHeight="1" s="11">
      <c r="A333" s="10" t="inlineStr">
        <is>
          <t>B-L02-Q02C-01</t>
        </is>
      </c>
      <c r="B333" s="10" t="inlineStr">
        <is>
          <t>Tower B</t>
        </is>
      </c>
      <c r="C333" s="10" t="inlineStr">
        <is>
          <t>L02</t>
        </is>
      </c>
      <c r="D333" s="10" t="inlineStr">
        <is>
          <t>BL02G57</t>
        </is>
      </c>
      <c r="E333" s="10" t="inlineStr">
        <is>
          <t>Q02C</t>
        </is>
      </c>
      <c r="F333" s="10" t="inlineStr">
        <is>
          <t>Queen</t>
        </is>
      </c>
      <c r="H333" s="16" t="n"/>
      <c r="J333" s="16" t="n"/>
      <c r="L333" s="10" t="inlineStr">
        <is>
          <t>Typology drawing R01</t>
        </is>
      </c>
      <c r="M333" s="10">
        <f>Config!$B$3&amp;"?room="&amp;A333</f>
        <v/>
      </c>
    </row>
    <row r="334" ht="15" customHeight="1" s="11">
      <c r="A334" s="10" t="inlineStr">
        <is>
          <t>B-L02-Q02C-02</t>
        </is>
      </c>
      <c r="B334" s="10" t="inlineStr">
        <is>
          <t>Tower B</t>
        </is>
      </c>
      <c r="C334" s="10" t="inlineStr">
        <is>
          <t>L02</t>
        </is>
      </c>
      <c r="D334" s="10" t="inlineStr">
        <is>
          <t>BL02G73</t>
        </is>
      </c>
      <c r="E334" s="10" t="inlineStr">
        <is>
          <t>Q02C</t>
        </is>
      </c>
      <c r="F334" s="10" t="inlineStr">
        <is>
          <t>Queen</t>
        </is>
      </c>
      <c r="H334" s="16" t="n"/>
      <c r="J334" s="16" t="n"/>
      <c r="L334" s="10" t="inlineStr">
        <is>
          <t>Typology drawing R01</t>
        </is>
      </c>
      <c r="M334" s="10">
        <f>Config!$B$3&amp;"?room="&amp;A334</f>
        <v/>
      </c>
    </row>
    <row r="335" ht="15" customHeight="1" s="11">
      <c r="A335" s="10" t="inlineStr">
        <is>
          <t>B-L02-Q02C-03</t>
        </is>
      </c>
      <c r="B335" s="10" t="inlineStr">
        <is>
          <t>Tower B</t>
        </is>
      </c>
      <c r="C335" s="10" t="inlineStr">
        <is>
          <t>L02</t>
        </is>
      </c>
      <c r="D335" s="10" t="inlineStr">
        <is>
          <t>BL02G87</t>
        </is>
      </c>
      <c r="E335" s="10" t="inlineStr">
        <is>
          <t>Q02C</t>
        </is>
      </c>
      <c r="F335" s="10" t="inlineStr">
        <is>
          <t>Queen</t>
        </is>
      </c>
      <c r="H335" s="16" t="n"/>
      <c r="J335" s="16" t="n"/>
      <c r="L335" s="10" t="inlineStr">
        <is>
          <t>Typology drawing R01</t>
        </is>
      </c>
      <c r="M335" s="10">
        <f>Config!$B$3&amp;"?room="&amp;A335</f>
        <v/>
      </c>
    </row>
    <row r="336" ht="15" customHeight="1" s="11">
      <c r="A336" s="10" t="inlineStr">
        <is>
          <t>B-L02-Q02C1</t>
        </is>
      </c>
      <c r="B336" s="10" t="inlineStr">
        <is>
          <t>Tower B</t>
        </is>
      </c>
      <c r="C336" s="10" t="inlineStr">
        <is>
          <t>L02</t>
        </is>
      </c>
      <c r="D336" s="10" t="inlineStr">
        <is>
          <t>BL02G62</t>
        </is>
      </c>
      <c r="E336" s="10" t="inlineStr">
        <is>
          <t>Q02C1</t>
        </is>
      </c>
      <c r="F336" s="10" t="inlineStr">
        <is>
          <t>Queen</t>
        </is>
      </c>
      <c r="H336" s="16" t="n"/>
      <c r="J336" s="16" t="n"/>
      <c r="L336" s="10" t="inlineStr">
        <is>
          <t>Typology drawing R01</t>
        </is>
      </c>
      <c r="M336" s="10">
        <f>Config!$B$3&amp;"?room="&amp;A336</f>
        <v/>
      </c>
    </row>
    <row r="337" ht="15" customHeight="1" s="11">
      <c r="A337" s="10" t="inlineStr">
        <is>
          <t>B-L02-Q02D</t>
        </is>
      </c>
      <c r="B337" s="10" t="inlineStr">
        <is>
          <t>Tower B</t>
        </is>
      </c>
      <c r="C337" s="10" t="inlineStr">
        <is>
          <t>L02</t>
        </is>
      </c>
      <c r="D337" s="10" t="inlineStr">
        <is>
          <t>BL02G85</t>
        </is>
      </c>
      <c r="E337" s="10" t="inlineStr">
        <is>
          <t>Q02D</t>
        </is>
      </c>
      <c r="F337" s="10" t="inlineStr">
        <is>
          <t>Queen</t>
        </is>
      </c>
      <c r="H337" s="16" t="n"/>
      <c r="J337" s="16" t="n"/>
      <c r="L337" s="10" t="inlineStr">
        <is>
          <t>Typology drawing R01</t>
        </is>
      </c>
      <c r="M337" s="10">
        <f>Config!$B$3&amp;"?room="&amp;A337</f>
        <v/>
      </c>
    </row>
    <row r="338" ht="15" customHeight="1" s="11">
      <c r="A338" s="10" t="inlineStr">
        <is>
          <t>B-L02-Q04</t>
        </is>
      </c>
      <c r="B338" s="10" t="inlineStr">
        <is>
          <t>Tower B</t>
        </is>
      </c>
      <c r="C338" s="10" t="inlineStr">
        <is>
          <t>L02</t>
        </is>
      </c>
      <c r="D338" s="10" t="inlineStr">
        <is>
          <t>BL02G69</t>
        </is>
      </c>
      <c r="E338" s="10" t="inlineStr">
        <is>
          <t>Q04</t>
        </is>
      </c>
      <c r="F338" s="10" t="inlineStr">
        <is>
          <t>Queen</t>
        </is>
      </c>
      <c r="H338" s="16" t="n"/>
      <c r="J338" s="16" t="n"/>
      <c r="L338" s="10" t="inlineStr">
        <is>
          <t>Typology drawing R01</t>
        </is>
      </c>
      <c r="M338" s="10">
        <f>Config!$B$3&amp;"?room="&amp;A338</f>
        <v/>
      </c>
    </row>
    <row r="339" ht="15" customHeight="1" s="11">
      <c r="A339" s="10" t="inlineStr">
        <is>
          <t>B-L02-Q05</t>
        </is>
      </c>
      <c r="B339" s="10" t="inlineStr">
        <is>
          <t>Tower B</t>
        </is>
      </c>
      <c r="C339" s="10" t="inlineStr">
        <is>
          <t>L02</t>
        </is>
      </c>
      <c r="D339" s="10" t="inlineStr">
        <is>
          <t>BL02G51</t>
        </is>
      </c>
      <c r="E339" s="10" t="inlineStr">
        <is>
          <t>Q05</t>
        </is>
      </c>
      <c r="F339" s="10" t="inlineStr">
        <is>
          <t>Queen</t>
        </is>
      </c>
      <c r="H339" s="16" t="n"/>
      <c r="J339" s="16" t="n"/>
      <c r="L339" s="10" t="inlineStr">
        <is>
          <t>Typology drawing R01</t>
        </is>
      </c>
      <c r="M339" s="10">
        <f>Config!$B$3&amp;"?room="&amp;A339</f>
        <v/>
      </c>
    </row>
    <row r="340" ht="15" customHeight="1" s="11">
      <c r="A340" s="10" t="inlineStr">
        <is>
          <t>B-L02-Q06</t>
        </is>
      </c>
      <c r="B340" s="10" t="inlineStr">
        <is>
          <t>Tower B</t>
        </is>
      </c>
      <c r="C340" s="10" t="inlineStr">
        <is>
          <t>L02</t>
        </is>
      </c>
      <c r="D340" s="10" t="inlineStr">
        <is>
          <t>BL02G86</t>
        </is>
      </c>
      <c r="E340" s="10" t="inlineStr">
        <is>
          <t>Q06</t>
        </is>
      </c>
      <c r="F340" s="10" t="inlineStr">
        <is>
          <t>Queen</t>
        </is>
      </c>
      <c r="H340" s="16" t="n"/>
      <c r="J340" s="16" t="n"/>
      <c r="L340" s="10" t="inlineStr">
        <is>
          <t>Typology drawing R01</t>
        </is>
      </c>
      <c r="M340" s="10">
        <f>Config!$B$3&amp;"?room="&amp;A340</f>
        <v/>
      </c>
    </row>
    <row r="341" ht="15" customHeight="1" s="11">
      <c r="A341" s="10" t="inlineStr">
        <is>
          <t>B-L02-S07</t>
        </is>
      </c>
      <c r="B341" s="10" t="inlineStr">
        <is>
          <t>Tower B</t>
        </is>
      </c>
      <c r="C341" s="10" t="inlineStr">
        <is>
          <t>L02</t>
        </is>
      </c>
      <c r="D341" s="10" t="inlineStr">
        <is>
          <t>BL02G49</t>
        </is>
      </c>
      <c r="E341" s="10" t="inlineStr">
        <is>
          <t>S07</t>
        </is>
      </c>
      <c r="F341" s="10" t="inlineStr">
        <is>
          <t>Suite</t>
        </is>
      </c>
      <c r="H341" s="16" t="n"/>
      <c r="J341" s="16" t="n"/>
      <c r="L341" s="10" t="inlineStr">
        <is>
          <t>Typology drawing R01</t>
        </is>
      </c>
      <c r="M341" s="10">
        <f>Config!$B$3&amp;"?room="&amp;A341</f>
        <v/>
      </c>
    </row>
    <row r="342" ht="15" customHeight="1" s="11">
      <c r="A342" s="10" t="inlineStr">
        <is>
          <t>B-L02-SADA</t>
        </is>
      </c>
      <c r="B342" s="10" t="inlineStr">
        <is>
          <t>Tower B</t>
        </is>
      </c>
      <c r="C342" s="10" t="inlineStr">
        <is>
          <t>L02</t>
        </is>
      </c>
      <c r="D342" s="10" t="inlineStr">
        <is>
          <t>BL02G66</t>
        </is>
      </c>
      <c r="E342" s="10" t="inlineStr">
        <is>
          <t>SADA</t>
        </is>
      </c>
      <c r="F342" s="10" t="inlineStr">
        <is>
          <t>Suite ADA</t>
        </is>
      </c>
      <c r="H342" s="16" t="n"/>
      <c r="J342" s="16" t="n"/>
      <c r="L342" s="10" t="inlineStr">
        <is>
          <t>Typology drawing R01</t>
        </is>
      </c>
      <c r="M342" s="10">
        <f>Config!$B$3&amp;"?room="&amp;A342</f>
        <v/>
      </c>
    </row>
    <row r="343" ht="15" customHeight="1" s="11">
      <c r="A343" s="10" t="inlineStr">
        <is>
          <t>B-L03-F02</t>
        </is>
      </c>
      <c r="B343" s="10" t="inlineStr">
        <is>
          <t>Tower B</t>
        </is>
      </c>
      <c r="C343" s="10" t="inlineStr">
        <is>
          <t>L03</t>
        </is>
      </c>
      <c r="D343" s="10" t="inlineStr">
        <is>
          <t>BL03G90</t>
        </is>
      </c>
      <c r="E343" s="10" t="inlineStr">
        <is>
          <t>F02</t>
        </is>
      </c>
      <c r="F343" s="10" t="inlineStr">
        <is>
          <t>Family</t>
        </is>
      </c>
      <c r="H343" s="16" t="n"/>
      <c r="J343" s="16" t="n"/>
      <c r="L343" s="10" t="inlineStr">
        <is>
          <t>Typology drawing R01</t>
        </is>
      </c>
      <c r="M343" s="10">
        <f>Config!$B$3&amp;"?room="&amp;A343</f>
        <v/>
      </c>
    </row>
    <row r="344" ht="15" customHeight="1" s="11">
      <c r="A344" s="10" t="inlineStr">
        <is>
          <t>B-L03-F06</t>
        </is>
      </c>
      <c r="B344" s="10" t="inlineStr">
        <is>
          <t>Tower B</t>
        </is>
      </c>
      <c r="C344" s="10" t="inlineStr">
        <is>
          <t>L03</t>
        </is>
      </c>
      <c r="D344" s="10" t="inlineStr">
        <is>
          <t>BL03G63</t>
        </is>
      </c>
      <c r="E344" s="10" t="inlineStr">
        <is>
          <t>F06</t>
        </is>
      </c>
      <c r="F344" s="10" t="inlineStr">
        <is>
          <t>Family</t>
        </is>
      </c>
      <c r="H344" s="16" t="n"/>
      <c r="J344" s="16" t="n"/>
      <c r="L344" s="10" t="inlineStr">
        <is>
          <t>Typology drawing R01</t>
        </is>
      </c>
      <c r="M344" s="10">
        <f>Config!$B$3&amp;"?room="&amp;A344</f>
        <v/>
      </c>
    </row>
    <row r="345" ht="15" customHeight="1" s="11">
      <c r="A345" s="10" t="inlineStr">
        <is>
          <t>B-L03-K01-01</t>
        </is>
      </c>
      <c r="B345" s="10" t="inlineStr">
        <is>
          <t>Tower B</t>
        </is>
      </c>
      <c r="C345" s="10" t="inlineStr">
        <is>
          <t>L03</t>
        </is>
      </c>
      <c r="D345" s="10" t="inlineStr">
        <is>
          <t>BL03G53</t>
        </is>
      </c>
      <c r="E345" s="10" t="inlineStr">
        <is>
          <t>K01</t>
        </is>
      </c>
      <c r="F345" s="10" t="inlineStr">
        <is>
          <t>King</t>
        </is>
      </c>
      <c r="H345" s="16" t="n"/>
      <c r="J345" s="16" t="n"/>
      <c r="L345" s="10" t="inlineStr">
        <is>
          <t>Typology drawing R01</t>
        </is>
      </c>
      <c r="M345" s="10">
        <f>Config!$B$3&amp;"?room="&amp;A345</f>
        <v/>
      </c>
    </row>
    <row r="346" ht="15" customHeight="1" s="11">
      <c r="A346" s="10" t="inlineStr">
        <is>
          <t>B-L03-K01-02</t>
        </is>
      </c>
      <c r="B346" s="10" t="inlineStr">
        <is>
          <t>Tower B</t>
        </is>
      </c>
      <c r="C346" s="10" t="inlineStr">
        <is>
          <t>L03</t>
        </is>
      </c>
      <c r="D346" s="10" t="inlineStr">
        <is>
          <t>BL03G77</t>
        </is>
      </c>
      <c r="E346" s="10" t="inlineStr">
        <is>
          <t>K01</t>
        </is>
      </c>
      <c r="F346" s="10" t="inlineStr">
        <is>
          <t>King</t>
        </is>
      </c>
      <c r="H346" s="16" t="n"/>
      <c r="J346" s="16" t="n"/>
      <c r="L346" s="10" t="inlineStr">
        <is>
          <t>Typology drawing R01</t>
        </is>
      </c>
      <c r="M346" s="10">
        <f>Config!$B$3&amp;"?room="&amp;A346</f>
        <v/>
      </c>
    </row>
    <row r="347" ht="15" customHeight="1" s="11">
      <c r="A347" s="10" t="inlineStr">
        <is>
          <t>B-L03-K01A-01</t>
        </is>
      </c>
      <c r="B347" s="10" t="inlineStr">
        <is>
          <t>Tower B</t>
        </is>
      </c>
      <c r="C347" s="10" t="inlineStr">
        <is>
          <t>L03</t>
        </is>
      </c>
      <c r="D347" s="10" t="inlineStr">
        <is>
          <t>BL03G58</t>
        </is>
      </c>
      <c r="E347" s="10" t="inlineStr">
        <is>
          <t>K01A</t>
        </is>
      </c>
      <c r="F347" s="10" t="inlineStr">
        <is>
          <t>King</t>
        </is>
      </c>
      <c r="H347" s="16" t="n"/>
      <c r="J347" s="16" t="n"/>
      <c r="L347" s="10" t="inlineStr">
        <is>
          <t>Typology drawing R01</t>
        </is>
      </c>
      <c r="M347" s="10">
        <f>Config!$B$3&amp;"?room="&amp;A347</f>
        <v/>
      </c>
    </row>
    <row r="348" ht="15" customHeight="1" s="11">
      <c r="A348" s="10" t="inlineStr">
        <is>
          <t>B-L03-K01A-02</t>
        </is>
      </c>
      <c r="B348" s="10" t="inlineStr">
        <is>
          <t>Tower B</t>
        </is>
      </c>
      <c r="C348" s="10" t="inlineStr">
        <is>
          <t>L03</t>
        </is>
      </c>
      <c r="D348" s="10" t="inlineStr">
        <is>
          <t>BL03G76</t>
        </is>
      </c>
      <c r="E348" s="10" t="inlineStr">
        <is>
          <t>K01A</t>
        </is>
      </c>
      <c r="F348" s="10" t="inlineStr">
        <is>
          <t>King</t>
        </is>
      </c>
      <c r="H348" s="16" t="n"/>
      <c r="J348" s="16" t="n"/>
      <c r="L348" s="10" t="inlineStr">
        <is>
          <t>Typology drawing R01</t>
        </is>
      </c>
      <c r="M348" s="10">
        <f>Config!$B$3&amp;"?room="&amp;A348</f>
        <v/>
      </c>
    </row>
    <row r="349" ht="15" customHeight="1" s="11">
      <c r="A349" s="10" t="inlineStr">
        <is>
          <t>B-L03-K01A-03</t>
        </is>
      </c>
      <c r="B349" s="10" t="inlineStr">
        <is>
          <t>Tower B</t>
        </is>
      </c>
      <c r="C349" s="10" t="inlineStr">
        <is>
          <t>L03</t>
        </is>
      </c>
      <c r="D349" s="10" t="inlineStr">
        <is>
          <t>BL03G84</t>
        </is>
      </c>
      <c r="E349" s="10" t="inlineStr">
        <is>
          <t>K01A</t>
        </is>
      </c>
      <c r="F349" s="10" t="inlineStr">
        <is>
          <t>King</t>
        </is>
      </c>
      <c r="H349" s="16" t="n"/>
      <c r="J349" s="16" t="n"/>
      <c r="L349" s="10" t="inlineStr">
        <is>
          <t>Typology drawing R01</t>
        </is>
      </c>
      <c r="M349" s="10">
        <f>Config!$B$3&amp;"?room="&amp;A349</f>
        <v/>
      </c>
    </row>
    <row r="350" ht="15" customHeight="1" s="11">
      <c r="A350" s="10" t="inlineStr">
        <is>
          <t>B-L03-K01C</t>
        </is>
      </c>
      <c r="B350" s="10" t="inlineStr">
        <is>
          <t>Tower B</t>
        </is>
      </c>
      <c r="C350" s="10" t="inlineStr">
        <is>
          <t>L03</t>
        </is>
      </c>
      <c r="D350" s="10" t="inlineStr">
        <is>
          <t>BL03G81</t>
        </is>
      </c>
      <c r="E350" s="10" t="inlineStr">
        <is>
          <t>K01C</t>
        </is>
      </c>
      <c r="F350" s="10" t="inlineStr">
        <is>
          <t>King</t>
        </is>
      </c>
      <c r="H350" s="16" t="n"/>
      <c r="J350" s="16" t="n"/>
      <c r="L350" s="10" t="inlineStr">
        <is>
          <t>Typology drawing R01</t>
        </is>
      </c>
      <c r="M350" s="10">
        <f>Config!$B$3&amp;"?room="&amp;A350</f>
        <v/>
      </c>
    </row>
    <row r="351" ht="15" customHeight="1" s="11">
      <c r="A351" s="10" t="inlineStr">
        <is>
          <t>B-L03-K01C1-01</t>
        </is>
      </c>
      <c r="B351" s="10" t="inlineStr">
        <is>
          <t>Tower B</t>
        </is>
      </c>
      <c r="C351" s="10" t="inlineStr">
        <is>
          <t>L03</t>
        </is>
      </c>
      <c r="D351" s="10" t="inlineStr">
        <is>
          <t>BL03G72</t>
        </is>
      </c>
      <c r="E351" s="10" t="inlineStr">
        <is>
          <t>K01C1</t>
        </is>
      </c>
      <c r="F351" s="10" t="inlineStr">
        <is>
          <t>King</t>
        </is>
      </c>
      <c r="H351" s="16" t="n"/>
      <c r="J351" s="16" t="n"/>
      <c r="L351" s="10" t="inlineStr">
        <is>
          <t>Typology drawing R01</t>
        </is>
      </c>
      <c r="M351" s="10">
        <f>Config!$B$3&amp;"?room="&amp;A351</f>
        <v/>
      </c>
    </row>
    <row r="352" ht="15" customHeight="1" s="11">
      <c r="A352" s="10" t="inlineStr">
        <is>
          <t>B-L03-K01C1-02</t>
        </is>
      </c>
      <c r="B352" s="10" t="inlineStr">
        <is>
          <t>Tower B</t>
        </is>
      </c>
      <c r="C352" s="10" t="inlineStr">
        <is>
          <t>L03</t>
        </is>
      </c>
      <c r="D352" s="10" t="inlineStr">
        <is>
          <t>BL03G80</t>
        </is>
      </c>
      <c r="E352" s="10" t="inlineStr">
        <is>
          <t>K01C1</t>
        </is>
      </c>
      <c r="F352" s="10" t="inlineStr">
        <is>
          <t>King</t>
        </is>
      </c>
      <c r="H352" s="16" t="n"/>
      <c r="J352" s="16" t="n"/>
      <c r="L352" s="10" t="inlineStr">
        <is>
          <t>Typology drawing R01</t>
        </is>
      </c>
      <c r="M352" s="10">
        <f>Config!$B$3&amp;"?room="&amp;A352</f>
        <v/>
      </c>
    </row>
    <row r="353" ht="15" customHeight="1" s="11">
      <c r="A353" s="10" t="inlineStr">
        <is>
          <t>B-L03-K01D</t>
        </is>
      </c>
      <c r="B353" s="10" t="inlineStr">
        <is>
          <t>Tower B</t>
        </is>
      </c>
      <c r="C353" s="10" t="inlineStr">
        <is>
          <t>L03</t>
        </is>
      </c>
      <c r="D353" s="10" t="inlineStr">
        <is>
          <t>BL03G61</t>
        </is>
      </c>
      <c r="E353" s="10" t="inlineStr">
        <is>
          <t>K01D</t>
        </is>
      </c>
      <c r="F353" s="10" t="inlineStr">
        <is>
          <t>King</t>
        </is>
      </c>
      <c r="H353" s="16" t="n"/>
      <c r="J353" s="16" t="n"/>
      <c r="L353" s="10" t="inlineStr">
        <is>
          <t>Typology drawing R01</t>
        </is>
      </c>
      <c r="M353" s="10">
        <f>Config!$B$3&amp;"?room="&amp;A353</f>
        <v/>
      </c>
    </row>
    <row r="354" ht="15" customHeight="1" s="11">
      <c r="A354" s="10" t="inlineStr">
        <is>
          <t>B-L03-K02-01</t>
        </is>
      </c>
      <c r="B354" s="10" t="inlineStr">
        <is>
          <t>Tower B</t>
        </is>
      </c>
      <c r="C354" s="10" t="inlineStr">
        <is>
          <t>L03</t>
        </is>
      </c>
      <c r="D354" s="10" t="inlineStr">
        <is>
          <t>BL03G55</t>
        </is>
      </c>
      <c r="E354" s="10" t="inlineStr">
        <is>
          <t>K02</t>
        </is>
      </c>
      <c r="F354" s="10" t="inlineStr">
        <is>
          <t>King</t>
        </is>
      </c>
      <c r="H354" s="16" t="n"/>
      <c r="J354" s="16" t="n"/>
      <c r="L354" s="10" t="inlineStr">
        <is>
          <t>Typology drawing R01</t>
        </is>
      </c>
      <c r="M354" s="10">
        <f>Config!$B$3&amp;"?room="&amp;A354</f>
        <v/>
      </c>
    </row>
    <row r="355" ht="15" customHeight="1" s="11">
      <c r="A355" s="10" t="inlineStr">
        <is>
          <t>B-L03-K02-02</t>
        </is>
      </c>
      <c r="B355" s="10" t="inlineStr">
        <is>
          <t>Tower B</t>
        </is>
      </c>
      <c r="C355" s="10" t="inlineStr">
        <is>
          <t>L03</t>
        </is>
      </c>
      <c r="D355" s="10" t="inlineStr">
        <is>
          <t>BL03G71</t>
        </is>
      </c>
      <c r="E355" s="10" t="inlineStr">
        <is>
          <t>K02</t>
        </is>
      </c>
      <c r="F355" s="10" t="inlineStr">
        <is>
          <t>King</t>
        </is>
      </c>
      <c r="H355" s="16" t="n"/>
      <c r="J355" s="16" t="n"/>
      <c r="L355" s="10" t="inlineStr">
        <is>
          <t>Typology drawing R01</t>
        </is>
      </c>
      <c r="M355" s="10">
        <f>Config!$B$3&amp;"?room="&amp;A355</f>
        <v/>
      </c>
    </row>
    <row r="356" ht="15" customHeight="1" s="11">
      <c r="A356" s="10" t="inlineStr">
        <is>
          <t>B-L03-K02-03</t>
        </is>
      </c>
      <c r="B356" s="10" t="inlineStr">
        <is>
          <t>Tower B</t>
        </is>
      </c>
      <c r="C356" s="10" t="inlineStr">
        <is>
          <t>L03</t>
        </is>
      </c>
      <c r="D356" s="10" t="inlineStr">
        <is>
          <t>BL03G79</t>
        </is>
      </c>
      <c r="E356" s="10" t="inlineStr">
        <is>
          <t>K02</t>
        </is>
      </c>
      <c r="F356" s="10" t="inlineStr">
        <is>
          <t>King</t>
        </is>
      </c>
      <c r="H356" s="16" t="n"/>
      <c r="J356" s="16" t="n"/>
      <c r="L356" s="10" t="inlineStr">
        <is>
          <t>Typology drawing R01</t>
        </is>
      </c>
      <c r="M356" s="10">
        <f>Config!$B$3&amp;"?room="&amp;A356</f>
        <v/>
      </c>
    </row>
    <row r="357" ht="15" customHeight="1" s="11">
      <c r="A357" s="10" t="inlineStr">
        <is>
          <t>B-L03-K02A-01</t>
        </is>
      </c>
      <c r="B357" s="10" t="inlineStr">
        <is>
          <t>Tower B</t>
        </is>
      </c>
      <c r="C357" s="10" t="inlineStr">
        <is>
          <t>L03</t>
        </is>
      </c>
      <c r="D357" s="10" t="inlineStr">
        <is>
          <t>BL03G74</t>
        </is>
      </c>
      <c r="E357" s="10" t="inlineStr">
        <is>
          <t>K02A</t>
        </is>
      </c>
      <c r="F357" s="10" t="inlineStr">
        <is>
          <t>King</t>
        </is>
      </c>
      <c r="H357" s="16" t="n"/>
      <c r="J357" s="16" t="n"/>
      <c r="L357" s="10" t="inlineStr">
        <is>
          <t>Typology drawing R01</t>
        </is>
      </c>
      <c r="M357" s="10">
        <f>Config!$B$3&amp;"?room="&amp;A357</f>
        <v/>
      </c>
    </row>
    <row r="358" ht="15" customHeight="1" s="11">
      <c r="A358" s="10" t="inlineStr">
        <is>
          <t>B-L03-K02A-02</t>
        </is>
      </c>
      <c r="B358" s="10" t="inlineStr">
        <is>
          <t>Tower B</t>
        </is>
      </c>
      <c r="C358" s="10" t="inlineStr">
        <is>
          <t>L03</t>
        </is>
      </c>
      <c r="D358" s="10" t="inlineStr">
        <is>
          <t>BL03G82</t>
        </is>
      </c>
      <c r="E358" s="10" t="inlineStr">
        <is>
          <t>K02A</t>
        </is>
      </c>
      <c r="F358" s="10" t="inlineStr">
        <is>
          <t>King</t>
        </is>
      </c>
      <c r="H358" s="16" t="n"/>
      <c r="J358" s="16" t="n"/>
      <c r="L358" s="10" t="inlineStr">
        <is>
          <t>Typology drawing R01</t>
        </is>
      </c>
      <c r="M358" s="10">
        <f>Config!$B$3&amp;"?room="&amp;A358</f>
        <v/>
      </c>
    </row>
    <row r="359" ht="15" customHeight="1" s="11">
      <c r="A359" s="10" t="inlineStr">
        <is>
          <t>B-L03-K02C-01</t>
        </is>
      </c>
      <c r="B359" s="10" t="inlineStr">
        <is>
          <t>Tower B</t>
        </is>
      </c>
      <c r="C359" s="10" t="inlineStr">
        <is>
          <t>L03</t>
        </is>
      </c>
      <c r="D359" s="10" t="inlineStr">
        <is>
          <t>BL03G59</t>
        </is>
      </c>
      <c r="E359" s="10" t="inlineStr">
        <is>
          <t>K02C</t>
        </is>
      </c>
      <c r="F359" s="10" t="inlineStr">
        <is>
          <t>King</t>
        </is>
      </c>
      <c r="H359" s="16" t="n"/>
      <c r="J359" s="16" t="n"/>
      <c r="L359" s="10" t="inlineStr">
        <is>
          <t>Typology drawing R01</t>
        </is>
      </c>
      <c r="M359" s="10">
        <f>Config!$B$3&amp;"?room="&amp;A359</f>
        <v/>
      </c>
    </row>
    <row r="360" ht="15" customHeight="1" s="11">
      <c r="A360" s="10" t="inlineStr">
        <is>
          <t>B-L03-K02C-02</t>
        </is>
      </c>
      <c r="B360" s="10" t="inlineStr">
        <is>
          <t>Tower B</t>
        </is>
      </c>
      <c r="C360" s="10" t="inlineStr">
        <is>
          <t>L03</t>
        </is>
      </c>
      <c r="D360" s="10" t="inlineStr">
        <is>
          <t>BL03G75</t>
        </is>
      </c>
      <c r="E360" s="10" t="inlineStr">
        <is>
          <t>K02C</t>
        </is>
      </c>
      <c r="F360" s="10" t="inlineStr">
        <is>
          <t>King</t>
        </is>
      </c>
      <c r="H360" s="16" t="n"/>
      <c r="J360" s="16" t="n"/>
      <c r="L360" s="10" t="inlineStr">
        <is>
          <t>Typology drawing R01</t>
        </is>
      </c>
      <c r="M360" s="10">
        <f>Config!$B$3&amp;"?room="&amp;A360</f>
        <v/>
      </c>
    </row>
    <row r="361" ht="15" customHeight="1" s="11">
      <c r="A361" s="10" t="inlineStr">
        <is>
          <t>B-L03-K03</t>
        </is>
      </c>
      <c r="B361" s="10" t="inlineStr">
        <is>
          <t>Tower B</t>
        </is>
      </c>
      <c r="C361" s="10" t="inlineStr">
        <is>
          <t>L03</t>
        </is>
      </c>
      <c r="D361" s="10" t="inlineStr">
        <is>
          <t>BL03G89</t>
        </is>
      </c>
      <c r="E361" s="10" t="inlineStr">
        <is>
          <t>K03</t>
        </is>
      </c>
      <c r="F361" s="10" t="inlineStr">
        <is>
          <t>King</t>
        </is>
      </c>
      <c r="H361" s="16" t="n"/>
      <c r="J361" s="16" t="n"/>
      <c r="L361" s="10" t="inlineStr">
        <is>
          <t>Typology drawing R01</t>
        </is>
      </c>
      <c r="M361" s="10">
        <f>Config!$B$3&amp;"?room="&amp;A361</f>
        <v/>
      </c>
    </row>
    <row r="362" ht="15" customHeight="1" s="11">
      <c r="A362" s="10" t="inlineStr">
        <is>
          <t>B-L03-KADA1</t>
        </is>
      </c>
      <c r="B362" s="10" t="inlineStr">
        <is>
          <t>Tower B</t>
        </is>
      </c>
      <c r="C362" s="10" t="inlineStr">
        <is>
          <t>L03</t>
        </is>
      </c>
      <c r="D362" s="10" t="inlineStr">
        <is>
          <t>BL03G60</t>
        </is>
      </c>
      <c r="E362" s="10" t="inlineStr">
        <is>
          <t>KADA1</t>
        </is>
      </c>
      <c r="F362" s="10" t="inlineStr">
        <is>
          <t>King ADA</t>
        </is>
      </c>
      <c r="H362" s="16" t="n"/>
      <c r="J362" s="16" t="n"/>
      <c r="L362" s="10" t="inlineStr">
        <is>
          <t>Typology drawing R01</t>
        </is>
      </c>
      <c r="M362" s="10">
        <f>Config!$B$3&amp;"?room="&amp;A362</f>
        <v/>
      </c>
    </row>
    <row r="363" ht="15" customHeight="1" s="11">
      <c r="A363" s="10" t="inlineStr">
        <is>
          <t>B-L03-Q01C</t>
        </is>
      </c>
      <c r="B363" s="10" t="inlineStr">
        <is>
          <t>Tower B</t>
        </is>
      </c>
      <c r="C363" s="10" t="inlineStr">
        <is>
          <t>L03</t>
        </is>
      </c>
      <c r="D363" s="10" t="inlineStr">
        <is>
          <t>BL03G83</t>
        </is>
      </c>
      <c r="E363" s="10" t="inlineStr">
        <is>
          <t>Q01C</t>
        </is>
      </c>
      <c r="F363" s="10" t="inlineStr">
        <is>
          <t>Queen</t>
        </is>
      </c>
      <c r="H363" s="16" t="n"/>
      <c r="J363" s="16" t="n"/>
      <c r="L363" s="10" t="inlineStr">
        <is>
          <t>Typology drawing R01</t>
        </is>
      </c>
      <c r="M363" s="10">
        <f>Config!$B$3&amp;"?room="&amp;A363</f>
        <v/>
      </c>
    </row>
    <row r="364" ht="15" customHeight="1" s="11">
      <c r="A364" s="10" t="inlineStr">
        <is>
          <t>B-L03-Q01C1-01</t>
        </is>
      </c>
      <c r="B364" s="10" t="inlineStr">
        <is>
          <t>Tower B</t>
        </is>
      </c>
      <c r="C364" s="10" t="inlineStr">
        <is>
          <t>L03</t>
        </is>
      </c>
      <c r="D364" s="10" t="inlineStr">
        <is>
          <t>BL03G64</t>
        </is>
      </c>
      <c r="E364" s="10" t="inlineStr">
        <is>
          <t>Q01C1</t>
        </is>
      </c>
      <c r="F364" s="10" t="inlineStr">
        <is>
          <t>Queen</t>
        </is>
      </c>
      <c r="H364" s="16" t="n"/>
      <c r="J364" s="16" t="n"/>
      <c r="L364" s="10" t="inlineStr">
        <is>
          <t>Typology drawing R01</t>
        </is>
      </c>
      <c r="M364" s="10">
        <f>Config!$B$3&amp;"?room="&amp;A364</f>
        <v/>
      </c>
    </row>
    <row r="365" ht="15" customHeight="1" s="11">
      <c r="A365" s="10" t="inlineStr">
        <is>
          <t>B-L03-Q01C1-02</t>
        </is>
      </c>
      <c r="B365" s="10" t="inlineStr">
        <is>
          <t>Tower B</t>
        </is>
      </c>
      <c r="C365" s="10" t="inlineStr">
        <is>
          <t>L03</t>
        </is>
      </c>
      <c r="D365" s="10" t="inlineStr">
        <is>
          <t>BL03G70</t>
        </is>
      </c>
      <c r="E365" s="10" t="inlineStr">
        <is>
          <t>Q01C1</t>
        </is>
      </c>
      <c r="F365" s="10" t="inlineStr">
        <is>
          <t>Queen</t>
        </is>
      </c>
      <c r="H365" s="16" t="n"/>
      <c r="J365" s="16" t="n"/>
      <c r="L365" s="10" t="inlineStr">
        <is>
          <t>Typology drawing R01</t>
        </is>
      </c>
      <c r="M365" s="10">
        <f>Config!$B$3&amp;"?room="&amp;A365</f>
        <v/>
      </c>
    </row>
    <row r="366" ht="15" customHeight="1" s="11">
      <c r="A366" s="10" t="inlineStr">
        <is>
          <t>B-L03-Q01C1-03</t>
        </is>
      </c>
      <c r="B366" s="10" t="inlineStr">
        <is>
          <t>Tower B</t>
        </is>
      </c>
      <c r="C366" s="10" t="inlineStr">
        <is>
          <t>L03</t>
        </is>
      </c>
      <c r="D366" s="10" t="inlineStr">
        <is>
          <t>BL03G78</t>
        </is>
      </c>
      <c r="E366" s="10" t="inlineStr">
        <is>
          <t>Q01C1</t>
        </is>
      </c>
      <c r="F366" s="10" t="inlineStr">
        <is>
          <t>Queen</t>
        </is>
      </c>
      <c r="H366" s="16" t="n"/>
      <c r="J366" s="16" t="n"/>
      <c r="L366" s="10" t="inlineStr">
        <is>
          <t>Typology drawing R01</t>
        </is>
      </c>
      <c r="M366" s="10">
        <f>Config!$B$3&amp;"?room="&amp;A366</f>
        <v/>
      </c>
    </row>
    <row r="367" ht="15" customHeight="1" s="11">
      <c r="A367" s="10" t="inlineStr">
        <is>
          <t>B-L03-Q02C-01</t>
        </is>
      </c>
      <c r="B367" s="10" t="inlineStr">
        <is>
          <t>Tower B</t>
        </is>
      </c>
      <c r="C367" s="10" t="inlineStr">
        <is>
          <t>L03</t>
        </is>
      </c>
      <c r="D367" s="10" t="inlineStr">
        <is>
          <t>BL03G57</t>
        </is>
      </c>
      <c r="E367" s="10" t="inlineStr">
        <is>
          <t>Q02C</t>
        </is>
      </c>
      <c r="F367" s="10" t="inlineStr">
        <is>
          <t>Queen</t>
        </is>
      </c>
      <c r="H367" s="16" t="n"/>
      <c r="J367" s="16" t="n"/>
      <c r="L367" s="10" t="inlineStr">
        <is>
          <t>Typology drawing R01</t>
        </is>
      </c>
      <c r="M367" s="10">
        <f>Config!$B$3&amp;"?room="&amp;A367</f>
        <v/>
      </c>
    </row>
    <row r="368" ht="15" customHeight="1" s="11">
      <c r="A368" s="10" t="inlineStr">
        <is>
          <t>B-L03-Q02C-02</t>
        </is>
      </c>
      <c r="B368" s="10" t="inlineStr">
        <is>
          <t>Tower B</t>
        </is>
      </c>
      <c r="C368" s="10" t="inlineStr">
        <is>
          <t>L03</t>
        </is>
      </c>
      <c r="D368" s="10" t="inlineStr">
        <is>
          <t>BL03G73</t>
        </is>
      </c>
      <c r="E368" s="10" t="inlineStr">
        <is>
          <t>Q02C</t>
        </is>
      </c>
      <c r="F368" s="10" t="inlineStr">
        <is>
          <t>Queen</t>
        </is>
      </c>
      <c r="H368" s="16" t="n"/>
      <c r="J368" s="16" t="n"/>
      <c r="L368" s="10" t="inlineStr">
        <is>
          <t>Typology drawing R01</t>
        </is>
      </c>
      <c r="M368" s="10">
        <f>Config!$B$3&amp;"?room="&amp;A368</f>
        <v/>
      </c>
    </row>
    <row r="369" ht="15" customHeight="1" s="11">
      <c r="A369" s="10" t="inlineStr">
        <is>
          <t>B-L03-Q02C-03</t>
        </is>
      </c>
      <c r="B369" s="10" t="inlineStr">
        <is>
          <t>Tower B</t>
        </is>
      </c>
      <c r="C369" s="10" t="inlineStr">
        <is>
          <t>L03</t>
        </is>
      </c>
      <c r="D369" s="10" t="inlineStr">
        <is>
          <t>BL03G87</t>
        </is>
      </c>
      <c r="E369" s="10" t="inlineStr">
        <is>
          <t>Q02C</t>
        </is>
      </c>
      <c r="F369" s="10" t="inlineStr">
        <is>
          <t>Queen</t>
        </is>
      </c>
      <c r="H369" s="16" t="n"/>
      <c r="J369" s="16" t="n"/>
      <c r="L369" s="10" t="inlineStr">
        <is>
          <t>Typology drawing R01</t>
        </is>
      </c>
      <c r="M369" s="10">
        <f>Config!$B$3&amp;"?room="&amp;A369</f>
        <v/>
      </c>
    </row>
    <row r="370" ht="15" customHeight="1" s="11">
      <c r="A370" s="10" t="inlineStr">
        <is>
          <t>B-L03-Q02C1</t>
        </is>
      </c>
      <c r="B370" s="10" t="inlineStr">
        <is>
          <t>Tower B</t>
        </is>
      </c>
      <c r="C370" s="10" t="inlineStr">
        <is>
          <t>L03</t>
        </is>
      </c>
      <c r="D370" s="10" t="inlineStr">
        <is>
          <t>BL03G62</t>
        </is>
      </c>
      <c r="E370" s="10" t="inlineStr">
        <is>
          <t>Q02C1</t>
        </is>
      </c>
      <c r="F370" s="10" t="inlineStr">
        <is>
          <t>Queen</t>
        </is>
      </c>
      <c r="H370" s="16" t="n"/>
      <c r="J370" s="16" t="n"/>
      <c r="L370" s="10" t="inlineStr">
        <is>
          <t>Typology drawing R01</t>
        </is>
      </c>
      <c r="M370" s="10">
        <f>Config!$B$3&amp;"?room="&amp;A370</f>
        <v/>
      </c>
    </row>
    <row r="371" ht="15" customHeight="1" s="11">
      <c r="A371" s="10" t="inlineStr">
        <is>
          <t>B-L03-Q02D</t>
        </is>
      </c>
      <c r="B371" s="10" t="inlineStr">
        <is>
          <t>Tower B</t>
        </is>
      </c>
      <c r="C371" s="10" t="inlineStr">
        <is>
          <t>L03</t>
        </is>
      </c>
      <c r="D371" s="10" t="inlineStr">
        <is>
          <t>BL03G85</t>
        </is>
      </c>
      <c r="E371" s="10" t="inlineStr">
        <is>
          <t>Q02D</t>
        </is>
      </c>
      <c r="F371" s="10" t="inlineStr">
        <is>
          <t>Queen</t>
        </is>
      </c>
      <c r="H371" s="16" t="n"/>
      <c r="J371" s="16" t="n"/>
      <c r="L371" s="10" t="inlineStr">
        <is>
          <t>Typology drawing R01</t>
        </is>
      </c>
      <c r="M371" s="10">
        <f>Config!$B$3&amp;"?room="&amp;A371</f>
        <v/>
      </c>
    </row>
    <row r="372" ht="15" customHeight="1" s="11">
      <c r="A372" s="10" t="inlineStr">
        <is>
          <t>B-L03-Q04</t>
        </is>
      </c>
      <c r="B372" s="10" t="inlineStr">
        <is>
          <t>Tower B</t>
        </is>
      </c>
      <c r="C372" s="10" t="inlineStr">
        <is>
          <t>L03</t>
        </is>
      </c>
      <c r="D372" s="10" t="inlineStr">
        <is>
          <t>BL03G69</t>
        </is>
      </c>
      <c r="E372" s="10" t="inlineStr">
        <is>
          <t>Q04</t>
        </is>
      </c>
      <c r="F372" s="10" t="inlineStr">
        <is>
          <t>Queen</t>
        </is>
      </c>
      <c r="H372" s="16" t="n"/>
      <c r="J372" s="16" t="n"/>
      <c r="L372" s="10" t="inlineStr">
        <is>
          <t>Typology drawing R01</t>
        </is>
      </c>
      <c r="M372" s="10">
        <f>Config!$B$3&amp;"?room="&amp;A372</f>
        <v/>
      </c>
    </row>
    <row r="373" ht="15" customHeight="1" s="11">
      <c r="A373" s="10" t="inlineStr">
        <is>
          <t>B-L03-Q05</t>
        </is>
      </c>
      <c r="B373" s="10" t="inlineStr">
        <is>
          <t>Tower B</t>
        </is>
      </c>
      <c r="C373" s="10" t="inlineStr">
        <is>
          <t>L03</t>
        </is>
      </c>
      <c r="D373" s="10" t="inlineStr">
        <is>
          <t>BL03G51</t>
        </is>
      </c>
      <c r="E373" s="10" t="inlineStr">
        <is>
          <t>Q05</t>
        </is>
      </c>
      <c r="F373" s="10" t="inlineStr">
        <is>
          <t>Queen</t>
        </is>
      </c>
      <c r="H373" s="16" t="n"/>
      <c r="J373" s="16" t="n"/>
      <c r="L373" s="10" t="inlineStr">
        <is>
          <t>Typology drawing R01</t>
        </is>
      </c>
      <c r="M373" s="10">
        <f>Config!$B$3&amp;"?room="&amp;A373</f>
        <v/>
      </c>
    </row>
    <row r="374" ht="15" customHeight="1" s="11">
      <c r="A374" s="10" t="inlineStr">
        <is>
          <t>B-L03-Q06</t>
        </is>
      </c>
      <c r="B374" s="10" t="inlineStr">
        <is>
          <t>Tower B</t>
        </is>
      </c>
      <c r="C374" s="10" t="inlineStr">
        <is>
          <t>L03</t>
        </is>
      </c>
      <c r="D374" s="10" t="inlineStr">
        <is>
          <t>BL03G86</t>
        </is>
      </c>
      <c r="E374" s="10" t="inlineStr">
        <is>
          <t>Q06</t>
        </is>
      </c>
      <c r="F374" s="10" t="inlineStr">
        <is>
          <t>Queen</t>
        </is>
      </c>
      <c r="H374" s="16" t="n"/>
      <c r="J374" s="16" t="n"/>
      <c r="L374" s="10" t="inlineStr">
        <is>
          <t>Typology drawing R01</t>
        </is>
      </c>
      <c r="M374" s="10">
        <f>Config!$B$3&amp;"?room="&amp;A374</f>
        <v/>
      </c>
    </row>
    <row r="375" ht="15" customHeight="1" s="11">
      <c r="A375" s="10" t="inlineStr">
        <is>
          <t>B-L03-S03</t>
        </is>
      </c>
      <c r="B375" s="10" t="inlineStr">
        <is>
          <t>Tower B</t>
        </is>
      </c>
      <c r="C375" s="10" t="inlineStr">
        <is>
          <t>L03</t>
        </is>
      </c>
      <c r="D375" s="10" t="inlineStr">
        <is>
          <t>BL03G66</t>
        </is>
      </c>
      <c r="E375" s="10" t="inlineStr">
        <is>
          <t>S03</t>
        </is>
      </c>
      <c r="F375" s="10" t="inlineStr">
        <is>
          <t>Suite</t>
        </is>
      </c>
      <c r="H375" s="16" t="n"/>
      <c r="J375" s="16" t="n"/>
      <c r="L375" s="10" t="inlineStr">
        <is>
          <t>Typology drawing R01</t>
        </is>
      </c>
      <c r="M375" s="10">
        <f>Config!$B$3&amp;"?room="&amp;A375</f>
        <v/>
      </c>
    </row>
    <row r="376" ht="15" customHeight="1" s="11">
      <c r="A376" s="10" t="inlineStr">
        <is>
          <t>B-L03-S07</t>
        </is>
      </c>
      <c r="B376" s="10" t="inlineStr">
        <is>
          <t>Tower B</t>
        </is>
      </c>
      <c r="C376" s="10" t="inlineStr">
        <is>
          <t>L03</t>
        </is>
      </c>
      <c r="D376" s="10" t="inlineStr">
        <is>
          <t>BL03G49</t>
        </is>
      </c>
      <c r="E376" s="10" t="inlineStr">
        <is>
          <t>S07</t>
        </is>
      </c>
      <c r="F376" s="10" t="inlineStr">
        <is>
          <t>Suite</t>
        </is>
      </c>
      <c r="H376" s="16" t="n"/>
      <c r="J376" s="16" t="n"/>
      <c r="L376" s="10" t="inlineStr">
        <is>
          <t>Typology drawing R01</t>
        </is>
      </c>
      <c r="M376" s="10">
        <f>Config!$B$3&amp;"?room="&amp;A376</f>
        <v/>
      </c>
    </row>
    <row r="377" ht="15" customHeight="1" s="11">
      <c r="A377" s="10" t="inlineStr">
        <is>
          <t>B-L04-F02</t>
        </is>
      </c>
      <c r="B377" s="10" t="inlineStr">
        <is>
          <t>Tower B</t>
        </is>
      </c>
      <c r="C377" s="10" t="inlineStr">
        <is>
          <t>L04</t>
        </is>
      </c>
      <c r="D377" s="10" t="inlineStr">
        <is>
          <t>BL04G90</t>
        </is>
      </c>
      <c r="E377" s="10" t="inlineStr">
        <is>
          <t>F02</t>
        </is>
      </c>
      <c r="F377" s="10" t="inlineStr">
        <is>
          <t>Family</t>
        </is>
      </c>
      <c r="H377" s="16" t="n"/>
      <c r="J377" s="16" t="n"/>
      <c r="L377" s="10" t="inlineStr">
        <is>
          <t>Typology drawing R01</t>
        </is>
      </c>
      <c r="M377" s="10">
        <f>Config!$B$3&amp;"?room="&amp;A377</f>
        <v/>
      </c>
    </row>
    <row r="378" ht="15" customHeight="1" s="11">
      <c r="A378" s="10" t="inlineStr">
        <is>
          <t>B-L04-F06</t>
        </is>
      </c>
      <c r="B378" s="10" t="inlineStr">
        <is>
          <t>Tower B</t>
        </is>
      </c>
      <c r="C378" s="10" t="inlineStr">
        <is>
          <t>L04</t>
        </is>
      </c>
      <c r="D378" s="10" t="inlineStr">
        <is>
          <t>BL04G63</t>
        </is>
      </c>
      <c r="E378" s="10" t="inlineStr">
        <is>
          <t>F06</t>
        </is>
      </c>
      <c r="F378" s="10" t="inlineStr">
        <is>
          <t>Family</t>
        </is>
      </c>
      <c r="H378" s="16" t="n"/>
      <c r="J378" s="16" t="n"/>
      <c r="L378" s="10" t="inlineStr">
        <is>
          <t>Typology drawing R01</t>
        </is>
      </c>
      <c r="M378" s="10">
        <f>Config!$B$3&amp;"?room="&amp;A378</f>
        <v/>
      </c>
    </row>
    <row r="379" ht="15" customHeight="1" s="11">
      <c r="A379" s="10" t="inlineStr">
        <is>
          <t>B-L04-K01-01</t>
        </is>
      </c>
      <c r="B379" s="10" t="inlineStr">
        <is>
          <t>Tower B</t>
        </is>
      </c>
      <c r="C379" s="10" t="inlineStr">
        <is>
          <t>L04</t>
        </is>
      </c>
      <c r="D379" s="10" t="inlineStr">
        <is>
          <t>BL04G53</t>
        </is>
      </c>
      <c r="E379" s="10" t="inlineStr">
        <is>
          <t>K01</t>
        </is>
      </c>
      <c r="F379" s="10" t="inlineStr">
        <is>
          <t>King</t>
        </is>
      </c>
      <c r="H379" s="16" t="n"/>
      <c r="J379" s="16" t="n"/>
      <c r="L379" s="10" t="inlineStr">
        <is>
          <t>Typology drawing R01</t>
        </is>
      </c>
      <c r="M379" s="10">
        <f>Config!$B$3&amp;"?room="&amp;A379</f>
        <v/>
      </c>
    </row>
    <row r="380" ht="15" customHeight="1" s="11">
      <c r="A380" s="10" t="inlineStr">
        <is>
          <t>B-L04-K01-02</t>
        </is>
      </c>
      <c r="B380" s="10" t="inlineStr">
        <is>
          <t>Tower B</t>
        </is>
      </c>
      <c r="C380" s="10" t="inlineStr">
        <is>
          <t>L04</t>
        </is>
      </c>
      <c r="D380" s="10" t="inlineStr">
        <is>
          <t>BL04G77</t>
        </is>
      </c>
      <c r="E380" s="10" t="inlineStr">
        <is>
          <t>K01</t>
        </is>
      </c>
      <c r="F380" s="10" t="inlineStr">
        <is>
          <t>King</t>
        </is>
      </c>
      <c r="H380" s="16" t="n"/>
      <c r="J380" s="16" t="n"/>
      <c r="L380" s="10" t="inlineStr">
        <is>
          <t>Typology drawing R01</t>
        </is>
      </c>
      <c r="M380" s="10">
        <f>Config!$B$3&amp;"?room="&amp;A380</f>
        <v/>
      </c>
    </row>
    <row r="381" ht="15" customHeight="1" s="11">
      <c r="A381" s="10" t="inlineStr">
        <is>
          <t>B-L04-K01A-01</t>
        </is>
      </c>
      <c r="B381" s="10" t="inlineStr">
        <is>
          <t>Tower B</t>
        </is>
      </c>
      <c r="C381" s="10" t="inlineStr">
        <is>
          <t>L04</t>
        </is>
      </c>
      <c r="D381" s="10" t="inlineStr">
        <is>
          <t>BL04G58</t>
        </is>
      </c>
      <c r="E381" s="10" t="inlineStr">
        <is>
          <t>K01A</t>
        </is>
      </c>
      <c r="F381" s="10" t="inlineStr">
        <is>
          <t>King</t>
        </is>
      </c>
      <c r="H381" s="16" t="n"/>
      <c r="J381" s="16" t="n"/>
      <c r="L381" s="10" t="inlineStr">
        <is>
          <t>Typology drawing R01</t>
        </is>
      </c>
      <c r="M381" s="10">
        <f>Config!$B$3&amp;"?room="&amp;A381</f>
        <v/>
      </c>
    </row>
    <row r="382" ht="15" customHeight="1" s="11">
      <c r="A382" s="10" t="inlineStr">
        <is>
          <t>B-L04-K01A-02</t>
        </is>
      </c>
      <c r="B382" s="10" t="inlineStr">
        <is>
          <t>Tower B</t>
        </is>
      </c>
      <c r="C382" s="10" t="inlineStr">
        <is>
          <t>L04</t>
        </is>
      </c>
      <c r="D382" s="10" t="inlineStr">
        <is>
          <t>BL04G76</t>
        </is>
      </c>
      <c r="E382" s="10" t="inlineStr">
        <is>
          <t>K01A</t>
        </is>
      </c>
      <c r="F382" s="10" t="inlineStr">
        <is>
          <t>King</t>
        </is>
      </c>
      <c r="H382" s="16" t="n"/>
      <c r="J382" s="16" t="n"/>
      <c r="L382" s="10" t="inlineStr">
        <is>
          <t>Typology drawing R01</t>
        </is>
      </c>
      <c r="M382" s="10">
        <f>Config!$B$3&amp;"?room="&amp;A382</f>
        <v/>
      </c>
    </row>
    <row r="383" ht="15" customHeight="1" s="11">
      <c r="A383" s="10" t="inlineStr">
        <is>
          <t>B-L04-K01A-03</t>
        </is>
      </c>
      <c r="B383" s="10" t="inlineStr">
        <is>
          <t>Tower B</t>
        </is>
      </c>
      <c r="C383" s="10" t="inlineStr">
        <is>
          <t>L04</t>
        </is>
      </c>
      <c r="D383" s="10" t="inlineStr">
        <is>
          <t>BL04G84</t>
        </is>
      </c>
      <c r="E383" s="10" t="inlineStr">
        <is>
          <t>K01A</t>
        </is>
      </c>
      <c r="F383" s="10" t="inlineStr">
        <is>
          <t>King</t>
        </is>
      </c>
      <c r="H383" s="16" t="n"/>
      <c r="J383" s="16" t="n"/>
      <c r="L383" s="10" t="inlineStr">
        <is>
          <t>Typology drawing R01</t>
        </is>
      </c>
      <c r="M383" s="10">
        <f>Config!$B$3&amp;"?room="&amp;A383</f>
        <v/>
      </c>
    </row>
    <row r="384" ht="15" customHeight="1" s="11">
      <c r="A384" s="10" t="inlineStr">
        <is>
          <t>B-L04-K01C</t>
        </is>
      </c>
      <c r="B384" s="10" t="inlineStr">
        <is>
          <t>Tower B</t>
        </is>
      </c>
      <c r="C384" s="10" t="inlineStr">
        <is>
          <t>L04</t>
        </is>
      </c>
      <c r="D384" s="10" t="inlineStr">
        <is>
          <t>BL04G81</t>
        </is>
      </c>
      <c r="E384" s="10" t="inlineStr">
        <is>
          <t>K01C</t>
        </is>
      </c>
      <c r="F384" s="10" t="inlineStr">
        <is>
          <t>King</t>
        </is>
      </c>
      <c r="H384" s="16" t="n"/>
      <c r="J384" s="16" t="n"/>
      <c r="L384" s="10" t="inlineStr">
        <is>
          <t>Typology drawing R01</t>
        </is>
      </c>
      <c r="M384" s="10">
        <f>Config!$B$3&amp;"?room="&amp;A384</f>
        <v/>
      </c>
    </row>
    <row r="385" ht="15" customHeight="1" s="11">
      <c r="A385" s="10" t="inlineStr">
        <is>
          <t>B-L04-K01C1-01</t>
        </is>
      </c>
      <c r="B385" s="10" t="inlineStr">
        <is>
          <t>Tower B</t>
        </is>
      </c>
      <c r="C385" s="10" t="inlineStr">
        <is>
          <t>L04</t>
        </is>
      </c>
      <c r="D385" s="10" t="inlineStr">
        <is>
          <t>BL04G72</t>
        </is>
      </c>
      <c r="E385" s="10" t="inlineStr">
        <is>
          <t>K01C1</t>
        </is>
      </c>
      <c r="F385" s="10" t="inlineStr">
        <is>
          <t>King</t>
        </is>
      </c>
      <c r="H385" s="16" t="n"/>
      <c r="J385" s="16" t="n"/>
      <c r="L385" s="10" t="inlineStr">
        <is>
          <t>Typology drawing R01</t>
        </is>
      </c>
      <c r="M385" s="10">
        <f>Config!$B$3&amp;"?room="&amp;A385</f>
        <v/>
      </c>
    </row>
    <row r="386" ht="15" customHeight="1" s="11">
      <c r="A386" s="10" t="inlineStr">
        <is>
          <t>B-L04-K01C1-02</t>
        </is>
      </c>
      <c r="B386" s="10" t="inlineStr">
        <is>
          <t>Tower B</t>
        </is>
      </c>
      <c r="C386" s="10" t="inlineStr">
        <is>
          <t>L04</t>
        </is>
      </c>
      <c r="D386" s="10" t="inlineStr">
        <is>
          <t>BL04G80</t>
        </is>
      </c>
      <c r="E386" s="10" t="inlineStr">
        <is>
          <t>K01C1</t>
        </is>
      </c>
      <c r="F386" s="10" t="inlineStr">
        <is>
          <t>King</t>
        </is>
      </c>
      <c r="H386" s="16" t="n"/>
      <c r="J386" s="16" t="n"/>
      <c r="L386" s="10" t="inlineStr">
        <is>
          <t>Typology drawing R01</t>
        </is>
      </c>
      <c r="M386" s="10">
        <f>Config!$B$3&amp;"?room="&amp;A386</f>
        <v/>
      </c>
    </row>
    <row r="387" ht="15" customHeight="1" s="11">
      <c r="A387" s="10" t="inlineStr">
        <is>
          <t>B-L04-K01D</t>
        </is>
      </c>
      <c r="B387" s="10" t="inlineStr">
        <is>
          <t>Tower B</t>
        </is>
      </c>
      <c r="C387" s="10" t="inlineStr">
        <is>
          <t>L04</t>
        </is>
      </c>
      <c r="D387" s="10" t="inlineStr">
        <is>
          <t>BL04G61</t>
        </is>
      </c>
      <c r="E387" s="10" t="inlineStr">
        <is>
          <t>K01D</t>
        </is>
      </c>
      <c r="F387" s="10" t="inlineStr">
        <is>
          <t>King</t>
        </is>
      </c>
      <c r="H387" s="16" t="n"/>
      <c r="J387" s="16" t="n"/>
      <c r="L387" s="10" t="inlineStr">
        <is>
          <t>Typology drawing R01</t>
        </is>
      </c>
      <c r="M387" s="10">
        <f>Config!$B$3&amp;"?room="&amp;A387</f>
        <v/>
      </c>
    </row>
    <row r="388" ht="15" customHeight="1" s="11">
      <c r="A388" s="10" t="inlineStr">
        <is>
          <t>B-L04-K02-01</t>
        </is>
      </c>
      <c r="B388" s="10" t="inlineStr">
        <is>
          <t>Tower B</t>
        </is>
      </c>
      <c r="C388" s="10" t="inlineStr">
        <is>
          <t>L04</t>
        </is>
      </c>
      <c r="D388" s="10" t="inlineStr">
        <is>
          <t>BL04G55</t>
        </is>
      </c>
      <c r="E388" s="10" t="inlineStr">
        <is>
          <t>K02</t>
        </is>
      </c>
      <c r="F388" s="10" t="inlineStr">
        <is>
          <t>King</t>
        </is>
      </c>
      <c r="H388" s="16" t="n"/>
      <c r="J388" s="16" t="n"/>
      <c r="L388" s="10" t="inlineStr">
        <is>
          <t>Typology drawing R01</t>
        </is>
      </c>
      <c r="M388" s="10">
        <f>Config!$B$3&amp;"?room="&amp;A388</f>
        <v/>
      </c>
    </row>
    <row r="389" ht="15" customHeight="1" s="11">
      <c r="A389" s="10" t="inlineStr">
        <is>
          <t>B-L04-K02-02</t>
        </is>
      </c>
      <c r="B389" s="10" t="inlineStr">
        <is>
          <t>Tower B</t>
        </is>
      </c>
      <c r="C389" s="10" t="inlineStr">
        <is>
          <t>L04</t>
        </is>
      </c>
      <c r="D389" s="10" t="inlineStr">
        <is>
          <t>BL04G71</t>
        </is>
      </c>
      <c r="E389" s="10" t="inlineStr">
        <is>
          <t>K02</t>
        </is>
      </c>
      <c r="F389" s="10" t="inlineStr">
        <is>
          <t>King</t>
        </is>
      </c>
      <c r="H389" s="16" t="n"/>
      <c r="J389" s="16" t="n"/>
      <c r="L389" s="10" t="inlineStr">
        <is>
          <t>Typology drawing R01</t>
        </is>
      </c>
      <c r="M389" s="10">
        <f>Config!$B$3&amp;"?room="&amp;A389</f>
        <v/>
      </c>
    </row>
    <row r="390" ht="15" customHeight="1" s="11">
      <c r="A390" s="10" t="inlineStr">
        <is>
          <t>B-L04-K02-03</t>
        </is>
      </c>
      <c r="B390" s="10" t="inlineStr">
        <is>
          <t>Tower B</t>
        </is>
      </c>
      <c r="C390" s="10" t="inlineStr">
        <is>
          <t>L04</t>
        </is>
      </c>
      <c r="D390" s="10" t="inlineStr">
        <is>
          <t>BL04G79</t>
        </is>
      </c>
      <c r="E390" s="10" t="inlineStr">
        <is>
          <t>K02</t>
        </is>
      </c>
      <c r="F390" s="10" t="inlineStr">
        <is>
          <t>King</t>
        </is>
      </c>
      <c r="H390" s="16" t="n"/>
      <c r="J390" s="16" t="n"/>
      <c r="L390" s="10" t="inlineStr">
        <is>
          <t>Typology drawing R01</t>
        </is>
      </c>
      <c r="M390" s="10">
        <f>Config!$B$3&amp;"?room="&amp;A390</f>
        <v/>
      </c>
    </row>
    <row r="391" ht="15" customHeight="1" s="11">
      <c r="A391" s="10" t="inlineStr">
        <is>
          <t>B-L04-K02A-01</t>
        </is>
      </c>
      <c r="B391" s="10" t="inlineStr">
        <is>
          <t>Tower B</t>
        </is>
      </c>
      <c r="C391" s="10" t="inlineStr">
        <is>
          <t>L04</t>
        </is>
      </c>
      <c r="D391" s="10" t="inlineStr">
        <is>
          <t>BL04G74</t>
        </is>
      </c>
      <c r="E391" s="10" t="inlineStr">
        <is>
          <t>K02A</t>
        </is>
      </c>
      <c r="F391" s="10" t="inlineStr">
        <is>
          <t>King</t>
        </is>
      </c>
      <c r="H391" s="16" t="n"/>
      <c r="J391" s="16" t="n"/>
      <c r="L391" s="10" t="inlineStr">
        <is>
          <t>Typology drawing R01</t>
        </is>
      </c>
      <c r="M391" s="10">
        <f>Config!$B$3&amp;"?room="&amp;A391</f>
        <v/>
      </c>
    </row>
    <row r="392" ht="15" customHeight="1" s="11">
      <c r="A392" s="10" t="inlineStr">
        <is>
          <t>B-L04-K02A-02</t>
        </is>
      </c>
      <c r="B392" s="10" t="inlineStr">
        <is>
          <t>Tower B</t>
        </is>
      </c>
      <c r="C392" s="10" t="inlineStr">
        <is>
          <t>L04</t>
        </is>
      </c>
      <c r="D392" s="10" t="inlineStr">
        <is>
          <t>BL04G82</t>
        </is>
      </c>
      <c r="E392" s="10" t="inlineStr">
        <is>
          <t>K02A</t>
        </is>
      </c>
      <c r="F392" s="10" t="inlineStr">
        <is>
          <t>King</t>
        </is>
      </c>
      <c r="H392" s="16" t="n"/>
      <c r="J392" s="16" t="n"/>
      <c r="L392" s="10" t="inlineStr">
        <is>
          <t>Typology drawing R01</t>
        </is>
      </c>
      <c r="M392" s="10">
        <f>Config!$B$3&amp;"?room="&amp;A392</f>
        <v/>
      </c>
    </row>
    <row r="393" ht="15" customHeight="1" s="11">
      <c r="A393" s="10" t="inlineStr">
        <is>
          <t>B-L04-K02C-01</t>
        </is>
      </c>
      <c r="B393" s="10" t="inlineStr">
        <is>
          <t>Tower B</t>
        </is>
      </c>
      <c r="C393" s="10" t="inlineStr">
        <is>
          <t>L04</t>
        </is>
      </c>
      <c r="D393" s="10" t="inlineStr">
        <is>
          <t>BL04G59</t>
        </is>
      </c>
      <c r="E393" s="10" t="inlineStr">
        <is>
          <t>K02C</t>
        </is>
      </c>
      <c r="F393" s="10" t="inlineStr">
        <is>
          <t>King</t>
        </is>
      </c>
      <c r="H393" s="16" t="n"/>
      <c r="J393" s="16" t="n"/>
      <c r="L393" s="10" t="inlineStr">
        <is>
          <t>Typology drawing R01</t>
        </is>
      </c>
      <c r="M393" s="10">
        <f>Config!$B$3&amp;"?room="&amp;A393</f>
        <v/>
      </c>
    </row>
    <row r="394" ht="15" customHeight="1" s="11">
      <c r="A394" s="10" t="inlineStr">
        <is>
          <t>B-L04-K02C-02</t>
        </is>
      </c>
      <c r="B394" s="10" t="inlineStr">
        <is>
          <t>Tower B</t>
        </is>
      </c>
      <c r="C394" s="10" t="inlineStr">
        <is>
          <t>L04</t>
        </is>
      </c>
      <c r="D394" s="10" t="inlineStr">
        <is>
          <t>BL04G75</t>
        </is>
      </c>
      <c r="E394" s="10" t="inlineStr">
        <is>
          <t>K02C</t>
        </is>
      </c>
      <c r="F394" s="10" t="inlineStr">
        <is>
          <t>King</t>
        </is>
      </c>
      <c r="H394" s="16" t="n"/>
      <c r="J394" s="16" t="n"/>
      <c r="L394" s="10" t="inlineStr">
        <is>
          <t>Typology drawing R01</t>
        </is>
      </c>
      <c r="M394" s="10">
        <f>Config!$B$3&amp;"?room="&amp;A394</f>
        <v/>
      </c>
    </row>
    <row r="395" ht="15" customHeight="1" s="11">
      <c r="A395" s="10" t="inlineStr">
        <is>
          <t>B-L04-K03</t>
        </is>
      </c>
      <c r="B395" s="10" t="inlineStr">
        <is>
          <t>Tower B</t>
        </is>
      </c>
      <c r="C395" s="10" t="inlineStr">
        <is>
          <t>L04</t>
        </is>
      </c>
      <c r="D395" s="10" t="inlineStr">
        <is>
          <t>BL04G89</t>
        </is>
      </c>
      <c r="E395" s="10" t="inlineStr">
        <is>
          <t>K03</t>
        </is>
      </c>
      <c r="F395" s="10" t="inlineStr">
        <is>
          <t>King</t>
        </is>
      </c>
      <c r="H395" s="16" t="n"/>
      <c r="J395" s="16" t="n"/>
      <c r="L395" s="10" t="inlineStr">
        <is>
          <t>Typology drawing R01</t>
        </is>
      </c>
      <c r="M395" s="10">
        <f>Config!$B$3&amp;"?room="&amp;A395</f>
        <v/>
      </c>
    </row>
    <row r="396" ht="15" customHeight="1" s="11">
      <c r="A396" s="10" t="inlineStr">
        <is>
          <t>B-L04-KADA2</t>
        </is>
      </c>
      <c r="B396" s="10" t="inlineStr">
        <is>
          <t>Tower B</t>
        </is>
      </c>
      <c r="C396" s="10" t="inlineStr">
        <is>
          <t>L04</t>
        </is>
      </c>
      <c r="D396" s="10" t="inlineStr">
        <is>
          <t>BL04G60</t>
        </is>
      </c>
      <c r="E396" s="10" t="inlineStr">
        <is>
          <t>KADA2</t>
        </is>
      </c>
      <c r="F396" s="10" t="inlineStr">
        <is>
          <t>King ADA</t>
        </is>
      </c>
      <c r="H396" s="16" t="n"/>
      <c r="J396" s="16" t="n"/>
      <c r="L396" s="10" t="inlineStr">
        <is>
          <t>Typology drawing R01</t>
        </is>
      </c>
      <c r="M396" s="10">
        <f>Config!$B$3&amp;"?room="&amp;A396</f>
        <v/>
      </c>
    </row>
    <row r="397" ht="15" customHeight="1" s="11">
      <c r="A397" s="10" t="inlineStr">
        <is>
          <t>B-L04-Q01C</t>
        </is>
      </c>
      <c r="B397" s="10" t="inlineStr">
        <is>
          <t>Tower B</t>
        </is>
      </c>
      <c r="C397" s="10" t="inlineStr">
        <is>
          <t>L04</t>
        </is>
      </c>
      <c r="D397" s="10" t="inlineStr">
        <is>
          <t>BL04G83</t>
        </is>
      </c>
      <c r="E397" s="10" t="inlineStr">
        <is>
          <t>Q01C</t>
        </is>
      </c>
      <c r="F397" s="10" t="inlineStr">
        <is>
          <t>Queen</t>
        </is>
      </c>
      <c r="H397" s="16" t="n"/>
      <c r="J397" s="16" t="n"/>
      <c r="L397" s="10" t="inlineStr">
        <is>
          <t>Typology drawing R01</t>
        </is>
      </c>
      <c r="M397" s="10">
        <f>Config!$B$3&amp;"?room="&amp;A397</f>
        <v/>
      </c>
    </row>
    <row r="398" ht="15" customHeight="1" s="11">
      <c r="A398" s="10" t="inlineStr">
        <is>
          <t>B-L04-Q01C1-01</t>
        </is>
      </c>
      <c r="B398" s="10" t="inlineStr">
        <is>
          <t>Tower B</t>
        </is>
      </c>
      <c r="C398" s="10" t="inlineStr">
        <is>
          <t>L04</t>
        </is>
      </c>
      <c r="D398" s="10" t="inlineStr">
        <is>
          <t>BL04G64</t>
        </is>
      </c>
      <c r="E398" s="10" t="inlineStr">
        <is>
          <t>Q01C1</t>
        </is>
      </c>
      <c r="F398" s="10" t="inlineStr">
        <is>
          <t>Queen</t>
        </is>
      </c>
      <c r="H398" s="16" t="n"/>
      <c r="J398" s="16" t="n"/>
      <c r="L398" s="10" t="inlineStr">
        <is>
          <t>Typology drawing R01</t>
        </is>
      </c>
      <c r="M398" s="10">
        <f>Config!$B$3&amp;"?room="&amp;A398</f>
        <v/>
      </c>
    </row>
    <row r="399" ht="15" customHeight="1" s="11">
      <c r="A399" s="10" t="inlineStr">
        <is>
          <t>B-L04-Q01C1-02</t>
        </is>
      </c>
      <c r="B399" s="10" t="inlineStr">
        <is>
          <t>Tower B</t>
        </is>
      </c>
      <c r="C399" s="10" t="inlineStr">
        <is>
          <t>L04</t>
        </is>
      </c>
      <c r="D399" s="10" t="inlineStr">
        <is>
          <t>BL04G70</t>
        </is>
      </c>
      <c r="E399" s="10" t="inlineStr">
        <is>
          <t>Q01C1</t>
        </is>
      </c>
      <c r="F399" s="10" t="inlineStr">
        <is>
          <t>Queen</t>
        </is>
      </c>
      <c r="H399" s="16" t="n"/>
      <c r="J399" s="16" t="n"/>
      <c r="L399" s="10" t="inlineStr">
        <is>
          <t>Typology drawing R01</t>
        </is>
      </c>
      <c r="M399" s="10">
        <f>Config!$B$3&amp;"?room="&amp;A399</f>
        <v/>
      </c>
    </row>
    <row r="400" ht="15" customHeight="1" s="11">
      <c r="A400" s="10" t="inlineStr">
        <is>
          <t>B-L04-Q01C1-03</t>
        </is>
      </c>
      <c r="B400" s="10" t="inlineStr">
        <is>
          <t>Tower B</t>
        </is>
      </c>
      <c r="C400" s="10" t="inlineStr">
        <is>
          <t>L04</t>
        </is>
      </c>
      <c r="D400" s="10" t="inlineStr">
        <is>
          <t>BL04G78</t>
        </is>
      </c>
      <c r="E400" s="10" t="inlineStr">
        <is>
          <t>Q01C1</t>
        </is>
      </c>
      <c r="F400" s="10" t="inlineStr">
        <is>
          <t>Queen</t>
        </is>
      </c>
      <c r="H400" s="16" t="n"/>
      <c r="J400" s="16" t="n"/>
      <c r="L400" s="10" t="inlineStr">
        <is>
          <t>Typology drawing R01</t>
        </is>
      </c>
      <c r="M400" s="10">
        <f>Config!$B$3&amp;"?room="&amp;A400</f>
        <v/>
      </c>
    </row>
    <row r="401" ht="15" customHeight="1" s="11">
      <c r="A401" s="10" t="inlineStr">
        <is>
          <t>B-L04-Q02C-01</t>
        </is>
      </c>
      <c r="B401" s="10" t="inlineStr">
        <is>
          <t>Tower B</t>
        </is>
      </c>
      <c r="C401" s="10" t="inlineStr">
        <is>
          <t>L04</t>
        </is>
      </c>
      <c r="D401" s="10" t="inlineStr">
        <is>
          <t>BL04G57</t>
        </is>
      </c>
      <c r="E401" s="10" t="inlineStr">
        <is>
          <t>Q02C</t>
        </is>
      </c>
      <c r="F401" s="10" t="inlineStr">
        <is>
          <t>Queen</t>
        </is>
      </c>
      <c r="H401" s="16" t="n"/>
      <c r="J401" s="16" t="n"/>
      <c r="L401" s="10" t="inlineStr">
        <is>
          <t>Typology drawing R01</t>
        </is>
      </c>
      <c r="M401" s="10">
        <f>Config!$B$3&amp;"?room="&amp;A401</f>
        <v/>
      </c>
    </row>
    <row r="402" ht="15" customHeight="1" s="11">
      <c r="A402" s="10" t="inlineStr">
        <is>
          <t>B-L04-Q02C-02</t>
        </is>
      </c>
      <c r="B402" s="10" t="inlineStr">
        <is>
          <t>Tower B</t>
        </is>
      </c>
      <c r="C402" s="10" t="inlineStr">
        <is>
          <t>L04</t>
        </is>
      </c>
      <c r="D402" s="10" t="inlineStr">
        <is>
          <t>BL04G73</t>
        </is>
      </c>
      <c r="E402" s="10" t="inlineStr">
        <is>
          <t>Q02C</t>
        </is>
      </c>
      <c r="F402" s="10" t="inlineStr">
        <is>
          <t>Queen</t>
        </is>
      </c>
      <c r="H402" s="16" t="n"/>
      <c r="J402" s="16" t="n"/>
      <c r="L402" s="10" t="inlineStr">
        <is>
          <t>Typology drawing R01</t>
        </is>
      </c>
      <c r="M402" s="10">
        <f>Config!$B$3&amp;"?room="&amp;A402</f>
        <v/>
      </c>
    </row>
    <row r="403" ht="15" customHeight="1" s="11">
      <c r="A403" s="10" t="inlineStr">
        <is>
          <t>B-L04-Q02C-03</t>
        </is>
      </c>
      <c r="B403" s="10" t="inlineStr">
        <is>
          <t>Tower B</t>
        </is>
      </c>
      <c r="C403" s="10" t="inlineStr">
        <is>
          <t>L04</t>
        </is>
      </c>
      <c r="D403" s="10" t="inlineStr">
        <is>
          <t>BL04G87</t>
        </is>
      </c>
      <c r="E403" s="10" t="inlineStr">
        <is>
          <t>Q02C</t>
        </is>
      </c>
      <c r="F403" s="10" t="inlineStr">
        <is>
          <t>Queen</t>
        </is>
      </c>
      <c r="H403" s="16" t="n"/>
      <c r="J403" s="16" t="n"/>
      <c r="L403" s="10" t="inlineStr">
        <is>
          <t>Typology drawing R01</t>
        </is>
      </c>
      <c r="M403" s="10">
        <f>Config!$B$3&amp;"?room="&amp;A403</f>
        <v/>
      </c>
    </row>
    <row r="404" ht="15" customHeight="1" s="11">
      <c r="A404" s="10" t="inlineStr">
        <is>
          <t>B-L04-Q02C1</t>
        </is>
      </c>
      <c r="B404" s="10" t="inlineStr">
        <is>
          <t>Tower B</t>
        </is>
      </c>
      <c r="C404" s="10" t="inlineStr">
        <is>
          <t>L04</t>
        </is>
      </c>
      <c r="D404" s="10" t="inlineStr">
        <is>
          <t>BL04G62</t>
        </is>
      </c>
      <c r="E404" s="10" t="inlineStr">
        <is>
          <t>Q02C1</t>
        </is>
      </c>
      <c r="F404" s="10" t="inlineStr">
        <is>
          <t>Queen</t>
        </is>
      </c>
      <c r="H404" s="16" t="n"/>
      <c r="J404" s="16" t="n"/>
      <c r="L404" s="10" t="inlineStr">
        <is>
          <t>Typology drawing R01</t>
        </is>
      </c>
      <c r="M404" s="10">
        <f>Config!$B$3&amp;"?room="&amp;A404</f>
        <v/>
      </c>
    </row>
    <row r="405" ht="15" customHeight="1" s="11">
      <c r="A405" s="10" t="inlineStr">
        <is>
          <t>B-L04-Q02D</t>
        </is>
      </c>
      <c r="B405" s="10" t="inlineStr">
        <is>
          <t>Tower B</t>
        </is>
      </c>
      <c r="C405" s="10" t="inlineStr">
        <is>
          <t>L04</t>
        </is>
      </c>
      <c r="D405" s="10" t="inlineStr">
        <is>
          <t>BL04G85</t>
        </is>
      </c>
      <c r="E405" s="10" t="inlineStr">
        <is>
          <t>Q02D</t>
        </is>
      </c>
      <c r="F405" s="10" t="inlineStr">
        <is>
          <t>Queen</t>
        </is>
      </c>
      <c r="H405" s="16" t="n"/>
      <c r="J405" s="16" t="n"/>
      <c r="L405" s="10" t="inlineStr">
        <is>
          <t>Typology drawing R01</t>
        </is>
      </c>
      <c r="M405" s="10">
        <f>Config!$B$3&amp;"?room="&amp;A405</f>
        <v/>
      </c>
    </row>
    <row r="406" ht="15" customHeight="1" s="11">
      <c r="A406" s="10" t="inlineStr">
        <is>
          <t>B-L04-Q04</t>
        </is>
      </c>
      <c r="B406" s="10" t="inlineStr">
        <is>
          <t>Tower B</t>
        </is>
      </c>
      <c r="C406" s="10" t="inlineStr">
        <is>
          <t>L04</t>
        </is>
      </c>
      <c r="D406" s="10" t="inlineStr">
        <is>
          <t>BL04G69</t>
        </is>
      </c>
      <c r="E406" s="10" t="inlineStr">
        <is>
          <t>Q04</t>
        </is>
      </c>
      <c r="F406" s="10" t="inlineStr">
        <is>
          <t>Queen</t>
        </is>
      </c>
      <c r="H406" s="16" t="n"/>
      <c r="J406" s="16" t="n"/>
      <c r="L406" s="10" t="inlineStr">
        <is>
          <t>Typology drawing R01</t>
        </is>
      </c>
      <c r="M406" s="10">
        <f>Config!$B$3&amp;"?room="&amp;A406</f>
        <v/>
      </c>
    </row>
    <row r="407" ht="15" customHeight="1" s="11">
      <c r="A407" s="10" t="inlineStr">
        <is>
          <t>B-L04-Q05</t>
        </is>
      </c>
      <c r="B407" s="10" t="inlineStr">
        <is>
          <t>Tower B</t>
        </is>
      </c>
      <c r="C407" s="10" t="inlineStr">
        <is>
          <t>L04</t>
        </is>
      </c>
      <c r="D407" s="10" t="inlineStr">
        <is>
          <t>BL04G51</t>
        </is>
      </c>
      <c r="E407" s="10" t="inlineStr">
        <is>
          <t>Q05</t>
        </is>
      </c>
      <c r="F407" s="10" t="inlineStr">
        <is>
          <t>Queen</t>
        </is>
      </c>
      <c r="H407" s="16" t="n"/>
      <c r="J407" s="16" t="n"/>
      <c r="L407" s="10" t="inlineStr">
        <is>
          <t>Typology drawing R01</t>
        </is>
      </c>
      <c r="M407" s="10">
        <f>Config!$B$3&amp;"?room="&amp;A407</f>
        <v/>
      </c>
    </row>
    <row r="408" ht="15" customHeight="1" s="11">
      <c r="A408" s="10" t="inlineStr">
        <is>
          <t>B-L04-Q06</t>
        </is>
      </c>
      <c r="B408" s="10" t="inlineStr">
        <is>
          <t>Tower B</t>
        </is>
      </c>
      <c r="C408" s="10" t="inlineStr">
        <is>
          <t>L04</t>
        </is>
      </c>
      <c r="D408" s="10" t="inlineStr">
        <is>
          <t>BL04G86</t>
        </is>
      </c>
      <c r="E408" s="10" t="inlineStr">
        <is>
          <t>Q06</t>
        </is>
      </c>
      <c r="F408" s="10" t="inlineStr">
        <is>
          <t>Queen</t>
        </is>
      </c>
      <c r="H408" s="16" t="n"/>
      <c r="J408" s="16" t="n"/>
      <c r="L408" s="10" t="inlineStr">
        <is>
          <t>Typology drawing R01</t>
        </is>
      </c>
      <c r="M408" s="10">
        <f>Config!$B$3&amp;"?room="&amp;A408</f>
        <v/>
      </c>
    </row>
    <row r="409" ht="15" customHeight="1" s="11">
      <c r="A409" s="10" t="inlineStr">
        <is>
          <t>B-L04-S03</t>
        </is>
      </c>
      <c r="B409" s="10" t="inlineStr">
        <is>
          <t>Tower B</t>
        </is>
      </c>
      <c r="C409" s="10" t="inlineStr">
        <is>
          <t>L04</t>
        </is>
      </c>
      <c r="D409" s="10" t="inlineStr">
        <is>
          <t>BL04G66</t>
        </is>
      </c>
      <c r="E409" s="10" t="inlineStr">
        <is>
          <t>S03</t>
        </is>
      </c>
      <c r="F409" s="10" t="inlineStr">
        <is>
          <t>Suite</t>
        </is>
      </c>
      <c r="H409" s="16" t="n"/>
      <c r="J409" s="16" t="n"/>
      <c r="L409" s="10" t="inlineStr">
        <is>
          <t>Typology drawing R01</t>
        </is>
      </c>
      <c r="M409" s="10">
        <f>Config!$B$3&amp;"?room="&amp;A409</f>
        <v/>
      </c>
    </row>
    <row r="410" ht="15" customHeight="1" s="11">
      <c r="A410" s="10" t="inlineStr">
        <is>
          <t>B-L04-S07</t>
        </is>
      </c>
      <c r="B410" s="10" t="inlineStr">
        <is>
          <t>Tower B</t>
        </is>
      </c>
      <c r="C410" s="10" t="inlineStr">
        <is>
          <t>L04</t>
        </is>
      </c>
      <c r="D410" s="10" t="inlineStr">
        <is>
          <t>BL04G49</t>
        </is>
      </c>
      <c r="E410" s="10" t="inlineStr">
        <is>
          <t>S07</t>
        </is>
      </c>
      <c r="F410" s="10" t="inlineStr">
        <is>
          <t>Suite</t>
        </is>
      </c>
      <c r="H410" s="16" t="n"/>
      <c r="J410" s="16" t="n"/>
      <c r="L410" s="10" t="inlineStr">
        <is>
          <t>Typology drawing R01</t>
        </is>
      </c>
      <c r="M410" s="10">
        <f>Config!$B$3&amp;"?room="&amp;A410</f>
        <v/>
      </c>
    </row>
    <row r="411" ht="15" customHeight="1" s="11">
      <c r="A411" s="10" t="inlineStr">
        <is>
          <t>B-L05-F02</t>
        </is>
      </c>
      <c r="B411" s="10" t="inlineStr">
        <is>
          <t>Tower B</t>
        </is>
      </c>
      <c r="C411" s="10" t="inlineStr">
        <is>
          <t>L05</t>
        </is>
      </c>
      <c r="D411" s="10" t="inlineStr">
        <is>
          <t>BL05G90</t>
        </is>
      </c>
      <c r="E411" s="10" t="inlineStr">
        <is>
          <t>F02</t>
        </is>
      </c>
      <c r="F411" s="10" t="inlineStr">
        <is>
          <t>Family</t>
        </is>
      </c>
      <c r="H411" s="16" t="n"/>
      <c r="J411" s="16" t="n"/>
      <c r="L411" s="10" t="inlineStr">
        <is>
          <t>Typology drawing R01</t>
        </is>
      </c>
      <c r="M411" s="10">
        <f>Config!$B$3&amp;"?room="&amp;A411</f>
        <v/>
      </c>
    </row>
    <row r="412" ht="15" customHeight="1" s="11">
      <c r="A412" s="10" t="inlineStr">
        <is>
          <t>B-L05-F06</t>
        </is>
      </c>
      <c r="B412" s="10" t="inlineStr">
        <is>
          <t>Tower B</t>
        </is>
      </c>
      <c r="C412" s="10" t="inlineStr">
        <is>
          <t>L05</t>
        </is>
      </c>
      <c r="D412" s="10" t="inlineStr">
        <is>
          <t>BL05G63</t>
        </is>
      </c>
      <c r="E412" s="10" t="inlineStr">
        <is>
          <t>F06</t>
        </is>
      </c>
      <c r="F412" s="10" t="inlineStr">
        <is>
          <t>Family</t>
        </is>
      </c>
      <c r="H412" s="16" t="n"/>
      <c r="J412" s="16" t="n"/>
      <c r="L412" s="10" t="inlineStr">
        <is>
          <t>Typology drawing R01</t>
        </is>
      </c>
      <c r="M412" s="10">
        <f>Config!$B$3&amp;"?room="&amp;A412</f>
        <v/>
      </c>
    </row>
    <row r="413" ht="15" customHeight="1" s="11">
      <c r="A413" s="10" t="inlineStr">
        <is>
          <t>B-L05-K01-01</t>
        </is>
      </c>
      <c r="B413" s="10" t="inlineStr">
        <is>
          <t>Tower B</t>
        </is>
      </c>
      <c r="C413" s="10" t="inlineStr">
        <is>
          <t>L05</t>
        </is>
      </c>
      <c r="D413" s="10" t="inlineStr">
        <is>
          <t>BL05G53</t>
        </is>
      </c>
      <c r="E413" s="10" t="inlineStr">
        <is>
          <t>K01</t>
        </is>
      </c>
      <c r="F413" s="10" t="inlineStr">
        <is>
          <t>King</t>
        </is>
      </c>
      <c r="H413" s="16" t="n"/>
      <c r="J413" s="16" t="n"/>
      <c r="L413" s="10" t="inlineStr">
        <is>
          <t>Typology drawing R01</t>
        </is>
      </c>
      <c r="M413" s="10">
        <f>Config!$B$3&amp;"?room="&amp;A413</f>
        <v/>
      </c>
    </row>
    <row r="414" ht="15" customHeight="1" s="11">
      <c r="A414" s="10" t="inlineStr">
        <is>
          <t>B-L05-K01-02</t>
        </is>
      </c>
      <c r="B414" s="10" t="inlineStr">
        <is>
          <t>Tower B</t>
        </is>
      </c>
      <c r="C414" s="10" t="inlineStr">
        <is>
          <t>L05</t>
        </is>
      </c>
      <c r="D414" s="10" t="inlineStr">
        <is>
          <t>BL05G77</t>
        </is>
      </c>
      <c r="E414" s="10" t="inlineStr">
        <is>
          <t>K01</t>
        </is>
      </c>
      <c r="F414" s="10" t="inlineStr">
        <is>
          <t>King</t>
        </is>
      </c>
      <c r="H414" s="16" t="n"/>
      <c r="J414" s="16" t="n"/>
      <c r="L414" s="10" t="inlineStr">
        <is>
          <t>Typology drawing R01</t>
        </is>
      </c>
      <c r="M414" s="10">
        <f>Config!$B$3&amp;"?room="&amp;A414</f>
        <v/>
      </c>
    </row>
    <row r="415" ht="15" customHeight="1" s="11">
      <c r="A415" s="10" t="inlineStr">
        <is>
          <t>B-L05-K01A-01</t>
        </is>
      </c>
      <c r="B415" s="10" t="inlineStr">
        <is>
          <t>Tower B</t>
        </is>
      </c>
      <c r="C415" s="10" t="inlineStr">
        <is>
          <t>L05</t>
        </is>
      </c>
      <c r="D415" s="10" t="inlineStr">
        <is>
          <t>BL05G58</t>
        </is>
      </c>
      <c r="E415" s="10" t="inlineStr">
        <is>
          <t>K01A</t>
        </is>
      </c>
      <c r="F415" s="10" t="inlineStr">
        <is>
          <t>King</t>
        </is>
      </c>
      <c r="H415" s="16" t="n"/>
      <c r="J415" s="16" t="n"/>
      <c r="L415" s="10" t="inlineStr">
        <is>
          <t>Typology drawing R01</t>
        </is>
      </c>
      <c r="M415" s="10">
        <f>Config!$B$3&amp;"?room="&amp;A415</f>
        <v/>
      </c>
    </row>
    <row r="416" ht="15" customHeight="1" s="11">
      <c r="A416" s="10" t="inlineStr">
        <is>
          <t>B-L05-K01A-02</t>
        </is>
      </c>
      <c r="B416" s="10" t="inlineStr">
        <is>
          <t>Tower B</t>
        </is>
      </c>
      <c r="C416" s="10" t="inlineStr">
        <is>
          <t>L05</t>
        </is>
      </c>
      <c r="D416" s="10" t="inlineStr">
        <is>
          <t>BL05G76</t>
        </is>
      </c>
      <c r="E416" s="10" t="inlineStr">
        <is>
          <t>K01A</t>
        </is>
      </c>
      <c r="F416" s="10" t="inlineStr">
        <is>
          <t>King</t>
        </is>
      </c>
      <c r="H416" s="16" t="n"/>
      <c r="J416" s="16" t="n"/>
      <c r="L416" s="10" t="inlineStr">
        <is>
          <t>Typology drawing R01</t>
        </is>
      </c>
      <c r="M416" s="10">
        <f>Config!$B$3&amp;"?room="&amp;A416</f>
        <v/>
      </c>
    </row>
    <row r="417" ht="15" customHeight="1" s="11">
      <c r="A417" s="10" t="inlineStr">
        <is>
          <t>B-L05-K01A-03</t>
        </is>
      </c>
      <c r="B417" s="10" t="inlineStr">
        <is>
          <t>Tower B</t>
        </is>
      </c>
      <c r="C417" s="10" t="inlineStr">
        <is>
          <t>L05</t>
        </is>
      </c>
      <c r="D417" s="10" t="inlineStr">
        <is>
          <t>BL05G84</t>
        </is>
      </c>
      <c r="E417" s="10" t="inlineStr">
        <is>
          <t>K01A</t>
        </is>
      </c>
      <c r="F417" s="10" t="inlineStr">
        <is>
          <t>King</t>
        </is>
      </c>
      <c r="H417" s="16" t="n"/>
      <c r="J417" s="16" t="n"/>
      <c r="L417" s="10" t="inlineStr">
        <is>
          <t>Typology drawing R01</t>
        </is>
      </c>
      <c r="M417" s="10">
        <f>Config!$B$3&amp;"?room="&amp;A417</f>
        <v/>
      </c>
    </row>
    <row r="418" ht="15" customHeight="1" s="11">
      <c r="A418" s="10" t="inlineStr">
        <is>
          <t>B-L05-K01C</t>
        </is>
      </c>
      <c r="B418" s="10" t="inlineStr">
        <is>
          <t>Tower B</t>
        </is>
      </c>
      <c r="C418" s="10" t="inlineStr">
        <is>
          <t>L05</t>
        </is>
      </c>
      <c r="D418" s="10" t="inlineStr">
        <is>
          <t>BL05G81</t>
        </is>
      </c>
      <c r="E418" s="10" t="inlineStr">
        <is>
          <t>K01C</t>
        </is>
      </c>
      <c r="F418" s="10" t="inlineStr">
        <is>
          <t>King</t>
        </is>
      </c>
      <c r="H418" s="16" t="n"/>
      <c r="J418" s="16" t="n"/>
      <c r="L418" s="10" t="inlineStr">
        <is>
          <t>Typology drawing R01</t>
        </is>
      </c>
      <c r="M418" s="10">
        <f>Config!$B$3&amp;"?room="&amp;A418</f>
        <v/>
      </c>
    </row>
    <row r="419" ht="15" customHeight="1" s="11">
      <c r="A419" s="10" t="inlineStr">
        <is>
          <t>B-L05-K01C1-01</t>
        </is>
      </c>
      <c r="B419" s="10" t="inlineStr">
        <is>
          <t>Tower B</t>
        </is>
      </c>
      <c r="C419" s="10" t="inlineStr">
        <is>
          <t>L05</t>
        </is>
      </c>
      <c r="D419" s="10" t="inlineStr">
        <is>
          <t>BL05G72</t>
        </is>
      </c>
      <c r="E419" s="10" t="inlineStr">
        <is>
          <t>K01C1</t>
        </is>
      </c>
      <c r="F419" s="10" t="inlineStr">
        <is>
          <t>King</t>
        </is>
      </c>
      <c r="H419" s="16" t="n"/>
      <c r="J419" s="16" t="n"/>
      <c r="L419" s="10" t="inlineStr">
        <is>
          <t>Typology drawing R01</t>
        </is>
      </c>
      <c r="M419" s="10">
        <f>Config!$B$3&amp;"?room="&amp;A419</f>
        <v/>
      </c>
    </row>
    <row r="420" ht="15" customHeight="1" s="11">
      <c r="A420" s="10" t="inlineStr">
        <is>
          <t>B-L05-K01C1-02</t>
        </is>
      </c>
      <c r="B420" s="10" t="inlineStr">
        <is>
          <t>Tower B</t>
        </is>
      </c>
      <c r="C420" s="10" t="inlineStr">
        <is>
          <t>L05</t>
        </is>
      </c>
      <c r="D420" s="10" t="inlineStr">
        <is>
          <t>BL05G80</t>
        </is>
      </c>
      <c r="E420" s="10" t="inlineStr">
        <is>
          <t>K01C1</t>
        </is>
      </c>
      <c r="F420" s="10" t="inlineStr">
        <is>
          <t>King</t>
        </is>
      </c>
      <c r="H420" s="16" t="n"/>
      <c r="J420" s="16" t="n"/>
      <c r="L420" s="10" t="inlineStr">
        <is>
          <t>Typology drawing R01</t>
        </is>
      </c>
      <c r="M420" s="10">
        <f>Config!$B$3&amp;"?room="&amp;A420</f>
        <v/>
      </c>
    </row>
    <row r="421" ht="15" customHeight="1" s="11">
      <c r="A421" s="10" t="inlineStr">
        <is>
          <t>B-L05-K01D</t>
        </is>
      </c>
      <c r="B421" s="10" t="inlineStr">
        <is>
          <t>Tower B</t>
        </is>
      </c>
      <c r="C421" s="10" t="inlineStr">
        <is>
          <t>L05</t>
        </is>
      </c>
      <c r="D421" s="10" t="inlineStr">
        <is>
          <t>BL05G61</t>
        </is>
      </c>
      <c r="E421" s="10" t="inlineStr">
        <is>
          <t>K01D</t>
        </is>
      </c>
      <c r="F421" s="10" t="inlineStr">
        <is>
          <t>King</t>
        </is>
      </c>
      <c r="H421" s="16" t="n"/>
      <c r="J421" s="16" t="n"/>
      <c r="L421" s="10" t="inlineStr">
        <is>
          <t>Typology drawing R01</t>
        </is>
      </c>
      <c r="M421" s="10">
        <f>Config!$B$3&amp;"?room="&amp;A421</f>
        <v/>
      </c>
    </row>
    <row r="422" ht="15" customHeight="1" s="11">
      <c r="A422" s="10" t="inlineStr">
        <is>
          <t>B-L05-K02-01</t>
        </is>
      </c>
      <c r="B422" s="10" t="inlineStr">
        <is>
          <t>Tower B</t>
        </is>
      </c>
      <c r="C422" s="10" t="inlineStr">
        <is>
          <t>L05</t>
        </is>
      </c>
      <c r="D422" s="10" t="inlineStr">
        <is>
          <t>BL05G55</t>
        </is>
      </c>
      <c r="E422" s="10" t="inlineStr">
        <is>
          <t>K02</t>
        </is>
      </c>
      <c r="F422" s="10" t="inlineStr">
        <is>
          <t>King</t>
        </is>
      </c>
      <c r="H422" s="16" t="n"/>
      <c r="J422" s="16" t="n"/>
      <c r="L422" s="10" t="inlineStr">
        <is>
          <t>Typology drawing R01</t>
        </is>
      </c>
      <c r="M422" s="10">
        <f>Config!$B$3&amp;"?room="&amp;A422</f>
        <v/>
      </c>
    </row>
    <row r="423" ht="15" customHeight="1" s="11">
      <c r="A423" s="10" t="inlineStr">
        <is>
          <t>B-L05-K02-02</t>
        </is>
      </c>
      <c r="B423" s="10" t="inlineStr">
        <is>
          <t>Tower B</t>
        </is>
      </c>
      <c r="C423" s="10" t="inlineStr">
        <is>
          <t>L05</t>
        </is>
      </c>
      <c r="D423" s="10" t="inlineStr">
        <is>
          <t>BL05G71</t>
        </is>
      </c>
      <c r="E423" s="10" t="inlineStr">
        <is>
          <t>K02</t>
        </is>
      </c>
      <c r="F423" s="10" t="inlineStr">
        <is>
          <t>King</t>
        </is>
      </c>
      <c r="H423" s="16" t="n"/>
      <c r="J423" s="16" t="n"/>
      <c r="L423" s="10" t="inlineStr">
        <is>
          <t>Typology drawing R01</t>
        </is>
      </c>
      <c r="M423" s="10">
        <f>Config!$B$3&amp;"?room="&amp;A423</f>
        <v/>
      </c>
    </row>
    <row r="424" ht="15" customHeight="1" s="11">
      <c r="A424" s="10" t="inlineStr">
        <is>
          <t>B-L05-K02-03</t>
        </is>
      </c>
      <c r="B424" s="10" t="inlineStr">
        <is>
          <t>Tower B</t>
        </is>
      </c>
      <c r="C424" s="10" t="inlineStr">
        <is>
          <t>L05</t>
        </is>
      </c>
      <c r="D424" s="10" t="inlineStr">
        <is>
          <t>BL05G79</t>
        </is>
      </c>
      <c r="E424" s="10" t="inlineStr">
        <is>
          <t>K02</t>
        </is>
      </c>
      <c r="F424" s="10" t="inlineStr">
        <is>
          <t>King</t>
        </is>
      </c>
      <c r="H424" s="16" t="n"/>
      <c r="J424" s="16" t="n"/>
      <c r="L424" s="10" t="inlineStr">
        <is>
          <t>Typology drawing R01</t>
        </is>
      </c>
      <c r="M424" s="10">
        <f>Config!$B$3&amp;"?room="&amp;A424</f>
        <v/>
      </c>
    </row>
    <row r="425" ht="15" customHeight="1" s="11">
      <c r="A425" s="10" t="inlineStr">
        <is>
          <t>B-L05-K02A-01</t>
        </is>
      </c>
      <c r="B425" s="10" t="inlineStr">
        <is>
          <t>Tower B</t>
        </is>
      </c>
      <c r="C425" s="10" t="inlineStr">
        <is>
          <t>L05</t>
        </is>
      </c>
      <c r="D425" s="10" t="inlineStr">
        <is>
          <t>BL05G74</t>
        </is>
      </c>
      <c r="E425" s="10" t="inlineStr">
        <is>
          <t>K02A</t>
        </is>
      </c>
      <c r="F425" s="10" t="inlineStr">
        <is>
          <t>King</t>
        </is>
      </c>
      <c r="H425" s="16" t="n"/>
      <c r="J425" s="16" t="n"/>
      <c r="L425" s="10" t="inlineStr">
        <is>
          <t>Typology drawing R01</t>
        </is>
      </c>
      <c r="M425" s="10">
        <f>Config!$B$3&amp;"?room="&amp;A425</f>
        <v/>
      </c>
    </row>
    <row r="426" ht="15" customHeight="1" s="11">
      <c r="A426" s="10" t="inlineStr">
        <is>
          <t>B-L05-K02A-02</t>
        </is>
      </c>
      <c r="B426" s="10" t="inlineStr">
        <is>
          <t>Tower B</t>
        </is>
      </c>
      <c r="C426" s="10" t="inlineStr">
        <is>
          <t>L05</t>
        </is>
      </c>
      <c r="D426" s="10" t="inlineStr">
        <is>
          <t>BL05G82</t>
        </is>
      </c>
      <c r="E426" s="10" t="inlineStr">
        <is>
          <t>K02A</t>
        </is>
      </c>
      <c r="F426" s="10" t="inlineStr">
        <is>
          <t>King</t>
        </is>
      </c>
      <c r="H426" s="16" t="n"/>
      <c r="J426" s="16" t="n"/>
      <c r="L426" s="10" t="inlineStr">
        <is>
          <t>Typology drawing R01</t>
        </is>
      </c>
      <c r="M426" s="10">
        <f>Config!$B$3&amp;"?room="&amp;A426</f>
        <v/>
      </c>
    </row>
    <row r="427" ht="15" customHeight="1" s="11">
      <c r="A427" s="10" t="inlineStr">
        <is>
          <t>B-L05-K02C-01</t>
        </is>
      </c>
      <c r="B427" s="10" t="inlineStr">
        <is>
          <t>Tower B</t>
        </is>
      </c>
      <c r="C427" s="10" t="inlineStr">
        <is>
          <t>L05</t>
        </is>
      </c>
      <c r="D427" s="10" t="inlineStr">
        <is>
          <t>BL05G59</t>
        </is>
      </c>
      <c r="E427" s="10" t="inlineStr">
        <is>
          <t>K02C</t>
        </is>
      </c>
      <c r="F427" s="10" t="inlineStr">
        <is>
          <t>King</t>
        </is>
      </c>
      <c r="H427" s="16" t="n"/>
      <c r="J427" s="16" t="n"/>
      <c r="L427" s="10" t="inlineStr">
        <is>
          <t>Typology drawing R01</t>
        </is>
      </c>
      <c r="M427" s="10">
        <f>Config!$B$3&amp;"?room="&amp;A427</f>
        <v/>
      </c>
    </row>
    <row r="428" ht="15" customHeight="1" s="11">
      <c r="A428" s="10" t="inlineStr">
        <is>
          <t>B-L05-K02C-02</t>
        </is>
      </c>
      <c r="B428" s="10" t="inlineStr">
        <is>
          <t>Tower B</t>
        </is>
      </c>
      <c r="C428" s="10" t="inlineStr">
        <is>
          <t>L05</t>
        </is>
      </c>
      <c r="D428" s="10" t="inlineStr">
        <is>
          <t>BL05G75</t>
        </is>
      </c>
      <c r="E428" s="10" t="inlineStr">
        <is>
          <t>K02C</t>
        </is>
      </c>
      <c r="F428" s="10" t="inlineStr">
        <is>
          <t>King</t>
        </is>
      </c>
      <c r="H428" s="16" t="n"/>
      <c r="J428" s="16" t="n"/>
      <c r="L428" s="10" t="inlineStr">
        <is>
          <t>Typology drawing R01</t>
        </is>
      </c>
      <c r="M428" s="10">
        <f>Config!$B$3&amp;"?room="&amp;A428</f>
        <v/>
      </c>
    </row>
    <row r="429" ht="15" customHeight="1" s="11">
      <c r="A429" s="10" t="inlineStr">
        <is>
          <t>B-L05-K03</t>
        </is>
      </c>
      <c r="B429" s="10" t="inlineStr">
        <is>
          <t>Tower B</t>
        </is>
      </c>
      <c r="C429" s="10" t="inlineStr">
        <is>
          <t>L05</t>
        </is>
      </c>
      <c r="D429" s="10" t="inlineStr">
        <is>
          <t>BL05G89</t>
        </is>
      </c>
      <c r="E429" s="10" t="inlineStr">
        <is>
          <t>K03</t>
        </is>
      </c>
      <c r="F429" s="10" t="inlineStr">
        <is>
          <t>King</t>
        </is>
      </c>
      <c r="H429" s="16" t="n"/>
      <c r="J429" s="16" t="n"/>
      <c r="L429" s="10" t="inlineStr">
        <is>
          <t>Typology drawing R01</t>
        </is>
      </c>
      <c r="M429" s="10">
        <f>Config!$B$3&amp;"?room="&amp;A429</f>
        <v/>
      </c>
    </row>
    <row r="430" ht="15" customHeight="1" s="11">
      <c r="A430" s="10" t="inlineStr">
        <is>
          <t>B-L05-KADA2</t>
        </is>
      </c>
      <c r="B430" s="10" t="inlineStr">
        <is>
          <t>Tower B</t>
        </is>
      </c>
      <c r="C430" s="10" t="inlineStr">
        <is>
          <t>L05</t>
        </is>
      </c>
      <c r="D430" s="10" t="inlineStr">
        <is>
          <t>BL05G60</t>
        </is>
      </c>
      <c r="E430" s="10" t="inlineStr">
        <is>
          <t>KADA2</t>
        </is>
      </c>
      <c r="F430" s="10" t="inlineStr">
        <is>
          <t>King ADA</t>
        </is>
      </c>
      <c r="H430" s="16" t="n"/>
      <c r="J430" s="16" t="n"/>
      <c r="L430" s="10" t="inlineStr">
        <is>
          <t>Typology drawing R01</t>
        </is>
      </c>
      <c r="M430" s="10">
        <f>Config!$B$3&amp;"?room="&amp;A430</f>
        <v/>
      </c>
    </row>
    <row r="431" ht="15" customHeight="1" s="11">
      <c r="A431" s="10" t="inlineStr">
        <is>
          <t>B-L05-Q01C</t>
        </is>
      </c>
      <c r="B431" s="10" t="inlineStr">
        <is>
          <t>Tower B</t>
        </is>
      </c>
      <c r="C431" s="10" t="inlineStr">
        <is>
          <t>L05</t>
        </is>
      </c>
      <c r="D431" s="10" t="inlineStr">
        <is>
          <t>BL05G83</t>
        </is>
      </c>
      <c r="E431" s="10" t="inlineStr">
        <is>
          <t>Q01C</t>
        </is>
      </c>
      <c r="F431" s="10" t="inlineStr">
        <is>
          <t>Queen</t>
        </is>
      </c>
      <c r="H431" s="16" t="n"/>
      <c r="J431" s="16" t="n"/>
      <c r="L431" s="10" t="inlineStr">
        <is>
          <t>Typology drawing R01</t>
        </is>
      </c>
      <c r="M431" s="10">
        <f>Config!$B$3&amp;"?room="&amp;A431</f>
        <v/>
      </c>
    </row>
    <row r="432" ht="15" customHeight="1" s="11">
      <c r="A432" s="10" t="inlineStr">
        <is>
          <t>B-L05-Q01C1-01</t>
        </is>
      </c>
      <c r="B432" s="10" t="inlineStr">
        <is>
          <t>Tower B</t>
        </is>
      </c>
      <c r="C432" s="10" t="inlineStr">
        <is>
          <t>L05</t>
        </is>
      </c>
      <c r="D432" s="10" t="inlineStr">
        <is>
          <t>BL05G64</t>
        </is>
      </c>
      <c r="E432" s="10" t="inlineStr">
        <is>
          <t>Q01C1</t>
        </is>
      </c>
      <c r="F432" s="10" t="inlineStr">
        <is>
          <t>Queen</t>
        </is>
      </c>
      <c r="H432" s="16" t="n"/>
      <c r="J432" s="16" t="n"/>
      <c r="L432" s="10" t="inlineStr">
        <is>
          <t>Typology drawing R01</t>
        </is>
      </c>
      <c r="M432" s="10">
        <f>Config!$B$3&amp;"?room="&amp;A432</f>
        <v/>
      </c>
    </row>
    <row r="433" ht="15" customHeight="1" s="11">
      <c r="A433" s="10" t="inlineStr">
        <is>
          <t>B-L05-Q01C1-02</t>
        </is>
      </c>
      <c r="B433" s="10" t="inlineStr">
        <is>
          <t>Tower B</t>
        </is>
      </c>
      <c r="C433" s="10" t="inlineStr">
        <is>
          <t>L05</t>
        </is>
      </c>
      <c r="D433" s="10" t="inlineStr">
        <is>
          <t>BL05G70</t>
        </is>
      </c>
      <c r="E433" s="10" t="inlineStr">
        <is>
          <t>Q01C1</t>
        </is>
      </c>
      <c r="F433" s="10" t="inlineStr">
        <is>
          <t>Queen</t>
        </is>
      </c>
      <c r="H433" s="16" t="n"/>
      <c r="J433" s="16" t="n"/>
      <c r="L433" s="10" t="inlineStr">
        <is>
          <t>Typology drawing R01</t>
        </is>
      </c>
      <c r="M433" s="10">
        <f>Config!$B$3&amp;"?room="&amp;A433</f>
        <v/>
      </c>
    </row>
    <row r="434" ht="15" customHeight="1" s="11">
      <c r="A434" s="10" t="inlineStr">
        <is>
          <t>B-L05-Q01C1-03</t>
        </is>
      </c>
      <c r="B434" s="10" t="inlineStr">
        <is>
          <t>Tower B</t>
        </is>
      </c>
      <c r="C434" s="10" t="inlineStr">
        <is>
          <t>L05</t>
        </is>
      </c>
      <c r="D434" s="10" t="inlineStr">
        <is>
          <t>BL05G78</t>
        </is>
      </c>
      <c r="E434" s="10" t="inlineStr">
        <is>
          <t>Q01C1</t>
        </is>
      </c>
      <c r="F434" s="10" t="inlineStr">
        <is>
          <t>Queen</t>
        </is>
      </c>
      <c r="H434" s="16" t="n"/>
      <c r="J434" s="16" t="n"/>
      <c r="L434" s="10" t="inlineStr">
        <is>
          <t>Typology drawing R01</t>
        </is>
      </c>
      <c r="M434" s="10">
        <f>Config!$B$3&amp;"?room="&amp;A434</f>
        <v/>
      </c>
    </row>
    <row r="435" ht="15" customHeight="1" s="11">
      <c r="A435" s="10" t="inlineStr">
        <is>
          <t>B-L05-Q02C-01</t>
        </is>
      </c>
      <c r="B435" s="10" t="inlineStr">
        <is>
          <t>Tower B</t>
        </is>
      </c>
      <c r="C435" s="10" t="inlineStr">
        <is>
          <t>L05</t>
        </is>
      </c>
      <c r="D435" s="10" t="inlineStr">
        <is>
          <t>BL05G57</t>
        </is>
      </c>
      <c r="E435" s="10" t="inlineStr">
        <is>
          <t>Q02C</t>
        </is>
      </c>
      <c r="F435" s="10" t="inlineStr">
        <is>
          <t>Queen</t>
        </is>
      </c>
      <c r="H435" s="16" t="n"/>
      <c r="J435" s="16" t="n"/>
      <c r="L435" s="10" t="inlineStr">
        <is>
          <t>Typology drawing R01</t>
        </is>
      </c>
      <c r="M435" s="10">
        <f>Config!$B$3&amp;"?room="&amp;A435</f>
        <v/>
      </c>
    </row>
    <row r="436" ht="15" customHeight="1" s="11">
      <c r="A436" s="10" t="inlineStr">
        <is>
          <t>B-L05-Q02C-02</t>
        </is>
      </c>
      <c r="B436" s="10" t="inlineStr">
        <is>
          <t>Tower B</t>
        </is>
      </c>
      <c r="C436" s="10" t="inlineStr">
        <is>
          <t>L05</t>
        </is>
      </c>
      <c r="D436" s="10" t="inlineStr">
        <is>
          <t>BL05G73</t>
        </is>
      </c>
      <c r="E436" s="10" t="inlineStr">
        <is>
          <t>Q02C</t>
        </is>
      </c>
      <c r="F436" s="10" t="inlineStr">
        <is>
          <t>Queen</t>
        </is>
      </c>
      <c r="H436" s="16" t="n"/>
      <c r="J436" s="16" t="n"/>
      <c r="L436" s="10" t="inlineStr">
        <is>
          <t>Typology drawing R01</t>
        </is>
      </c>
      <c r="M436" s="10">
        <f>Config!$B$3&amp;"?room="&amp;A436</f>
        <v/>
      </c>
    </row>
    <row r="437" ht="15" customHeight="1" s="11">
      <c r="A437" s="10" t="inlineStr">
        <is>
          <t>B-L05-Q02C-03</t>
        </is>
      </c>
      <c r="B437" s="10" t="inlineStr">
        <is>
          <t>Tower B</t>
        </is>
      </c>
      <c r="C437" s="10" t="inlineStr">
        <is>
          <t>L05</t>
        </is>
      </c>
      <c r="D437" s="10" t="inlineStr">
        <is>
          <t>BL05G87</t>
        </is>
      </c>
      <c r="E437" s="10" t="inlineStr">
        <is>
          <t>Q02C</t>
        </is>
      </c>
      <c r="F437" s="10" t="inlineStr">
        <is>
          <t>Queen</t>
        </is>
      </c>
      <c r="H437" s="16" t="n"/>
      <c r="J437" s="16" t="n"/>
      <c r="L437" s="10" t="inlineStr">
        <is>
          <t>Typology drawing R01</t>
        </is>
      </c>
      <c r="M437" s="10">
        <f>Config!$B$3&amp;"?room="&amp;A437</f>
        <v/>
      </c>
    </row>
    <row r="438" ht="15" customHeight="1" s="11">
      <c r="A438" s="10" t="inlineStr">
        <is>
          <t>B-L05-Q02C1</t>
        </is>
      </c>
      <c r="B438" s="10" t="inlineStr">
        <is>
          <t>Tower B</t>
        </is>
      </c>
      <c r="C438" s="10" t="inlineStr">
        <is>
          <t>L05</t>
        </is>
      </c>
      <c r="D438" s="10" t="inlineStr">
        <is>
          <t>BL05G62</t>
        </is>
      </c>
      <c r="E438" s="10" t="inlineStr">
        <is>
          <t>Q02C1</t>
        </is>
      </c>
      <c r="F438" s="10" t="inlineStr">
        <is>
          <t>Queen</t>
        </is>
      </c>
      <c r="H438" s="16" t="n"/>
      <c r="J438" s="16" t="n"/>
      <c r="L438" s="10" t="inlineStr">
        <is>
          <t>Typology drawing R01</t>
        </is>
      </c>
      <c r="M438" s="10">
        <f>Config!$B$3&amp;"?room="&amp;A438</f>
        <v/>
      </c>
    </row>
    <row r="439" ht="15" customHeight="1" s="11">
      <c r="A439" s="10" t="inlineStr">
        <is>
          <t>B-L05-Q02D</t>
        </is>
      </c>
      <c r="B439" s="10" t="inlineStr">
        <is>
          <t>Tower B</t>
        </is>
      </c>
      <c r="C439" s="10" t="inlineStr">
        <is>
          <t>L05</t>
        </is>
      </c>
      <c r="D439" s="10" t="inlineStr">
        <is>
          <t>BL05G85</t>
        </is>
      </c>
      <c r="E439" s="10" t="inlineStr">
        <is>
          <t>Q02D</t>
        </is>
      </c>
      <c r="F439" s="10" t="inlineStr">
        <is>
          <t>Queen</t>
        </is>
      </c>
      <c r="H439" s="16" t="n"/>
      <c r="J439" s="16" t="n"/>
      <c r="L439" s="10" t="inlineStr">
        <is>
          <t>Typology drawing R01</t>
        </is>
      </c>
      <c r="M439" s="10">
        <f>Config!$B$3&amp;"?room="&amp;A439</f>
        <v/>
      </c>
    </row>
    <row r="440" ht="15" customHeight="1" s="11">
      <c r="A440" s="10" t="inlineStr">
        <is>
          <t>B-L05-Q04</t>
        </is>
      </c>
      <c r="B440" s="10" t="inlineStr">
        <is>
          <t>Tower B</t>
        </is>
      </c>
      <c r="C440" s="10" t="inlineStr">
        <is>
          <t>L05</t>
        </is>
      </c>
      <c r="D440" s="10" t="inlineStr">
        <is>
          <t>BL05G69</t>
        </is>
      </c>
      <c r="E440" s="10" t="inlineStr">
        <is>
          <t>Q04</t>
        </is>
      </c>
      <c r="F440" s="10" t="inlineStr">
        <is>
          <t>Queen</t>
        </is>
      </c>
      <c r="H440" s="16" t="n"/>
      <c r="J440" s="16" t="n"/>
      <c r="L440" s="10" t="inlineStr">
        <is>
          <t>Typology drawing R01</t>
        </is>
      </c>
      <c r="M440" s="10">
        <f>Config!$B$3&amp;"?room="&amp;A440</f>
        <v/>
      </c>
    </row>
    <row r="441" ht="15" customHeight="1" s="11">
      <c r="A441" s="10" t="inlineStr">
        <is>
          <t>B-L05-Q05</t>
        </is>
      </c>
      <c r="B441" s="10" t="inlineStr">
        <is>
          <t>Tower B</t>
        </is>
      </c>
      <c r="C441" s="10" t="inlineStr">
        <is>
          <t>L05</t>
        </is>
      </c>
      <c r="D441" s="10" t="inlineStr">
        <is>
          <t>BL05G51</t>
        </is>
      </c>
      <c r="E441" s="10" t="inlineStr">
        <is>
          <t>Q05</t>
        </is>
      </c>
      <c r="F441" s="10" t="inlineStr">
        <is>
          <t>Queen</t>
        </is>
      </c>
      <c r="H441" s="16" t="n"/>
      <c r="J441" s="16" t="n"/>
      <c r="L441" s="10" t="inlineStr">
        <is>
          <t>Typology drawing R01</t>
        </is>
      </c>
      <c r="M441" s="10">
        <f>Config!$B$3&amp;"?room="&amp;A441</f>
        <v/>
      </c>
    </row>
    <row r="442" ht="15" customHeight="1" s="11">
      <c r="A442" s="10" t="inlineStr">
        <is>
          <t>B-L05-Q06</t>
        </is>
      </c>
      <c r="B442" s="10" t="inlineStr">
        <is>
          <t>Tower B</t>
        </is>
      </c>
      <c r="C442" s="10" t="inlineStr">
        <is>
          <t>L05</t>
        </is>
      </c>
      <c r="D442" s="10" t="inlineStr">
        <is>
          <t>BL05G86</t>
        </is>
      </c>
      <c r="E442" s="10" t="inlineStr">
        <is>
          <t>Q06</t>
        </is>
      </c>
      <c r="F442" s="10" t="inlineStr">
        <is>
          <t>Queen</t>
        </is>
      </c>
      <c r="H442" s="16" t="n"/>
      <c r="J442" s="16" t="n"/>
      <c r="L442" s="10" t="inlineStr">
        <is>
          <t>Typology drawing R01</t>
        </is>
      </c>
      <c r="M442" s="10">
        <f>Config!$B$3&amp;"?room="&amp;A442</f>
        <v/>
      </c>
    </row>
    <row r="443" ht="15" customHeight="1" s="11">
      <c r="A443" s="10" t="inlineStr">
        <is>
          <t>B-L05-S03</t>
        </is>
      </c>
      <c r="B443" s="10" t="inlineStr">
        <is>
          <t>Tower B</t>
        </is>
      </c>
      <c r="C443" s="10" t="inlineStr">
        <is>
          <t>L05</t>
        </is>
      </c>
      <c r="D443" s="10" t="inlineStr">
        <is>
          <t>BL05G66</t>
        </is>
      </c>
      <c r="E443" s="10" t="inlineStr">
        <is>
          <t>S03</t>
        </is>
      </c>
      <c r="F443" s="10" t="inlineStr">
        <is>
          <t>Suite</t>
        </is>
      </c>
      <c r="H443" s="16" t="n"/>
      <c r="J443" s="16" t="n"/>
      <c r="L443" s="10" t="inlineStr">
        <is>
          <t>Typology drawing R01</t>
        </is>
      </c>
      <c r="M443" s="10">
        <f>Config!$B$3&amp;"?room="&amp;A443</f>
        <v/>
      </c>
    </row>
    <row r="444" ht="15" customHeight="1" s="11">
      <c r="A444" s="10" t="inlineStr">
        <is>
          <t>B-L05-S07</t>
        </is>
      </c>
      <c r="B444" s="10" t="inlineStr">
        <is>
          <t>Tower B</t>
        </is>
      </c>
      <c r="C444" s="10" t="inlineStr">
        <is>
          <t>L05</t>
        </is>
      </c>
      <c r="D444" s="10" t="inlineStr">
        <is>
          <t>BL05G49</t>
        </is>
      </c>
      <c r="E444" s="10" t="inlineStr">
        <is>
          <t>S07</t>
        </is>
      </c>
      <c r="F444" s="10" t="inlineStr">
        <is>
          <t>Suite</t>
        </is>
      </c>
      <c r="H444" s="16" t="n"/>
      <c r="J444" s="16" t="n"/>
      <c r="L444" s="10" t="inlineStr">
        <is>
          <t>Typology drawing R01</t>
        </is>
      </c>
      <c r="M444" s="10">
        <f>Config!$B$3&amp;"?room="&amp;A444</f>
        <v/>
      </c>
    </row>
    <row r="445" ht="15" customHeight="1" s="11">
      <c r="A445" s="10" t="inlineStr">
        <is>
          <t>B-L06-F02</t>
        </is>
      </c>
      <c r="B445" s="10" t="inlineStr">
        <is>
          <t>Tower B</t>
        </is>
      </c>
      <c r="C445" s="10" t="inlineStr">
        <is>
          <t>L06</t>
        </is>
      </c>
      <c r="D445" s="10" t="inlineStr">
        <is>
          <t>BL06G90</t>
        </is>
      </c>
      <c r="E445" s="10" t="inlineStr">
        <is>
          <t>F02</t>
        </is>
      </c>
      <c r="F445" s="10" t="inlineStr">
        <is>
          <t>Family</t>
        </is>
      </c>
      <c r="H445" s="16" t="n"/>
      <c r="J445" s="16" t="n"/>
      <c r="L445" s="10" t="inlineStr">
        <is>
          <t>Typology drawing R01</t>
        </is>
      </c>
      <c r="M445" s="10">
        <f>Config!$B$3&amp;"?room="&amp;A445</f>
        <v/>
      </c>
    </row>
    <row r="446" ht="15" customHeight="1" s="11">
      <c r="A446" s="10" t="inlineStr">
        <is>
          <t>B-L06-F06</t>
        </is>
      </c>
      <c r="B446" s="10" t="inlineStr">
        <is>
          <t>Tower B</t>
        </is>
      </c>
      <c r="C446" s="10" t="inlineStr">
        <is>
          <t>L06</t>
        </is>
      </c>
      <c r="D446" s="10" t="inlineStr">
        <is>
          <t>BL06G63</t>
        </is>
      </c>
      <c r="E446" s="10" t="inlineStr">
        <is>
          <t>F06</t>
        </is>
      </c>
      <c r="F446" s="10" t="inlineStr">
        <is>
          <t>Family</t>
        </is>
      </c>
      <c r="H446" s="16" t="n"/>
      <c r="J446" s="16" t="n"/>
      <c r="L446" s="10" t="inlineStr">
        <is>
          <t>Typology drawing R01</t>
        </is>
      </c>
      <c r="M446" s="10">
        <f>Config!$B$3&amp;"?room="&amp;A446</f>
        <v/>
      </c>
    </row>
    <row r="447" ht="15" customHeight="1" s="11">
      <c r="A447" s="10" t="inlineStr">
        <is>
          <t>B-L06-K01-01</t>
        </is>
      </c>
      <c r="B447" s="10" t="inlineStr">
        <is>
          <t>Tower B</t>
        </is>
      </c>
      <c r="C447" s="10" t="inlineStr">
        <is>
          <t>L06</t>
        </is>
      </c>
      <c r="D447" s="10" t="inlineStr">
        <is>
          <t>BL06G53</t>
        </is>
      </c>
      <c r="E447" s="10" t="inlineStr">
        <is>
          <t>K01</t>
        </is>
      </c>
      <c r="F447" s="10" t="inlineStr">
        <is>
          <t>King</t>
        </is>
      </c>
      <c r="H447" s="16" t="n"/>
      <c r="J447" s="16" t="n"/>
      <c r="L447" s="10" t="inlineStr">
        <is>
          <t>Typology drawing R01</t>
        </is>
      </c>
      <c r="M447" s="10">
        <f>Config!$B$3&amp;"?room="&amp;A447</f>
        <v/>
      </c>
    </row>
    <row r="448" ht="15" customHeight="1" s="11">
      <c r="A448" s="10" t="inlineStr">
        <is>
          <t>B-L06-K01-02</t>
        </is>
      </c>
      <c r="B448" s="10" t="inlineStr">
        <is>
          <t>Tower B</t>
        </is>
      </c>
      <c r="C448" s="10" t="inlineStr">
        <is>
          <t>L06</t>
        </is>
      </c>
      <c r="D448" s="10" t="inlineStr">
        <is>
          <t>BL06G77</t>
        </is>
      </c>
      <c r="E448" s="10" t="inlineStr">
        <is>
          <t>K01</t>
        </is>
      </c>
      <c r="F448" s="10" t="inlineStr">
        <is>
          <t>King</t>
        </is>
      </c>
      <c r="H448" s="16" t="n"/>
      <c r="J448" s="16" t="n"/>
      <c r="L448" s="10" t="inlineStr">
        <is>
          <t>Typology drawing R01</t>
        </is>
      </c>
      <c r="M448" s="10">
        <f>Config!$B$3&amp;"?room="&amp;A448</f>
        <v/>
      </c>
    </row>
    <row r="449" ht="15" customHeight="1" s="11">
      <c r="A449" s="10" t="inlineStr">
        <is>
          <t>B-L06-K01A-01</t>
        </is>
      </c>
      <c r="B449" s="10" t="inlineStr">
        <is>
          <t>Tower B</t>
        </is>
      </c>
      <c r="C449" s="10" t="inlineStr">
        <is>
          <t>L06</t>
        </is>
      </c>
      <c r="D449" s="10" t="inlineStr">
        <is>
          <t>BL06G58</t>
        </is>
      </c>
      <c r="E449" s="10" t="inlineStr">
        <is>
          <t>K01A</t>
        </is>
      </c>
      <c r="F449" s="10" t="inlineStr">
        <is>
          <t>King</t>
        </is>
      </c>
      <c r="H449" s="16" t="n"/>
      <c r="J449" s="16" t="n"/>
      <c r="L449" s="10" t="inlineStr">
        <is>
          <t>Typology drawing R01</t>
        </is>
      </c>
      <c r="M449" s="10">
        <f>Config!$B$3&amp;"?room="&amp;A449</f>
        <v/>
      </c>
    </row>
    <row r="450" ht="15" customHeight="1" s="11">
      <c r="A450" s="10" t="inlineStr">
        <is>
          <t>B-L06-K01A-02</t>
        </is>
      </c>
      <c r="B450" s="10" t="inlineStr">
        <is>
          <t>Tower B</t>
        </is>
      </c>
      <c r="C450" s="10" t="inlineStr">
        <is>
          <t>L06</t>
        </is>
      </c>
      <c r="D450" s="10" t="inlineStr">
        <is>
          <t>BL06G76</t>
        </is>
      </c>
      <c r="E450" s="10" t="inlineStr">
        <is>
          <t>K01A</t>
        </is>
      </c>
      <c r="F450" s="10" t="inlineStr">
        <is>
          <t>King</t>
        </is>
      </c>
      <c r="H450" s="16" t="n"/>
      <c r="J450" s="16" t="n"/>
      <c r="L450" s="10" t="inlineStr">
        <is>
          <t>Typology drawing R01</t>
        </is>
      </c>
      <c r="M450" s="10">
        <f>Config!$B$3&amp;"?room="&amp;A450</f>
        <v/>
      </c>
    </row>
    <row r="451" ht="15" customHeight="1" s="11">
      <c r="A451" s="10" t="inlineStr">
        <is>
          <t>B-L06-K01A-03</t>
        </is>
      </c>
      <c r="B451" s="10" t="inlineStr">
        <is>
          <t>Tower B</t>
        </is>
      </c>
      <c r="C451" s="10" t="inlineStr">
        <is>
          <t>L06</t>
        </is>
      </c>
      <c r="D451" s="10" t="inlineStr">
        <is>
          <t>BL06G84</t>
        </is>
      </c>
      <c r="E451" s="10" t="inlineStr">
        <is>
          <t>K01A</t>
        </is>
      </c>
      <c r="F451" s="10" t="inlineStr">
        <is>
          <t>King</t>
        </is>
      </c>
      <c r="H451" s="16" t="n"/>
      <c r="J451" s="16" t="n"/>
      <c r="L451" s="10" t="inlineStr">
        <is>
          <t>Typology drawing R01</t>
        </is>
      </c>
      <c r="M451" s="10">
        <f>Config!$B$3&amp;"?room="&amp;A451</f>
        <v/>
      </c>
    </row>
    <row r="452" ht="15" customHeight="1" s="11">
      <c r="A452" s="10" t="inlineStr">
        <is>
          <t>B-L06-K01C</t>
        </is>
      </c>
      <c r="B452" s="10" t="inlineStr">
        <is>
          <t>Tower B</t>
        </is>
      </c>
      <c r="C452" s="10" t="inlineStr">
        <is>
          <t>L06</t>
        </is>
      </c>
      <c r="D452" s="10" t="inlineStr">
        <is>
          <t>BL06G81</t>
        </is>
      </c>
      <c r="E452" s="10" t="inlineStr">
        <is>
          <t>K01C</t>
        </is>
      </c>
      <c r="F452" s="10" t="inlineStr">
        <is>
          <t>King</t>
        </is>
      </c>
      <c r="H452" s="16" t="n"/>
      <c r="J452" s="16" t="n"/>
      <c r="L452" s="10" t="inlineStr">
        <is>
          <t>Typology drawing R01</t>
        </is>
      </c>
      <c r="M452" s="10">
        <f>Config!$B$3&amp;"?room="&amp;A452</f>
        <v/>
      </c>
    </row>
    <row r="453" ht="15" customHeight="1" s="11">
      <c r="A453" s="10" t="inlineStr">
        <is>
          <t>B-L06-K01C1-01</t>
        </is>
      </c>
      <c r="B453" s="10" t="inlineStr">
        <is>
          <t>Tower B</t>
        </is>
      </c>
      <c r="C453" s="10" t="inlineStr">
        <is>
          <t>L06</t>
        </is>
      </c>
      <c r="D453" s="10" t="inlineStr">
        <is>
          <t>BL06G72</t>
        </is>
      </c>
      <c r="E453" s="10" t="inlineStr">
        <is>
          <t>K01C1</t>
        </is>
      </c>
      <c r="F453" s="10" t="inlineStr">
        <is>
          <t>King</t>
        </is>
      </c>
      <c r="H453" s="16" t="n"/>
      <c r="J453" s="16" t="n"/>
      <c r="L453" s="10" t="inlineStr">
        <is>
          <t>Typology drawing R01</t>
        </is>
      </c>
      <c r="M453" s="10">
        <f>Config!$B$3&amp;"?room="&amp;A453</f>
        <v/>
      </c>
    </row>
    <row r="454" ht="15" customHeight="1" s="11">
      <c r="A454" s="10" t="inlineStr">
        <is>
          <t>B-L06-K01C1-02</t>
        </is>
      </c>
      <c r="B454" s="10" t="inlineStr">
        <is>
          <t>Tower B</t>
        </is>
      </c>
      <c r="C454" s="10" t="inlineStr">
        <is>
          <t>L06</t>
        </is>
      </c>
      <c r="D454" s="10" t="inlineStr">
        <is>
          <t>BL06G80</t>
        </is>
      </c>
      <c r="E454" s="10" t="inlineStr">
        <is>
          <t>K01C1</t>
        </is>
      </c>
      <c r="F454" s="10" t="inlineStr">
        <is>
          <t>King</t>
        </is>
      </c>
      <c r="H454" s="16" t="n"/>
      <c r="J454" s="16" t="n"/>
      <c r="L454" s="10" t="inlineStr">
        <is>
          <t>Typology drawing R01</t>
        </is>
      </c>
      <c r="M454" s="10">
        <f>Config!$B$3&amp;"?room="&amp;A454</f>
        <v/>
      </c>
    </row>
    <row r="455" ht="15" customHeight="1" s="11">
      <c r="A455" s="10" t="inlineStr">
        <is>
          <t>B-L06-K01D</t>
        </is>
      </c>
      <c r="B455" s="10" t="inlineStr">
        <is>
          <t>Tower B</t>
        </is>
      </c>
      <c r="C455" s="10" t="inlineStr">
        <is>
          <t>L06</t>
        </is>
      </c>
      <c r="D455" s="10" t="inlineStr">
        <is>
          <t>BL06G61</t>
        </is>
      </c>
      <c r="E455" s="10" t="inlineStr">
        <is>
          <t>K01D</t>
        </is>
      </c>
      <c r="F455" s="10" t="inlineStr">
        <is>
          <t>King</t>
        </is>
      </c>
      <c r="H455" s="16" t="n"/>
      <c r="J455" s="16" t="n"/>
      <c r="L455" s="10" t="inlineStr">
        <is>
          <t>Typology drawing R01</t>
        </is>
      </c>
      <c r="M455" s="10">
        <f>Config!$B$3&amp;"?room="&amp;A455</f>
        <v/>
      </c>
    </row>
    <row r="456" ht="15" customHeight="1" s="11">
      <c r="A456" s="10" t="inlineStr">
        <is>
          <t>B-L06-K02-01</t>
        </is>
      </c>
      <c r="B456" s="10" t="inlineStr">
        <is>
          <t>Tower B</t>
        </is>
      </c>
      <c r="C456" s="10" t="inlineStr">
        <is>
          <t>L06</t>
        </is>
      </c>
      <c r="D456" s="10" t="inlineStr">
        <is>
          <t>BL06G55</t>
        </is>
      </c>
      <c r="E456" s="10" t="inlineStr">
        <is>
          <t>K02</t>
        </is>
      </c>
      <c r="F456" s="10" t="inlineStr">
        <is>
          <t>King</t>
        </is>
      </c>
      <c r="H456" s="16" t="n"/>
      <c r="J456" s="16" t="n"/>
      <c r="L456" s="10" t="inlineStr">
        <is>
          <t>Typology drawing R01</t>
        </is>
      </c>
      <c r="M456" s="10">
        <f>Config!$B$3&amp;"?room="&amp;A456</f>
        <v/>
      </c>
    </row>
    <row r="457" ht="15" customHeight="1" s="11">
      <c r="A457" s="10" t="inlineStr">
        <is>
          <t>B-L06-K02-02</t>
        </is>
      </c>
      <c r="B457" s="10" t="inlineStr">
        <is>
          <t>Tower B</t>
        </is>
      </c>
      <c r="C457" s="10" t="inlineStr">
        <is>
          <t>L06</t>
        </is>
      </c>
      <c r="D457" s="10" t="inlineStr">
        <is>
          <t>BL06G71</t>
        </is>
      </c>
      <c r="E457" s="10" t="inlineStr">
        <is>
          <t>K02</t>
        </is>
      </c>
      <c r="F457" s="10" t="inlineStr">
        <is>
          <t>King</t>
        </is>
      </c>
      <c r="H457" s="16" t="n"/>
      <c r="J457" s="16" t="n"/>
      <c r="L457" s="10" t="inlineStr">
        <is>
          <t>Typology drawing R01</t>
        </is>
      </c>
      <c r="M457" s="10">
        <f>Config!$B$3&amp;"?room="&amp;A457</f>
        <v/>
      </c>
    </row>
    <row r="458" ht="15" customHeight="1" s="11">
      <c r="A458" s="10" t="inlineStr">
        <is>
          <t>B-L06-K02-03</t>
        </is>
      </c>
      <c r="B458" s="10" t="inlineStr">
        <is>
          <t>Tower B</t>
        </is>
      </c>
      <c r="C458" s="10" t="inlineStr">
        <is>
          <t>L06</t>
        </is>
      </c>
      <c r="D458" s="10" t="inlineStr">
        <is>
          <t>BL06G79</t>
        </is>
      </c>
      <c r="E458" s="10" t="inlineStr">
        <is>
          <t>K02</t>
        </is>
      </c>
      <c r="F458" s="10" t="inlineStr">
        <is>
          <t>King</t>
        </is>
      </c>
      <c r="H458" s="16" t="n"/>
      <c r="J458" s="16" t="n"/>
      <c r="L458" s="10" t="inlineStr">
        <is>
          <t>Typology drawing R01</t>
        </is>
      </c>
      <c r="M458" s="10">
        <f>Config!$B$3&amp;"?room="&amp;A458</f>
        <v/>
      </c>
    </row>
    <row r="459" ht="15" customHeight="1" s="11">
      <c r="A459" s="10" t="inlineStr">
        <is>
          <t>B-L06-K02A-01</t>
        </is>
      </c>
      <c r="B459" s="10" t="inlineStr">
        <is>
          <t>Tower B</t>
        </is>
      </c>
      <c r="C459" s="10" t="inlineStr">
        <is>
          <t>L06</t>
        </is>
      </c>
      <c r="D459" s="10" t="inlineStr">
        <is>
          <t>BL06G74</t>
        </is>
      </c>
      <c r="E459" s="10" t="inlineStr">
        <is>
          <t>K02A</t>
        </is>
      </c>
      <c r="F459" s="10" t="inlineStr">
        <is>
          <t>King</t>
        </is>
      </c>
      <c r="H459" s="16" t="n"/>
      <c r="J459" s="16" t="n"/>
      <c r="L459" s="10" t="inlineStr">
        <is>
          <t>Typology drawing R01</t>
        </is>
      </c>
      <c r="M459" s="10">
        <f>Config!$B$3&amp;"?room="&amp;A459</f>
        <v/>
      </c>
    </row>
    <row r="460" ht="15" customHeight="1" s="11">
      <c r="A460" s="10" t="inlineStr">
        <is>
          <t>B-L06-K02A-02</t>
        </is>
      </c>
      <c r="B460" s="10" t="inlineStr">
        <is>
          <t>Tower B</t>
        </is>
      </c>
      <c r="C460" s="10" t="inlineStr">
        <is>
          <t>L06</t>
        </is>
      </c>
      <c r="D460" s="10" t="inlineStr">
        <is>
          <t>BL06G82</t>
        </is>
      </c>
      <c r="E460" s="10" t="inlineStr">
        <is>
          <t>K02A</t>
        </is>
      </c>
      <c r="F460" s="10" t="inlineStr">
        <is>
          <t>King</t>
        </is>
      </c>
      <c r="H460" s="16" t="n"/>
      <c r="J460" s="16" t="n"/>
      <c r="L460" s="10" t="inlineStr">
        <is>
          <t>Typology drawing R01</t>
        </is>
      </c>
      <c r="M460" s="10">
        <f>Config!$B$3&amp;"?room="&amp;A460</f>
        <v/>
      </c>
    </row>
    <row r="461" ht="15" customHeight="1" s="11">
      <c r="A461" s="10" t="inlineStr">
        <is>
          <t>B-L06-K02C-01</t>
        </is>
      </c>
      <c r="B461" s="10" t="inlineStr">
        <is>
          <t>Tower B</t>
        </is>
      </c>
      <c r="C461" s="10" t="inlineStr">
        <is>
          <t>L06</t>
        </is>
      </c>
      <c r="D461" s="10" t="inlineStr">
        <is>
          <t>BL06G59</t>
        </is>
      </c>
      <c r="E461" s="10" t="inlineStr">
        <is>
          <t>K02C</t>
        </is>
      </c>
      <c r="F461" s="10" t="inlineStr">
        <is>
          <t>King</t>
        </is>
      </c>
      <c r="H461" s="16" t="n"/>
      <c r="J461" s="16" t="n"/>
      <c r="L461" s="10" t="inlineStr">
        <is>
          <t>Typology drawing R01</t>
        </is>
      </c>
      <c r="M461" s="10">
        <f>Config!$B$3&amp;"?room="&amp;A461</f>
        <v/>
      </c>
    </row>
    <row r="462" ht="15" customHeight="1" s="11">
      <c r="A462" s="10" t="inlineStr">
        <is>
          <t>B-L06-K02C-02</t>
        </is>
      </c>
      <c r="B462" s="10" t="inlineStr">
        <is>
          <t>Tower B</t>
        </is>
      </c>
      <c r="C462" s="10" t="inlineStr">
        <is>
          <t>L06</t>
        </is>
      </c>
      <c r="D462" s="10" t="inlineStr">
        <is>
          <t>BL06G75</t>
        </is>
      </c>
      <c r="E462" s="10" t="inlineStr">
        <is>
          <t>K02C</t>
        </is>
      </c>
      <c r="F462" s="10" t="inlineStr">
        <is>
          <t>King</t>
        </is>
      </c>
      <c r="H462" s="16" t="n"/>
      <c r="J462" s="16" t="n"/>
      <c r="L462" s="10" t="inlineStr">
        <is>
          <t>Typology drawing R01</t>
        </is>
      </c>
      <c r="M462" s="10">
        <f>Config!$B$3&amp;"?room="&amp;A462</f>
        <v/>
      </c>
    </row>
    <row r="463" ht="15" customHeight="1" s="11">
      <c r="A463" s="10" t="inlineStr">
        <is>
          <t>B-L06-K03</t>
        </is>
      </c>
      <c r="B463" s="10" t="inlineStr">
        <is>
          <t>Tower B</t>
        </is>
      </c>
      <c r="C463" s="10" t="inlineStr">
        <is>
          <t>L06</t>
        </is>
      </c>
      <c r="D463" s="10" t="inlineStr">
        <is>
          <t>BL06G89</t>
        </is>
      </c>
      <c r="E463" s="10" t="inlineStr">
        <is>
          <t>K03</t>
        </is>
      </c>
      <c r="F463" s="10" t="inlineStr">
        <is>
          <t>King</t>
        </is>
      </c>
      <c r="H463" s="16" t="n"/>
      <c r="J463" s="16" t="n"/>
      <c r="L463" s="10" t="inlineStr">
        <is>
          <t>Typology drawing R01</t>
        </is>
      </c>
      <c r="M463" s="10">
        <f>Config!$B$3&amp;"?room="&amp;A463</f>
        <v/>
      </c>
    </row>
    <row r="464" ht="15" customHeight="1" s="11">
      <c r="A464" s="10" t="inlineStr">
        <is>
          <t>B-L06-KADA2</t>
        </is>
      </c>
      <c r="B464" s="10" t="inlineStr">
        <is>
          <t>Tower B</t>
        </is>
      </c>
      <c r="C464" s="10" t="inlineStr">
        <is>
          <t>L06</t>
        </is>
      </c>
      <c r="D464" s="10" t="inlineStr">
        <is>
          <t>BL06G60</t>
        </is>
      </c>
      <c r="E464" s="10" t="inlineStr">
        <is>
          <t>KADA2</t>
        </is>
      </c>
      <c r="F464" s="10" t="inlineStr">
        <is>
          <t>King ADA</t>
        </is>
      </c>
      <c r="H464" s="16" t="n"/>
      <c r="J464" s="16" t="n"/>
      <c r="L464" s="10" t="inlineStr">
        <is>
          <t>Typology drawing R01</t>
        </is>
      </c>
      <c r="M464" s="10">
        <f>Config!$B$3&amp;"?room="&amp;A464</f>
        <v/>
      </c>
    </row>
    <row r="465" ht="15" customHeight="1" s="11">
      <c r="A465" s="10" t="inlineStr">
        <is>
          <t>B-L06-Q01C</t>
        </is>
      </c>
      <c r="B465" s="10" t="inlineStr">
        <is>
          <t>Tower B</t>
        </is>
      </c>
      <c r="C465" s="10" t="inlineStr">
        <is>
          <t>L06</t>
        </is>
      </c>
      <c r="D465" s="10" t="inlineStr">
        <is>
          <t>BL06G83</t>
        </is>
      </c>
      <c r="E465" s="10" t="inlineStr">
        <is>
          <t>Q01C</t>
        </is>
      </c>
      <c r="F465" s="10" t="inlineStr">
        <is>
          <t>Queen</t>
        </is>
      </c>
      <c r="H465" s="16" t="n"/>
      <c r="J465" s="16" t="n"/>
      <c r="L465" s="10" t="inlineStr">
        <is>
          <t>Typology drawing R01</t>
        </is>
      </c>
      <c r="M465" s="10">
        <f>Config!$B$3&amp;"?room="&amp;A465</f>
        <v/>
      </c>
    </row>
    <row r="466" ht="15" customHeight="1" s="11">
      <c r="A466" s="10" t="inlineStr">
        <is>
          <t>B-L06-Q01C1-01</t>
        </is>
      </c>
      <c r="B466" s="10" t="inlineStr">
        <is>
          <t>Tower B</t>
        </is>
      </c>
      <c r="C466" s="10" t="inlineStr">
        <is>
          <t>L06</t>
        </is>
      </c>
      <c r="D466" s="10" t="inlineStr">
        <is>
          <t>BL06G64</t>
        </is>
      </c>
      <c r="E466" s="10" t="inlineStr">
        <is>
          <t>Q01C1</t>
        </is>
      </c>
      <c r="F466" s="10" t="inlineStr">
        <is>
          <t>Queen</t>
        </is>
      </c>
      <c r="H466" s="16" t="n"/>
      <c r="J466" s="16" t="n"/>
      <c r="L466" s="10" t="inlineStr">
        <is>
          <t>Typology drawing R01</t>
        </is>
      </c>
      <c r="M466" s="10">
        <f>Config!$B$3&amp;"?room="&amp;A466</f>
        <v/>
      </c>
    </row>
    <row r="467" ht="15" customHeight="1" s="11">
      <c r="A467" s="10" t="inlineStr">
        <is>
          <t>B-L06-Q01C1-02</t>
        </is>
      </c>
      <c r="B467" s="10" t="inlineStr">
        <is>
          <t>Tower B</t>
        </is>
      </c>
      <c r="C467" s="10" t="inlineStr">
        <is>
          <t>L06</t>
        </is>
      </c>
      <c r="D467" s="10" t="inlineStr">
        <is>
          <t>BL06G70</t>
        </is>
      </c>
      <c r="E467" s="10" t="inlineStr">
        <is>
          <t>Q01C1</t>
        </is>
      </c>
      <c r="F467" s="10" t="inlineStr">
        <is>
          <t>Queen</t>
        </is>
      </c>
      <c r="H467" s="16" t="n"/>
      <c r="J467" s="16" t="n"/>
      <c r="L467" s="10" t="inlineStr">
        <is>
          <t>Typology drawing R01</t>
        </is>
      </c>
      <c r="M467" s="10">
        <f>Config!$B$3&amp;"?room="&amp;A467</f>
        <v/>
      </c>
    </row>
    <row r="468" ht="15" customHeight="1" s="11">
      <c r="A468" s="10" t="inlineStr">
        <is>
          <t>B-L06-Q01C1-03</t>
        </is>
      </c>
      <c r="B468" s="10" t="inlineStr">
        <is>
          <t>Tower B</t>
        </is>
      </c>
      <c r="C468" s="10" t="inlineStr">
        <is>
          <t>L06</t>
        </is>
      </c>
      <c r="D468" s="10" t="inlineStr">
        <is>
          <t>BL06G78</t>
        </is>
      </c>
      <c r="E468" s="10" t="inlineStr">
        <is>
          <t>Q01C1</t>
        </is>
      </c>
      <c r="F468" s="10" t="inlineStr">
        <is>
          <t>Queen</t>
        </is>
      </c>
      <c r="H468" s="16" t="n"/>
      <c r="J468" s="16" t="n"/>
      <c r="L468" s="10" t="inlineStr">
        <is>
          <t>Typology drawing R01</t>
        </is>
      </c>
      <c r="M468" s="10">
        <f>Config!$B$3&amp;"?room="&amp;A468</f>
        <v/>
      </c>
    </row>
    <row r="469" ht="15" customHeight="1" s="11">
      <c r="A469" s="10" t="inlineStr">
        <is>
          <t>B-L06-Q02C-01</t>
        </is>
      </c>
      <c r="B469" s="10" t="inlineStr">
        <is>
          <t>Tower B</t>
        </is>
      </c>
      <c r="C469" s="10" t="inlineStr">
        <is>
          <t>L06</t>
        </is>
      </c>
      <c r="D469" s="10" t="inlineStr">
        <is>
          <t>BL06G57</t>
        </is>
      </c>
      <c r="E469" s="10" t="inlineStr">
        <is>
          <t>Q02C</t>
        </is>
      </c>
      <c r="F469" s="10" t="inlineStr">
        <is>
          <t>Queen</t>
        </is>
      </c>
      <c r="H469" s="16" t="n"/>
      <c r="J469" s="16" t="n"/>
      <c r="L469" s="10" t="inlineStr">
        <is>
          <t>Typology drawing R01</t>
        </is>
      </c>
      <c r="M469" s="10">
        <f>Config!$B$3&amp;"?room="&amp;A469</f>
        <v/>
      </c>
    </row>
    <row r="470" ht="15" customHeight="1" s="11">
      <c r="A470" s="10" t="inlineStr">
        <is>
          <t>B-L06-Q02C-02</t>
        </is>
      </c>
      <c r="B470" s="10" t="inlineStr">
        <is>
          <t>Tower B</t>
        </is>
      </c>
      <c r="C470" s="10" t="inlineStr">
        <is>
          <t>L06</t>
        </is>
      </c>
      <c r="D470" s="10" t="inlineStr">
        <is>
          <t>BL06G73</t>
        </is>
      </c>
      <c r="E470" s="10" t="inlineStr">
        <is>
          <t>Q02C</t>
        </is>
      </c>
      <c r="F470" s="10" t="inlineStr">
        <is>
          <t>Queen</t>
        </is>
      </c>
      <c r="H470" s="16" t="n"/>
      <c r="J470" s="16" t="n"/>
      <c r="L470" s="10" t="inlineStr">
        <is>
          <t>Typology drawing R01</t>
        </is>
      </c>
      <c r="M470" s="10">
        <f>Config!$B$3&amp;"?room="&amp;A470</f>
        <v/>
      </c>
    </row>
    <row r="471" ht="15" customHeight="1" s="11">
      <c r="A471" s="10" t="inlineStr">
        <is>
          <t>B-L06-Q02C-03</t>
        </is>
      </c>
      <c r="B471" s="10" t="inlineStr">
        <is>
          <t>Tower B</t>
        </is>
      </c>
      <c r="C471" s="10" t="inlineStr">
        <is>
          <t>L06</t>
        </is>
      </c>
      <c r="D471" s="10" t="inlineStr">
        <is>
          <t>BL06G87</t>
        </is>
      </c>
      <c r="E471" s="10" t="inlineStr">
        <is>
          <t>Q02C</t>
        </is>
      </c>
      <c r="F471" s="10" t="inlineStr">
        <is>
          <t>Queen</t>
        </is>
      </c>
      <c r="H471" s="16" t="n"/>
      <c r="J471" s="16" t="n"/>
      <c r="L471" s="10" t="inlineStr">
        <is>
          <t>Typology drawing R01</t>
        </is>
      </c>
      <c r="M471" s="10">
        <f>Config!$B$3&amp;"?room="&amp;A471</f>
        <v/>
      </c>
    </row>
    <row r="472" ht="15" customHeight="1" s="11">
      <c r="A472" s="10" t="inlineStr">
        <is>
          <t>B-L06-Q02C1</t>
        </is>
      </c>
      <c r="B472" s="10" t="inlineStr">
        <is>
          <t>Tower B</t>
        </is>
      </c>
      <c r="C472" s="10" t="inlineStr">
        <is>
          <t>L06</t>
        </is>
      </c>
      <c r="D472" s="10" t="inlineStr">
        <is>
          <t>BL06G62</t>
        </is>
      </c>
      <c r="E472" s="10" t="inlineStr">
        <is>
          <t>Q02C1</t>
        </is>
      </c>
      <c r="F472" s="10" t="inlineStr">
        <is>
          <t>Queen</t>
        </is>
      </c>
      <c r="H472" s="16" t="n"/>
      <c r="J472" s="16" t="n"/>
      <c r="L472" s="10" t="inlineStr">
        <is>
          <t>Typology drawing R01</t>
        </is>
      </c>
      <c r="M472" s="10">
        <f>Config!$B$3&amp;"?room="&amp;A472</f>
        <v/>
      </c>
    </row>
    <row r="473" ht="15" customHeight="1" s="11">
      <c r="A473" s="10" t="inlineStr">
        <is>
          <t>B-L06-Q02D</t>
        </is>
      </c>
      <c r="B473" s="10" t="inlineStr">
        <is>
          <t>Tower B</t>
        </is>
      </c>
      <c r="C473" s="10" t="inlineStr">
        <is>
          <t>L06</t>
        </is>
      </c>
      <c r="D473" s="10" t="inlineStr">
        <is>
          <t>BL06G85</t>
        </is>
      </c>
      <c r="E473" s="10" t="inlineStr">
        <is>
          <t>Q02D</t>
        </is>
      </c>
      <c r="F473" s="10" t="inlineStr">
        <is>
          <t>Queen</t>
        </is>
      </c>
      <c r="H473" s="16" t="n"/>
      <c r="J473" s="16" t="n"/>
      <c r="L473" s="10" t="inlineStr">
        <is>
          <t>Typology drawing R01</t>
        </is>
      </c>
      <c r="M473" s="10">
        <f>Config!$B$3&amp;"?room="&amp;A473</f>
        <v/>
      </c>
    </row>
    <row r="474" ht="15" customHeight="1" s="11">
      <c r="A474" s="10" t="inlineStr">
        <is>
          <t>B-L06-Q04</t>
        </is>
      </c>
      <c r="B474" s="10" t="inlineStr">
        <is>
          <t>Tower B</t>
        </is>
      </c>
      <c r="C474" s="10" t="inlineStr">
        <is>
          <t>L06</t>
        </is>
      </c>
      <c r="D474" s="10" t="inlineStr">
        <is>
          <t>BL06G69</t>
        </is>
      </c>
      <c r="E474" s="10" t="inlineStr">
        <is>
          <t>Q04</t>
        </is>
      </c>
      <c r="F474" s="10" t="inlineStr">
        <is>
          <t>Queen</t>
        </is>
      </c>
      <c r="H474" s="16" t="n"/>
      <c r="J474" s="16" t="n"/>
      <c r="L474" s="10" t="inlineStr">
        <is>
          <t>Typology drawing R01</t>
        </is>
      </c>
      <c r="M474" s="10">
        <f>Config!$B$3&amp;"?room="&amp;A474</f>
        <v/>
      </c>
    </row>
    <row r="475" ht="15" customHeight="1" s="11">
      <c r="A475" s="10" t="inlineStr">
        <is>
          <t>B-L06-Q05</t>
        </is>
      </c>
      <c r="B475" s="10" t="inlineStr">
        <is>
          <t>Tower B</t>
        </is>
      </c>
      <c r="C475" s="10" t="inlineStr">
        <is>
          <t>L06</t>
        </is>
      </c>
      <c r="D475" s="10" t="inlineStr">
        <is>
          <t>BL06G51</t>
        </is>
      </c>
      <c r="E475" s="10" t="inlineStr">
        <is>
          <t>Q05</t>
        </is>
      </c>
      <c r="F475" s="10" t="inlineStr">
        <is>
          <t>Queen</t>
        </is>
      </c>
      <c r="H475" s="16" t="n"/>
      <c r="J475" s="16" t="n"/>
      <c r="L475" s="10" t="inlineStr">
        <is>
          <t>Typology drawing R01</t>
        </is>
      </c>
      <c r="M475" s="10">
        <f>Config!$B$3&amp;"?room="&amp;A475</f>
        <v/>
      </c>
    </row>
    <row r="476" ht="15" customHeight="1" s="11">
      <c r="A476" s="10" t="inlineStr">
        <is>
          <t>B-L06-Q06</t>
        </is>
      </c>
      <c r="B476" s="10" t="inlineStr">
        <is>
          <t>Tower B</t>
        </is>
      </c>
      <c r="C476" s="10" t="inlineStr">
        <is>
          <t>L06</t>
        </is>
      </c>
      <c r="D476" s="10" t="inlineStr">
        <is>
          <t>BL06G86</t>
        </is>
      </c>
      <c r="E476" s="10" t="inlineStr">
        <is>
          <t>Q06</t>
        </is>
      </c>
      <c r="F476" s="10" t="inlineStr">
        <is>
          <t>Queen</t>
        </is>
      </c>
      <c r="H476" s="16" t="n"/>
      <c r="J476" s="16" t="n"/>
      <c r="L476" s="10" t="inlineStr">
        <is>
          <t>Typology drawing R01</t>
        </is>
      </c>
      <c r="M476" s="10">
        <f>Config!$B$3&amp;"?room="&amp;A476</f>
        <v/>
      </c>
    </row>
    <row r="477" ht="15" customHeight="1" s="11">
      <c r="A477" s="10" t="inlineStr">
        <is>
          <t>B-L06-S03</t>
        </is>
      </c>
      <c r="B477" s="10" t="inlineStr">
        <is>
          <t>Tower B</t>
        </is>
      </c>
      <c r="C477" s="10" t="inlineStr">
        <is>
          <t>L06</t>
        </is>
      </c>
      <c r="D477" s="10" t="inlineStr">
        <is>
          <t>BL06G66</t>
        </is>
      </c>
      <c r="E477" s="10" t="inlineStr">
        <is>
          <t>S03</t>
        </is>
      </c>
      <c r="F477" s="10" t="inlineStr">
        <is>
          <t>Suite</t>
        </is>
      </c>
      <c r="H477" s="16" t="n"/>
      <c r="J477" s="16" t="n"/>
      <c r="L477" s="10" t="inlineStr">
        <is>
          <t>Typology drawing R01</t>
        </is>
      </c>
      <c r="M477" s="10">
        <f>Config!$B$3&amp;"?room="&amp;A477</f>
        <v/>
      </c>
    </row>
    <row r="478" ht="15" customHeight="1" s="11">
      <c r="A478" s="10" t="inlineStr">
        <is>
          <t>B-L06-S07</t>
        </is>
      </c>
      <c r="B478" s="10" t="inlineStr">
        <is>
          <t>Tower B</t>
        </is>
      </c>
      <c r="C478" s="10" t="inlineStr">
        <is>
          <t>L06</t>
        </is>
      </c>
      <c r="D478" s="10" t="inlineStr">
        <is>
          <t>BL06G49</t>
        </is>
      </c>
      <c r="E478" s="10" t="inlineStr">
        <is>
          <t>S07</t>
        </is>
      </c>
      <c r="F478" s="10" t="inlineStr">
        <is>
          <t>Suite</t>
        </is>
      </c>
      <c r="H478" s="16" t="n"/>
      <c r="J478" s="16" t="n"/>
      <c r="L478" s="10" t="inlineStr">
        <is>
          <t>Typology drawing R01</t>
        </is>
      </c>
      <c r="M478" s="10">
        <f>Config!$B$3&amp;"?room="&amp;A478</f>
        <v/>
      </c>
    </row>
    <row r="479" ht="15" customHeight="1" s="11">
      <c r="A479" s="10" t="inlineStr">
        <is>
          <t>B-L07-F02</t>
        </is>
      </c>
      <c r="B479" s="10" t="inlineStr">
        <is>
          <t>Tower B</t>
        </is>
      </c>
      <c r="C479" s="10" t="inlineStr">
        <is>
          <t>L07</t>
        </is>
      </c>
      <c r="D479" s="10" t="inlineStr">
        <is>
          <t>BL07G88</t>
        </is>
      </c>
      <c r="E479" s="10" t="inlineStr">
        <is>
          <t>F02</t>
        </is>
      </c>
      <c r="F479" s="10" t="inlineStr">
        <is>
          <t>Family</t>
        </is>
      </c>
      <c r="H479" s="16" t="n"/>
      <c r="J479" s="16" t="n"/>
      <c r="L479" s="10" t="inlineStr">
        <is>
          <t>Typology drawing R01</t>
        </is>
      </c>
      <c r="M479" s="10">
        <f>Config!$B$3&amp;"?room="&amp;A479</f>
        <v/>
      </c>
    </row>
    <row r="480" ht="15" customHeight="1" s="11">
      <c r="A480" s="10" t="inlineStr">
        <is>
          <t>B-L07-F06</t>
        </is>
      </c>
      <c r="B480" s="10" t="inlineStr">
        <is>
          <t>Tower B</t>
        </is>
      </c>
      <c r="C480" s="10" t="inlineStr">
        <is>
          <t>L07</t>
        </is>
      </c>
      <c r="D480" s="10" t="inlineStr">
        <is>
          <t>BL07G63</t>
        </is>
      </c>
      <c r="E480" s="10" t="inlineStr">
        <is>
          <t>F06</t>
        </is>
      </c>
      <c r="F480" s="10" t="inlineStr">
        <is>
          <t>Family</t>
        </is>
      </c>
      <c r="H480" s="16" t="n"/>
      <c r="J480" s="16" t="n"/>
      <c r="L480" s="10" t="inlineStr">
        <is>
          <t>Typology drawing R01</t>
        </is>
      </c>
      <c r="M480" s="10">
        <f>Config!$B$3&amp;"?room="&amp;A480</f>
        <v/>
      </c>
    </row>
    <row r="481" ht="15" customHeight="1" s="11">
      <c r="A481" s="10" t="inlineStr">
        <is>
          <t>B-L07-K01A-01</t>
        </is>
      </c>
      <c r="B481" s="10" t="inlineStr">
        <is>
          <t>Tower B</t>
        </is>
      </c>
      <c r="C481" s="10" t="inlineStr">
        <is>
          <t>L07</t>
        </is>
      </c>
      <c r="D481" s="10" t="inlineStr">
        <is>
          <t>BL07G58</t>
        </is>
      </c>
      <c r="E481" s="10" t="inlineStr">
        <is>
          <t>K01A</t>
        </is>
      </c>
      <c r="F481" s="10" t="inlineStr">
        <is>
          <t>King</t>
        </is>
      </c>
      <c r="H481" s="16" t="n"/>
      <c r="J481" s="16" t="n"/>
      <c r="L481" s="10" t="inlineStr">
        <is>
          <t>Typology drawing R01</t>
        </is>
      </c>
      <c r="M481" s="10">
        <f>Config!$B$3&amp;"?room="&amp;A481</f>
        <v/>
      </c>
    </row>
    <row r="482" ht="15" customHeight="1" s="11">
      <c r="A482" s="10" t="inlineStr">
        <is>
          <t>B-L07-K01A-02</t>
        </is>
      </c>
      <c r="B482" s="10" t="inlineStr">
        <is>
          <t>Tower B</t>
        </is>
      </c>
      <c r="C482" s="10" t="inlineStr">
        <is>
          <t>L07</t>
        </is>
      </c>
      <c r="D482" s="10" t="inlineStr">
        <is>
          <t>BL07G76</t>
        </is>
      </c>
      <c r="E482" s="10" t="inlineStr">
        <is>
          <t>K01A</t>
        </is>
      </c>
      <c r="F482" s="10" t="inlineStr">
        <is>
          <t>King</t>
        </is>
      </c>
      <c r="H482" s="16" t="n"/>
      <c r="J482" s="16" t="n"/>
      <c r="L482" s="10" t="inlineStr">
        <is>
          <t>Typology drawing R01</t>
        </is>
      </c>
      <c r="M482" s="10">
        <f>Config!$B$3&amp;"?room="&amp;A482</f>
        <v/>
      </c>
    </row>
    <row r="483" ht="15" customHeight="1" s="11">
      <c r="A483" s="10" t="inlineStr">
        <is>
          <t>B-L07-K01A-03</t>
        </is>
      </c>
      <c r="B483" s="10" t="inlineStr">
        <is>
          <t>Tower B</t>
        </is>
      </c>
      <c r="C483" s="10" t="inlineStr">
        <is>
          <t>L07</t>
        </is>
      </c>
      <c r="D483" s="10" t="inlineStr">
        <is>
          <t>BL07G84</t>
        </is>
      </c>
      <c r="E483" s="10" t="inlineStr">
        <is>
          <t>K01A</t>
        </is>
      </c>
      <c r="F483" s="10" t="inlineStr">
        <is>
          <t>King</t>
        </is>
      </c>
      <c r="H483" s="16" t="n"/>
      <c r="J483" s="16" t="n"/>
      <c r="L483" s="10" t="inlineStr">
        <is>
          <t>Typology drawing R01</t>
        </is>
      </c>
      <c r="M483" s="10">
        <f>Config!$B$3&amp;"?room="&amp;A483</f>
        <v/>
      </c>
    </row>
    <row r="484" ht="15" customHeight="1" s="11">
      <c r="A484" s="10" t="inlineStr">
        <is>
          <t>B-L07-K01C1-01</t>
        </is>
      </c>
      <c r="B484" s="10" t="inlineStr">
        <is>
          <t>Tower B</t>
        </is>
      </c>
      <c r="C484" s="10" t="inlineStr">
        <is>
          <t>L07</t>
        </is>
      </c>
      <c r="D484" s="10" t="inlineStr">
        <is>
          <t>BL07G72</t>
        </is>
      </c>
      <c r="E484" s="10" t="inlineStr">
        <is>
          <t>K01C1</t>
        </is>
      </c>
      <c r="F484" s="10" t="inlineStr">
        <is>
          <t>King</t>
        </is>
      </c>
      <c r="H484" s="16" t="n"/>
      <c r="J484" s="16" t="n"/>
      <c r="L484" s="10" t="inlineStr">
        <is>
          <t>Type per Room Matrix (drawing shows K01C)</t>
        </is>
      </c>
      <c r="M484" s="10">
        <f>Config!$B$3&amp;"?room="&amp;A484</f>
        <v/>
      </c>
    </row>
    <row r="485" ht="15" customHeight="1" s="11">
      <c r="A485" s="10" t="inlineStr">
        <is>
          <t>B-L07-K01C1-02</t>
        </is>
      </c>
      <c r="B485" s="10" t="inlineStr">
        <is>
          <t>Tower B</t>
        </is>
      </c>
      <c r="C485" s="10" t="inlineStr">
        <is>
          <t>L07</t>
        </is>
      </c>
      <c r="D485" s="10" t="inlineStr">
        <is>
          <t>BL07G80</t>
        </is>
      </c>
      <c r="E485" s="10" t="inlineStr">
        <is>
          <t>K01C1</t>
        </is>
      </c>
      <c r="F485" s="10" t="inlineStr">
        <is>
          <t>King</t>
        </is>
      </c>
      <c r="H485" s="16" t="n"/>
      <c r="J485" s="16" t="n"/>
      <c r="L485" s="10" t="inlineStr">
        <is>
          <t>Type per Room Matrix (drawing shows K01C)</t>
        </is>
      </c>
      <c r="M485" s="10">
        <f>Config!$B$3&amp;"?room="&amp;A485</f>
        <v/>
      </c>
    </row>
    <row r="486" ht="15" customHeight="1" s="11">
      <c r="A486" s="10" t="inlineStr">
        <is>
          <t>B-L07-K02A-01</t>
        </is>
      </c>
      <c r="B486" s="10" t="inlineStr">
        <is>
          <t>Tower B</t>
        </is>
      </c>
      <c r="C486" s="10" t="inlineStr">
        <is>
          <t>L07</t>
        </is>
      </c>
      <c r="D486" s="10" t="inlineStr">
        <is>
          <t>BL07G74</t>
        </is>
      </c>
      <c r="E486" s="10" t="inlineStr">
        <is>
          <t>K02A</t>
        </is>
      </c>
      <c r="F486" s="10" t="inlineStr">
        <is>
          <t>King</t>
        </is>
      </c>
      <c r="H486" s="16" t="n"/>
      <c r="J486" s="16" t="n"/>
      <c r="L486" s="10" t="inlineStr">
        <is>
          <t>Typology drawing R01</t>
        </is>
      </c>
      <c r="M486" s="10">
        <f>Config!$B$3&amp;"?room="&amp;A486</f>
        <v/>
      </c>
    </row>
    <row r="487" ht="15" customHeight="1" s="11">
      <c r="A487" s="10" t="inlineStr">
        <is>
          <t>B-L07-K02A-02</t>
        </is>
      </c>
      <c r="B487" s="10" t="inlineStr">
        <is>
          <t>Tower B</t>
        </is>
      </c>
      <c r="C487" s="10" t="inlineStr">
        <is>
          <t>L07</t>
        </is>
      </c>
      <c r="D487" s="10" t="inlineStr">
        <is>
          <t>BL07G82</t>
        </is>
      </c>
      <c r="E487" s="10" t="inlineStr">
        <is>
          <t>K02A</t>
        </is>
      </c>
      <c r="F487" s="10" t="inlineStr">
        <is>
          <t>King</t>
        </is>
      </c>
      <c r="H487" s="16" t="n"/>
      <c r="J487" s="16" t="n"/>
      <c r="L487" s="10" t="inlineStr">
        <is>
          <t>Typology drawing R01</t>
        </is>
      </c>
      <c r="M487" s="10">
        <f>Config!$B$3&amp;"?room="&amp;A487</f>
        <v/>
      </c>
    </row>
    <row r="488" ht="15" customHeight="1" s="11">
      <c r="A488" s="10" t="inlineStr">
        <is>
          <t>B-L07-KADA2</t>
        </is>
      </c>
      <c r="B488" s="10" t="inlineStr">
        <is>
          <t>Tower B</t>
        </is>
      </c>
      <c r="C488" s="10" t="inlineStr">
        <is>
          <t>L07</t>
        </is>
      </c>
      <c r="D488" s="10" t="inlineStr">
        <is>
          <t>BL07G60</t>
        </is>
      </c>
      <c r="E488" s="10" t="inlineStr">
        <is>
          <t>KADA2</t>
        </is>
      </c>
      <c r="F488" s="10" t="inlineStr">
        <is>
          <t>King ADA</t>
        </is>
      </c>
      <c r="H488" s="16" t="n"/>
      <c r="J488" s="16" t="n"/>
      <c r="L488" s="10" t="inlineStr">
        <is>
          <t>Typology drawing R01</t>
        </is>
      </c>
      <c r="M488" s="10">
        <f>Config!$B$3&amp;"?room="&amp;A488</f>
        <v/>
      </c>
    </row>
    <row r="489" ht="15" customHeight="1" s="11">
      <c r="A489" s="10" t="inlineStr">
        <is>
          <t>B-L07-PS02</t>
        </is>
      </c>
      <c r="B489" s="10" t="inlineStr">
        <is>
          <t>Tower B</t>
        </is>
      </c>
      <c r="C489" s="10" t="inlineStr">
        <is>
          <t>L07</t>
        </is>
      </c>
      <c r="D489" s="10" t="inlineStr">
        <is>
          <t>BL07G51</t>
        </is>
      </c>
      <c r="E489" s="10" t="inlineStr">
        <is>
          <t>PS02</t>
        </is>
      </c>
      <c r="F489" s="10" t="inlineStr">
        <is>
          <t>Premium Suite</t>
        </is>
      </c>
      <c r="H489" s="16" t="n"/>
      <c r="J489" s="16" t="n"/>
      <c r="L489" s="10" t="inlineStr">
        <is>
          <t>Typology drawing R01</t>
        </is>
      </c>
      <c r="M489" s="10">
        <f>Config!$B$3&amp;"?room="&amp;A489</f>
        <v/>
      </c>
    </row>
    <row r="490" ht="15" customHeight="1" s="11">
      <c r="A490" s="10" t="inlineStr">
        <is>
          <t>B-L07-PS03-01</t>
        </is>
      </c>
      <c r="B490" s="10" t="inlineStr">
        <is>
          <t>Tower B</t>
        </is>
      </c>
      <c r="C490" s="10" t="inlineStr">
        <is>
          <t>L07</t>
        </is>
      </c>
      <c r="D490" s="10" t="inlineStr">
        <is>
          <t>BL07G59</t>
        </is>
      </c>
      <c r="E490" s="10" t="inlineStr">
        <is>
          <t>PS03</t>
        </is>
      </c>
      <c r="F490" s="10" t="inlineStr">
        <is>
          <t>Premium Suite</t>
        </is>
      </c>
      <c r="H490" s="16" t="n"/>
      <c r="J490" s="16" t="n"/>
      <c r="L490" s="10" t="inlineStr">
        <is>
          <t>Typology drawing R01</t>
        </is>
      </c>
      <c r="M490" s="10">
        <f>Config!$B$3&amp;"?room="&amp;A490</f>
        <v/>
      </c>
    </row>
    <row r="491" ht="15" customHeight="1" s="11">
      <c r="A491" s="10" t="inlineStr">
        <is>
          <t>B-L07-PS03-02</t>
        </is>
      </c>
      <c r="B491" s="10" t="inlineStr">
        <is>
          <t>Tower B</t>
        </is>
      </c>
      <c r="C491" s="10" t="inlineStr">
        <is>
          <t>L07</t>
        </is>
      </c>
      <c r="D491" s="10" t="inlineStr">
        <is>
          <t>BL07G75</t>
        </is>
      </c>
      <c r="E491" s="10" t="inlineStr">
        <is>
          <t>PS03</t>
        </is>
      </c>
      <c r="F491" s="10" t="inlineStr">
        <is>
          <t>Premium Suite</t>
        </is>
      </c>
      <c r="H491" s="16" t="n"/>
      <c r="J491" s="16" t="n"/>
      <c r="L491" s="10" t="inlineStr">
        <is>
          <t>Typology drawing R01</t>
        </is>
      </c>
      <c r="M491" s="10">
        <f>Config!$B$3&amp;"?room="&amp;A491</f>
        <v/>
      </c>
    </row>
    <row r="492" ht="15" customHeight="1" s="11">
      <c r="A492" s="10" t="inlineStr">
        <is>
          <t>B-L07-Q01C</t>
        </is>
      </c>
      <c r="B492" s="10" t="inlineStr">
        <is>
          <t>Tower B</t>
        </is>
      </c>
      <c r="C492" s="10" t="inlineStr">
        <is>
          <t>L07</t>
        </is>
      </c>
      <c r="D492" s="10" t="inlineStr">
        <is>
          <t>BL07G83</t>
        </is>
      </c>
      <c r="E492" s="10" t="inlineStr">
        <is>
          <t>Q01C</t>
        </is>
      </c>
      <c r="F492" s="10" t="inlineStr">
        <is>
          <t>Queen</t>
        </is>
      </c>
      <c r="H492" s="16" t="n"/>
      <c r="J492" s="16" t="n"/>
      <c r="L492" s="10" t="inlineStr">
        <is>
          <t>Typology drawing R01</t>
        </is>
      </c>
      <c r="M492" s="10">
        <f>Config!$B$3&amp;"?room="&amp;A492</f>
        <v/>
      </c>
    </row>
    <row r="493" ht="15" customHeight="1" s="11">
      <c r="A493" s="10" t="inlineStr">
        <is>
          <t>B-L07-Q01C1-01</t>
        </is>
      </c>
      <c r="B493" s="10" t="inlineStr">
        <is>
          <t>Tower B</t>
        </is>
      </c>
      <c r="C493" s="10" t="inlineStr">
        <is>
          <t>L07</t>
        </is>
      </c>
      <c r="D493" s="10" t="inlineStr">
        <is>
          <t>BL07G64</t>
        </is>
      </c>
      <c r="E493" s="10" t="inlineStr">
        <is>
          <t>Q01C1</t>
        </is>
      </c>
      <c r="F493" s="10" t="inlineStr">
        <is>
          <t>Queen</t>
        </is>
      </c>
      <c r="H493" s="16" t="n"/>
      <c r="J493" s="16" t="n"/>
      <c r="L493" s="10" t="inlineStr">
        <is>
          <t>Typology drawing R01</t>
        </is>
      </c>
      <c r="M493" s="10">
        <f>Config!$B$3&amp;"?room="&amp;A493</f>
        <v/>
      </c>
    </row>
    <row r="494" ht="15" customHeight="1" s="11">
      <c r="A494" s="10" t="inlineStr">
        <is>
          <t>B-L07-Q01C1-02</t>
        </is>
      </c>
      <c r="B494" s="10" t="inlineStr">
        <is>
          <t>Tower B</t>
        </is>
      </c>
      <c r="C494" s="10" t="inlineStr">
        <is>
          <t>L07</t>
        </is>
      </c>
      <c r="D494" s="10" t="inlineStr">
        <is>
          <t>BL07G70</t>
        </is>
      </c>
      <c r="E494" s="10" t="inlineStr">
        <is>
          <t>Q01C1</t>
        </is>
      </c>
      <c r="F494" s="10" t="inlineStr">
        <is>
          <t>Queen</t>
        </is>
      </c>
      <c r="H494" s="16" t="n"/>
      <c r="J494" s="16" t="n"/>
      <c r="L494" s="10" t="inlineStr">
        <is>
          <t>Typology drawing R01</t>
        </is>
      </c>
      <c r="M494" s="10">
        <f>Config!$B$3&amp;"?room="&amp;A494</f>
        <v/>
      </c>
    </row>
    <row r="495" ht="15" customHeight="1" s="11">
      <c r="A495" s="10" t="inlineStr">
        <is>
          <t>B-L07-Q01C1-03</t>
        </is>
      </c>
      <c r="B495" s="10" t="inlineStr">
        <is>
          <t>Tower B</t>
        </is>
      </c>
      <c r="C495" s="10" t="inlineStr">
        <is>
          <t>L07</t>
        </is>
      </c>
      <c r="D495" s="10" t="inlineStr">
        <is>
          <t>BL07G78</t>
        </is>
      </c>
      <c r="E495" s="10" t="inlineStr">
        <is>
          <t>Q01C1</t>
        </is>
      </c>
      <c r="F495" s="10" t="inlineStr">
        <is>
          <t>Queen</t>
        </is>
      </c>
      <c r="H495" s="16" t="n"/>
      <c r="J495" s="16" t="n"/>
      <c r="L495" s="10" t="inlineStr">
        <is>
          <t>Typology drawing R01</t>
        </is>
      </c>
      <c r="M495" s="10">
        <f>Config!$B$3&amp;"?room="&amp;A495</f>
        <v/>
      </c>
    </row>
    <row r="496" ht="15" customHeight="1" s="11">
      <c r="A496" s="10" t="inlineStr">
        <is>
          <t>B-L07-Q02C1</t>
        </is>
      </c>
      <c r="B496" s="10" t="inlineStr">
        <is>
          <t>Tower B</t>
        </is>
      </c>
      <c r="C496" s="10" t="inlineStr">
        <is>
          <t>L07</t>
        </is>
      </c>
      <c r="D496" s="10" t="inlineStr">
        <is>
          <t>BL07G62</t>
        </is>
      </c>
      <c r="E496" s="10" t="inlineStr">
        <is>
          <t>Q02C1</t>
        </is>
      </c>
      <c r="F496" s="10" t="inlineStr">
        <is>
          <t>Queen</t>
        </is>
      </c>
      <c r="H496" s="16" t="n"/>
      <c r="J496" s="16" t="n"/>
      <c r="L496" s="10" t="inlineStr">
        <is>
          <t>Typology drawing R01</t>
        </is>
      </c>
      <c r="M496" s="10">
        <f>Config!$B$3&amp;"?room="&amp;A496</f>
        <v/>
      </c>
    </row>
    <row r="497" ht="15" customHeight="1" s="11">
      <c r="A497" s="10" t="inlineStr">
        <is>
          <t>B-L07-Q02E</t>
        </is>
      </c>
      <c r="B497" s="10" t="inlineStr">
        <is>
          <t>Tower B</t>
        </is>
      </c>
      <c r="C497" s="10" t="inlineStr">
        <is>
          <t>L07</t>
        </is>
      </c>
      <c r="D497" s="10" t="inlineStr">
        <is>
          <t>BL07G85</t>
        </is>
      </c>
      <c r="E497" s="10" t="inlineStr">
        <is>
          <t>Q02E</t>
        </is>
      </c>
      <c r="F497" s="10" t="inlineStr">
        <is>
          <t>Queen</t>
        </is>
      </c>
      <c r="H497" s="16" t="n"/>
      <c r="J497" s="16" t="n"/>
      <c r="L497" s="10" t="inlineStr">
        <is>
          <t>Typology drawing R01</t>
        </is>
      </c>
      <c r="M497" s="10">
        <f>Config!$B$3&amp;"?room="&amp;A497</f>
        <v/>
      </c>
    </row>
    <row r="498" ht="15" customHeight="1" s="11">
      <c r="A498" s="10" t="inlineStr">
        <is>
          <t>B-L07-Q04</t>
        </is>
      </c>
      <c r="B498" s="10" t="inlineStr">
        <is>
          <t>Tower B</t>
        </is>
      </c>
      <c r="C498" s="10" t="inlineStr">
        <is>
          <t>L07</t>
        </is>
      </c>
      <c r="D498" s="10" t="inlineStr">
        <is>
          <t>BL07G69</t>
        </is>
      </c>
      <c r="E498" s="10" t="inlineStr">
        <is>
          <t>Q04</t>
        </is>
      </c>
      <c r="F498" s="10" t="inlineStr">
        <is>
          <t>Queen</t>
        </is>
      </c>
      <c r="H498" s="16" t="n"/>
      <c r="J498" s="16" t="n"/>
      <c r="L498" s="10" t="inlineStr">
        <is>
          <t>Typology drawing R01</t>
        </is>
      </c>
      <c r="M498" s="10">
        <f>Config!$B$3&amp;"?room="&amp;A498</f>
        <v/>
      </c>
    </row>
    <row r="499" ht="15" customHeight="1" s="11">
      <c r="A499" s="10" t="inlineStr">
        <is>
          <t>B-L07-Q06</t>
        </is>
      </c>
      <c r="B499" s="10" t="inlineStr">
        <is>
          <t>Tower B</t>
        </is>
      </c>
      <c r="C499" s="10" t="inlineStr">
        <is>
          <t>L07</t>
        </is>
      </c>
      <c r="D499" s="10" t="inlineStr">
        <is>
          <t>BL07G86</t>
        </is>
      </c>
      <c r="E499" s="10" t="inlineStr">
        <is>
          <t>Q06</t>
        </is>
      </c>
      <c r="F499" s="10" t="inlineStr">
        <is>
          <t>Queen</t>
        </is>
      </c>
      <c r="H499" s="16" t="n"/>
      <c r="J499" s="16" t="n"/>
      <c r="L499" s="10" t="inlineStr">
        <is>
          <t>Typology drawing R01</t>
        </is>
      </c>
      <c r="M499" s="10">
        <f>Config!$B$3&amp;"?room="&amp;A499</f>
        <v/>
      </c>
    </row>
    <row r="500" ht="15" customHeight="1" s="11">
      <c r="A500" s="10" t="inlineStr">
        <is>
          <t>B-L07-Q07-01</t>
        </is>
      </c>
      <c r="B500" s="10" t="inlineStr">
        <is>
          <t>Tower B</t>
        </is>
      </c>
      <c r="C500" s="10" t="inlineStr">
        <is>
          <t>L07</t>
        </is>
      </c>
      <c r="D500" s="10" t="inlineStr">
        <is>
          <t>BL07G61</t>
        </is>
      </c>
      <c r="E500" s="10" t="inlineStr">
        <is>
          <t>Q07</t>
        </is>
      </c>
      <c r="F500" s="10" t="inlineStr">
        <is>
          <t>Queen</t>
        </is>
      </c>
      <c r="H500" s="16" t="n"/>
      <c r="J500" s="16" t="n"/>
      <c r="L500" s="10" t="inlineStr">
        <is>
          <t>Typology drawing R01</t>
        </is>
      </c>
      <c r="M500" s="10">
        <f>Config!$B$3&amp;"?room="&amp;A500</f>
        <v/>
      </c>
    </row>
    <row r="501" ht="15" customHeight="1" s="11">
      <c r="A501" s="10" t="inlineStr">
        <is>
          <t>B-L07-Q07-02</t>
        </is>
      </c>
      <c r="B501" s="10" t="inlineStr">
        <is>
          <t>Tower B</t>
        </is>
      </c>
      <c r="C501" s="10" t="inlineStr">
        <is>
          <t>L07</t>
        </is>
      </c>
      <c r="D501" s="10" t="inlineStr">
        <is>
          <t>BL07G77</t>
        </is>
      </c>
      <c r="E501" s="10" t="inlineStr">
        <is>
          <t>Q07</t>
        </is>
      </c>
      <c r="F501" s="10" t="inlineStr">
        <is>
          <t>Queen</t>
        </is>
      </c>
      <c r="H501" s="16" t="n"/>
      <c r="J501" s="16" t="n"/>
      <c r="L501" s="10" t="inlineStr">
        <is>
          <t>Typology drawing R01</t>
        </is>
      </c>
      <c r="M501" s="10">
        <f>Config!$B$3&amp;"?room="&amp;A501</f>
        <v/>
      </c>
    </row>
    <row r="502" ht="15" customHeight="1" s="11">
      <c r="A502" s="10" t="inlineStr">
        <is>
          <t>B-L07-S03</t>
        </is>
      </c>
      <c r="B502" s="10" t="inlineStr">
        <is>
          <t>Tower B</t>
        </is>
      </c>
      <c r="C502" s="10" t="inlineStr">
        <is>
          <t>L07</t>
        </is>
      </c>
      <c r="D502" s="10" t="inlineStr">
        <is>
          <t>BL07G66</t>
        </is>
      </c>
      <c r="E502" s="10" t="inlineStr">
        <is>
          <t>S03</t>
        </is>
      </c>
      <c r="F502" s="10" t="inlineStr">
        <is>
          <t>Suite</t>
        </is>
      </c>
      <c r="H502" s="16" t="n"/>
      <c r="J502" s="16" t="n"/>
      <c r="L502" s="10" t="inlineStr">
        <is>
          <t>Typology drawing R01</t>
        </is>
      </c>
      <c r="M502" s="10">
        <f>Config!$B$3&amp;"?room="&amp;A502</f>
        <v/>
      </c>
    </row>
    <row r="503" ht="15" customHeight="1" s="11">
      <c r="A503" s="10" t="inlineStr">
        <is>
          <t>B-L07-S09</t>
        </is>
      </c>
      <c r="B503" s="10" t="inlineStr">
        <is>
          <t>Tower B</t>
        </is>
      </c>
      <c r="C503" s="10" t="inlineStr">
        <is>
          <t>L07</t>
        </is>
      </c>
      <c r="D503" s="10" t="inlineStr">
        <is>
          <t>BL07G81</t>
        </is>
      </c>
      <c r="E503" s="10" t="inlineStr">
        <is>
          <t>S09</t>
        </is>
      </c>
      <c r="F503" s="10" t="inlineStr">
        <is>
          <t>Suite</t>
        </is>
      </c>
      <c r="H503" s="16" t="n"/>
      <c r="J503" s="16" t="n"/>
      <c r="L503" s="10" t="inlineStr">
        <is>
          <t>Typology drawing R01</t>
        </is>
      </c>
      <c r="M503" s="10">
        <f>Config!$B$3&amp;"?room="&amp;A503</f>
        <v/>
      </c>
    </row>
    <row r="504" ht="15" customHeight="1" s="11">
      <c r="A504" s="10" t="inlineStr">
        <is>
          <t>B-L07-S10</t>
        </is>
      </c>
      <c r="B504" s="10" t="inlineStr">
        <is>
          <t>Tower B</t>
        </is>
      </c>
      <c r="C504" s="10" t="inlineStr">
        <is>
          <t>L07</t>
        </is>
      </c>
      <c r="D504" s="10" t="inlineStr">
        <is>
          <t>BL07G87</t>
        </is>
      </c>
      <c r="E504" s="10" t="inlineStr">
        <is>
          <t>S10</t>
        </is>
      </c>
      <c r="F504" s="10" t="inlineStr">
        <is>
          <t>Suite</t>
        </is>
      </c>
      <c r="H504" s="16" t="n"/>
      <c r="J504" s="16" t="n"/>
      <c r="L504" s="10" t="inlineStr">
        <is>
          <t>Typology drawing R01</t>
        </is>
      </c>
      <c r="M504" s="10">
        <f>Config!$B$3&amp;"?room="&amp;A504</f>
        <v/>
      </c>
    </row>
    <row r="505" ht="15" customHeight="1" s="11">
      <c r="A505" s="10" t="inlineStr">
        <is>
          <t>B-L08-F02</t>
        </is>
      </c>
      <c r="B505" s="10" t="inlineStr">
        <is>
          <t>Tower B</t>
        </is>
      </c>
      <c r="C505" s="10" t="inlineStr">
        <is>
          <t>L08</t>
        </is>
      </c>
      <c r="D505" s="10" t="inlineStr">
        <is>
          <t>BL08G88</t>
        </is>
      </c>
      <c r="E505" s="10" t="inlineStr">
        <is>
          <t>F02</t>
        </is>
      </c>
      <c r="F505" s="10" t="inlineStr">
        <is>
          <t>Family</t>
        </is>
      </c>
      <c r="H505" s="16" t="n"/>
      <c r="J505" s="16" t="n"/>
      <c r="L505" s="10" t="inlineStr">
        <is>
          <t>Inferred – verify</t>
        </is>
      </c>
      <c r="M505" s="10">
        <f>Config!$B$3&amp;"?room="&amp;A505</f>
        <v/>
      </c>
    </row>
    <row r="506" ht="15" customHeight="1" s="11">
      <c r="A506" s="10" t="inlineStr">
        <is>
          <t>B-L08-F06</t>
        </is>
      </c>
      <c r="B506" s="10" t="inlineStr">
        <is>
          <t>Tower B</t>
        </is>
      </c>
      <c r="C506" s="10" t="inlineStr">
        <is>
          <t>L08</t>
        </is>
      </c>
      <c r="D506" s="10" t="inlineStr">
        <is>
          <t>BL08G63</t>
        </is>
      </c>
      <c r="E506" s="10" t="inlineStr">
        <is>
          <t>F06</t>
        </is>
      </c>
      <c r="F506" s="10" t="inlineStr">
        <is>
          <t>Family</t>
        </is>
      </c>
      <c r="H506" s="16" t="n"/>
      <c r="J506" s="16" t="n"/>
      <c r="L506" s="10" t="inlineStr">
        <is>
          <t>Typology drawing R01</t>
        </is>
      </c>
      <c r="M506" s="10">
        <f>Config!$B$3&amp;"?room="&amp;A506</f>
        <v/>
      </c>
    </row>
    <row r="507" ht="15" customHeight="1" s="11">
      <c r="A507" s="10" t="inlineStr">
        <is>
          <t>B-L08-F07</t>
        </is>
      </c>
      <c r="B507" s="10" t="inlineStr">
        <is>
          <t>Tower B</t>
        </is>
      </c>
      <c r="C507" s="10" t="inlineStr">
        <is>
          <t>L08</t>
        </is>
      </c>
      <c r="D507" s="10" t="inlineStr">
        <is>
          <t>BL08G74</t>
        </is>
      </c>
      <c r="E507" s="10" t="inlineStr">
        <is>
          <t>F07</t>
        </is>
      </c>
      <c r="F507" s="10" t="inlineStr">
        <is>
          <t>Family</t>
        </is>
      </c>
      <c r="H507" s="16" t="n"/>
      <c r="J507" s="16" t="n"/>
      <c r="L507" s="10" t="inlineStr">
        <is>
          <t>Typology drawing R01</t>
        </is>
      </c>
      <c r="M507" s="10">
        <f>Config!$B$3&amp;"?room="&amp;A507</f>
        <v/>
      </c>
    </row>
    <row r="508" ht="15" customHeight="1" s="11">
      <c r="A508" s="10" t="inlineStr">
        <is>
          <t>B-L08-F08</t>
        </is>
      </c>
      <c r="B508" s="10" t="inlineStr">
        <is>
          <t>Tower B</t>
        </is>
      </c>
      <c r="C508" s="10" t="inlineStr">
        <is>
          <t>L08</t>
        </is>
      </c>
      <c r="D508" s="10" t="inlineStr">
        <is>
          <t>BL08G76</t>
        </is>
      </c>
      <c r="E508" s="10" t="inlineStr">
        <is>
          <t>F08</t>
        </is>
      </c>
      <c r="F508" s="10" t="inlineStr">
        <is>
          <t>Family</t>
        </is>
      </c>
      <c r="H508" s="16" t="n"/>
      <c r="J508" s="16" t="n"/>
      <c r="L508" s="10" t="inlineStr">
        <is>
          <t>Typology drawing R01</t>
        </is>
      </c>
      <c r="M508" s="10">
        <f>Config!$B$3&amp;"?room="&amp;A508</f>
        <v/>
      </c>
    </row>
    <row r="509" ht="15" customHeight="1" s="11">
      <c r="A509" s="10" t="inlineStr">
        <is>
          <t>B-L08-K01A-01</t>
        </is>
      </c>
      <c r="B509" s="10" t="inlineStr">
        <is>
          <t>Tower B</t>
        </is>
      </c>
      <c r="C509" s="10" t="inlineStr">
        <is>
          <t>L08</t>
        </is>
      </c>
      <c r="D509" s="10" t="inlineStr">
        <is>
          <t>BL08G58</t>
        </is>
      </c>
      <c r="E509" s="10" t="inlineStr">
        <is>
          <t>K01A</t>
        </is>
      </c>
      <c r="F509" s="10" t="inlineStr">
        <is>
          <t>King</t>
        </is>
      </c>
      <c r="H509" s="16" t="n"/>
      <c r="J509" s="16" t="n"/>
      <c r="L509" s="10" t="inlineStr">
        <is>
          <t>Typology drawing R01</t>
        </is>
      </c>
      <c r="M509" s="10">
        <f>Config!$B$3&amp;"?room="&amp;A509</f>
        <v/>
      </c>
    </row>
    <row r="510" ht="15" customHeight="1" s="11">
      <c r="A510" s="10" t="inlineStr">
        <is>
          <t>B-L08-K01A-02</t>
        </is>
      </c>
      <c r="B510" s="10" t="inlineStr">
        <is>
          <t>Tower B</t>
        </is>
      </c>
      <c r="C510" s="10" t="inlineStr">
        <is>
          <t>L08</t>
        </is>
      </c>
      <c r="D510" s="10" t="inlineStr">
        <is>
          <t>BL08G80</t>
        </is>
      </c>
      <c r="E510" s="10" t="inlineStr">
        <is>
          <t>K01A</t>
        </is>
      </c>
      <c r="F510" s="10" t="inlineStr">
        <is>
          <t>King</t>
        </is>
      </c>
      <c r="H510" s="16" t="n"/>
      <c r="J510" s="16" t="n"/>
      <c r="L510" s="10" t="inlineStr">
        <is>
          <t>Typology drawing R01</t>
        </is>
      </c>
      <c r="M510" s="10">
        <f>Config!$B$3&amp;"?room="&amp;A510</f>
        <v/>
      </c>
    </row>
    <row r="511" ht="15" customHeight="1" s="11">
      <c r="A511" s="10" t="inlineStr">
        <is>
          <t>B-L08-K01A-03</t>
        </is>
      </c>
      <c r="B511" s="10" t="inlineStr">
        <is>
          <t>Tower B</t>
        </is>
      </c>
      <c r="C511" s="10" t="inlineStr">
        <is>
          <t>L08</t>
        </is>
      </c>
      <c r="D511" s="10" t="inlineStr">
        <is>
          <t>BL08G84</t>
        </is>
      </c>
      <c r="E511" s="10" t="inlineStr">
        <is>
          <t>K01A</t>
        </is>
      </c>
      <c r="F511" s="10" t="inlineStr">
        <is>
          <t>King</t>
        </is>
      </c>
      <c r="H511" s="16" t="n"/>
      <c r="J511" s="16" t="n"/>
      <c r="L511" s="10" t="inlineStr">
        <is>
          <t>Typology drawing R01</t>
        </is>
      </c>
      <c r="M511" s="10">
        <f>Config!$B$3&amp;"?room="&amp;A511</f>
        <v/>
      </c>
    </row>
    <row r="512" ht="15" customHeight="1" s="11">
      <c r="A512" s="10" t="inlineStr">
        <is>
          <t>B-L08-K02A</t>
        </is>
      </c>
      <c r="B512" s="10" t="inlineStr">
        <is>
          <t>Tower B</t>
        </is>
      </c>
      <c r="C512" s="10" t="inlineStr">
        <is>
          <t>L08</t>
        </is>
      </c>
      <c r="D512" s="10" t="inlineStr">
        <is>
          <t>BL08G82</t>
        </is>
      </c>
      <c r="E512" s="10" t="inlineStr">
        <is>
          <t>K02A</t>
        </is>
      </c>
      <c r="F512" s="10" t="inlineStr">
        <is>
          <t>King</t>
        </is>
      </c>
      <c r="H512" s="16" t="n"/>
      <c r="J512" s="16" t="n"/>
      <c r="L512" s="10" t="inlineStr">
        <is>
          <t>Typology drawing R01</t>
        </is>
      </c>
      <c r="M512" s="10">
        <f>Config!$B$3&amp;"?room="&amp;A512</f>
        <v/>
      </c>
    </row>
    <row r="513" ht="15" customHeight="1" s="11">
      <c r="A513" s="10" t="inlineStr">
        <is>
          <t>B-L08-KADA2</t>
        </is>
      </c>
      <c r="B513" s="10" t="inlineStr">
        <is>
          <t>Tower B</t>
        </is>
      </c>
      <c r="C513" s="10" t="inlineStr">
        <is>
          <t>L08</t>
        </is>
      </c>
      <c r="D513" s="10" t="inlineStr">
        <is>
          <t>BL08G60</t>
        </is>
      </c>
      <c r="E513" s="10" t="inlineStr">
        <is>
          <t>KADA2</t>
        </is>
      </c>
      <c r="F513" s="10" t="inlineStr">
        <is>
          <t>King ADA</t>
        </is>
      </c>
      <c r="H513" s="16" t="n"/>
      <c r="J513" s="16" t="n"/>
      <c r="L513" s="10" t="inlineStr">
        <is>
          <t>Typology drawing R01</t>
        </is>
      </c>
      <c r="M513" s="10">
        <f>Config!$B$3&amp;"?room="&amp;A513</f>
        <v/>
      </c>
    </row>
    <row r="514" ht="15" customHeight="1" s="11">
      <c r="A514" s="10" t="inlineStr">
        <is>
          <t>B-L08-PS02</t>
        </is>
      </c>
      <c r="B514" s="10" t="inlineStr">
        <is>
          <t>Tower B</t>
        </is>
      </c>
      <c r="C514" s="10" t="inlineStr">
        <is>
          <t>L08</t>
        </is>
      </c>
      <c r="D514" s="10" t="inlineStr">
        <is>
          <t>BL08G51</t>
        </is>
      </c>
      <c r="E514" s="10" t="inlineStr">
        <is>
          <t>PS02</t>
        </is>
      </c>
      <c r="F514" s="10" t="inlineStr">
        <is>
          <t>Premium Suite</t>
        </is>
      </c>
      <c r="H514" s="16" t="n"/>
      <c r="J514" s="16" t="n"/>
      <c r="L514" s="10" t="inlineStr">
        <is>
          <t>Typology drawing R01</t>
        </is>
      </c>
      <c r="M514" s="10">
        <f>Config!$B$3&amp;"?room="&amp;A514</f>
        <v/>
      </c>
    </row>
    <row r="515" ht="15" customHeight="1" s="11">
      <c r="A515" s="10" t="inlineStr">
        <is>
          <t>B-L08-PS03-01</t>
        </is>
      </c>
      <c r="B515" s="10" t="inlineStr">
        <is>
          <t>Tower B</t>
        </is>
      </c>
      <c r="C515" s="10" t="inlineStr">
        <is>
          <t>L08</t>
        </is>
      </c>
      <c r="D515" s="10" t="inlineStr">
        <is>
          <t>BL08G59</t>
        </is>
      </c>
      <c r="E515" s="10" t="inlineStr">
        <is>
          <t>PS03</t>
        </is>
      </c>
      <c r="F515" s="10" t="inlineStr">
        <is>
          <t>Premium Suite</t>
        </is>
      </c>
      <c r="H515" s="16" t="n"/>
      <c r="J515" s="16" t="n"/>
      <c r="L515" s="10" t="inlineStr">
        <is>
          <t>Typology drawing R01</t>
        </is>
      </c>
      <c r="M515" s="10">
        <f>Config!$B$3&amp;"?room="&amp;A515</f>
        <v/>
      </c>
    </row>
    <row r="516" ht="15" customHeight="1" s="11">
      <c r="A516" s="10" t="inlineStr">
        <is>
          <t>B-L08-PS03-02</t>
        </is>
      </c>
      <c r="B516" s="10" t="inlineStr">
        <is>
          <t>Tower B</t>
        </is>
      </c>
      <c r="C516" s="10" t="inlineStr">
        <is>
          <t>L08</t>
        </is>
      </c>
      <c r="D516" s="10" t="inlineStr">
        <is>
          <t>BL08G75</t>
        </is>
      </c>
      <c r="E516" s="10" t="inlineStr">
        <is>
          <t>PS03</t>
        </is>
      </c>
      <c r="F516" s="10" t="inlineStr">
        <is>
          <t>Premium Suite</t>
        </is>
      </c>
      <c r="H516" s="16" t="n"/>
      <c r="J516" s="16" t="n"/>
      <c r="L516" s="10" t="inlineStr">
        <is>
          <t>Inferred – verify</t>
        </is>
      </c>
      <c r="M516" s="10">
        <f>Config!$B$3&amp;"?room="&amp;A516</f>
        <v/>
      </c>
    </row>
    <row r="517" ht="15" customHeight="1" s="11">
      <c r="A517" s="10" t="inlineStr">
        <is>
          <t>B-L08-Q01C</t>
        </is>
      </c>
      <c r="B517" s="10" t="inlineStr">
        <is>
          <t>Tower B</t>
        </is>
      </c>
      <c r="C517" s="10" t="inlineStr">
        <is>
          <t>L08</t>
        </is>
      </c>
      <c r="D517" s="10" t="inlineStr">
        <is>
          <t>BL08G83</t>
        </is>
      </c>
      <c r="E517" s="10" t="inlineStr">
        <is>
          <t>Q01C</t>
        </is>
      </c>
      <c r="F517" s="10" t="inlineStr">
        <is>
          <t>Queen</t>
        </is>
      </c>
      <c r="H517" s="16" t="n"/>
      <c r="J517" s="16" t="n"/>
      <c r="L517" s="10" t="inlineStr">
        <is>
          <t>Typology drawing R01</t>
        </is>
      </c>
      <c r="M517" s="10">
        <f>Config!$B$3&amp;"?room="&amp;A517</f>
        <v/>
      </c>
    </row>
    <row r="518" ht="15" customHeight="1" s="11">
      <c r="A518" s="10" t="inlineStr">
        <is>
          <t>B-L08-Q01C1-01</t>
        </is>
      </c>
      <c r="B518" s="10" t="inlineStr">
        <is>
          <t>Tower B</t>
        </is>
      </c>
      <c r="C518" s="10" t="inlineStr">
        <is>
          <t>L08</t>
        </is>
      </c>
      <c r="D518" s="10" t="inlineStr">
        <is>
          <t>BL08G64</t>
        </is>
      </c>
      <c r="E518" s="10" t="inlineStr">
        <is>
          <t>Q01C1</t>
        </is>
      </c>
      <c r="F518" s="10" t="inlineStr">
        <is>
          <t>Queen</t>
        </is>
      </c>
      <c r="H518" s="16" t="n"/>
      <c r="J518" s="16" t="n"/>
      <c r="L518" s="10" t="inlineStr">
        <is>
          <t>Typology drawing R01</t>
        </is>
      </c>
      <c r="M518" s="10">
        <f>Config!$B$3&amp;"?room="&amp;A518</f>
        <v/>
      </c>
    </row>
    <row r="519" ht="15" customHeight="1" s="11">
      <c r="A519" s="10" t="inlineStr">
        <is>
          <t>B-L08-Q01C1-02</t>
        </is>
      </c>
      <c r="B519" s="10" t="inlineStr">
        <is>
          <t>Tower B</t>
        </is>
      </c>
      <c r="C519" s="10" t="inlineStr">
        <is>
          <t>L08</t>
        </is>
      </c>
      <c r="D519" s="10" t="inlineStr">
        <is>
          <t>BL08G70</t>
        </is>
      </c>
      <c r="E519" s="10" t="inlineStr">
        <is>
          <t>Q01C1</t>
        </is>
      </c>
      <c r="F519" s="10" t="inlineStr">
        <is>
          <t>Queen</t>
        </is>
      </c>
      <c r="H519" s="16" t="n"/>
      <c r="J519" s="16" t="n"/>
      <c r="L519" s="10" t="inlineStr">
        <is>
          <t>Typology drawing R01</t>
        </is>
      </c>
      <c r="M519" s="10">
        <f>Config!$B$3&amp;"?room="&amp;A519</f>
        <v/>
      </c>
    </row>
    <row r="520" ht="15" customHeight="1" s="11">
      <c r="A520" s="10" t="inlineStr">
        <is>
          <t>B-L08-Q02C1-01</t>
        </is>
      </c>
      <c r="B520" s="10" t="inlineStr">
        <is>
          <t>Tower B</t>
        </is>
      </c>
      <c r="C520" s="10" t="inlineStr">
        <is>
          <t>L08</t>
        </is>
      </c>
      <c r="D520" s="10" t="inlineStr">
        <is>
          <t>BL08G62</t>
        </is>
      </c>
      <c r="E520" s="10" t="inlineStr">
        <is>
          <t>Q02C1</t>
        </is>
      </c>
      <c r="F520" s="10" t="inlineStr">
        <is>
          <t>Queen</t>
        </is>
      </c>
      <c r="H520" s="16" t="n"/>
      <c r="J520" s="16" t="n"/>
      <c r="L520" s="10" t="inlineStr">
        <is>
          <t>Typology drawing R01</t>
        </is>
      </c>
      <c r="M520" s="10">
        <f>Config!$B$3&amp;"?room="&amp;A520</f>
        <v/>
      </c>
    </row>
    <row r="521" ht="15" customHeight="1" s="11">
      <c r="A521" s="10" t="inlineStr">
        <is>
          <t>B-L08-Q02C1-02</t>
        </is>
      </c>
      <c r="B521" s="10" t="inlineStr">
        <is>
          <t>Tower B</t>
        </is>
      </c>
      <c r="C521" s="10" t="inlineStr">
        <is>
          <t>L08</t>
        </is>
      </c>
      <c r="D521" s="10" t="inlineStr">
        <is>
          <t>BL08G78</t>
        </is>
      </c>
      <c r="E521" s="10" t="inlineStr">
        <is>
          <t>Q02C1</t>
        </is>
      </c>
      <c r="F521" s="10" t="inlineStr">
        <is>
          <t>Queen</t>
        </is>
      </c>
      <c r="H521" s="16" t="n"/>
      <c r="J521" s="16" t="n"/>
      <c r="L521" s="10" t="inlineStr">
        <is>
          <t>Typology drawing R01</t>
        </is>
      </c>
      <c r="M521" s="10">
        <f>Config!$B$3&amp;"?room="&amp;A521</f>
        <v/>
      </c>
    </row>
    <row r="522" ht="15" customHeight="1" s="11">
      <c r="A522" s="10" t="inlineStr">
        <is>
          <t>B-L08-Q02E</t>
        </is>
      </c>
      <c r="B522" s="10" t="inlineStr">
        <is>
          <t>Tower B</t>
        </is>
      </c>
      <c r="C522" s="10" t="inlineStr">
        <is>
          <t>L08</t>
        </is>
      </c>
      <c r="D522" s="10" t="inlineStr">
        <is>
          <t>BL08G85</t>
        </is>
      </c>
      <c r="E522" s="10" t="inlineStr">
        <is>
          <t>Q02E</t>
        </is>
      </c>
      <c r="F522" s="10" t="inlineStr">
        <is>
          <t>Queen</t>
        </is>
      </c>
      <c r="H522" s="16" t="n"/>
      <c r="J522" s="16" t="n"/>
      <c r="L522" s="10" t="inlineStr">
        <is>
          <t>Type per Room Matrix (drawing shows Q02C)</t>
        </is>
      </c>
      <c r="M522" s="10">
        <f>Config!$B$3&amp;"?room="&amp;A522</f>
        <v/>
      </c>
    </row>
    <row r="523" ht="15" customHeight="1" s="11">
      <c r="A523" s="10" t="inlineStr">
        <is>
          <t>B-L08-Q04</t>
        </is>
      </c>
      <c r="B523" s="10" t="inlineStr">
        <is>
          <t>Tower B</t>
        </is>
      </c>
      <c r="C523" s="10" t="inlineStr">
        <is>
          <t>L08</t>
        </is>
      </c>
      <c r="D523" s="10" t="inlineStr">
        <is>
          <t>BL08G69</t>
        </is>
      </c>
      <c r="E523" s="10" t="inlineStr">
        <is>
          <t>Q04</t>
        </is>
      </c>
      <c r="F523" s="10" t="inlineStr">
        <is>
          <t>Queen</t>
        </is>
      </c>
      <c r="H523" s="16" t="n"/>
      <c r="J523" s="16" t="n"/>
      <c r="L523" s="10" t="inlineStr">
        <is>
          <t>Typology drawing R01</t>
        </is>
      </c>
      <c r="M523" s="10">
        <f>Config!$B$3&amp;"?room="&amp;A523</f>
        <v/>
      </c>
    </row>
    <row r="524" ht="15" customHeight="1" s="11">
      <c r="A524" s="10" t="inlineStr">
        <is>
          <t>B-L08-Q06</t>
        </is>
      </c>
      <c r="B524" s="10" t="inlineStr">
        <is>
          <t>Tower B</t>
        </is>
      </c>
      <c r="C524" s="10" t="inlineStr">
        <is>
          <t>L08</t>
        </is>
      </c>
      <c r="D524" s="10" t="inlineStr">
        <is>
          <t>BL08G86</t>
        </is>
      </c>
      <c r="E524" s="10" t="inlineStr">
        <is>
          <t>Q06</t>
        </is>
      </c>
      <c r="F524" s="10" t="inlineStr">
        <is>
          <t>Queen</t>
        </is>
      </c>
      <c r="H524" s="16" t="n"/>
      <c r="J524" s="16" t="n"/>
      <c r="L524" s="10" t="inlineStr">
        <is>
          <t>Typology drawing R01</t>
        </is>
      </c>
      <c r="M524" s="10">
        <f>Config!$B$3&amp;"?room="&amp;A524</f>
        <v/>
      </c>
    </row>
    <row r="525" ht="15" customHeight="1" s="11">
      <c r="A525" s="10" t="inlineStr">
        <is>
          <t>B-L08-Q07-01</t>
        </is>
      </c>
      <c r="B525" s="10" t="inlineStr">
        <is>
          <t>Tower B</t>
        </is>
      </c>
      <c r="C525" s="10" t="inlineStr">
        <is>
          <t>L08</t>
        </is>
      </c>
      <c r="D525" s="10" t="inlineStr">
        <is>
          <t>BL08G61</t>
        </is>
      </c>
      <c r="E525" s="10" t="inlineStr">
        <is>
          <t>Q07</t>
        </is>
      </c>
      <c r="F525" s="10" t="inlineStr">
        <is>
          <t>Queen</t>
        </is>
      </c>
      <c r="H525" s="16" t="n"/>
      <c r="J525" s="16" t="n"/>
      <c r="L525" s="10" t="inlineStr">
        <is>
          <t>Typology drawing R01</t>
        </is>
      </c>
      <c r="M525" s="10">
        <f>Config!$B$3&amp;"?room="&amp;A525</f>
        <v/>
      </c>
    </row>
    <row r="526" ht="15" customHeight="1" s="11">
      <c r="A526" s="10" t="inlineStr">
        <is>
          <t>B-L08-Q07-02</t>
        </is>
      </c>
      <c r="B526" s="10" t="inlineStr">
        <is>
          <t>Tower B</t>
        </is>
      </c>
      <c r="C526" s="10" t="inlineStr">
        <is>
          <t>L08</t>
        </is>
      </c>
      <c r="D526" s="10" t="inlineStr">
        <is>
          <t>BL08G77</t>
        </is>
      </c>
      <c r="E526" s="10" t="inlineStr">
        <is>
          <t>Q07</t>
        </is>
      </c>
      <c r="F526" s="10" t="inlineStr">
        <is>
          <t>Queen</t>
        </is>
      </c>
      <c r="H526" s="16" t="n"/>
      <c r="J526" s="16" t="n"/>
      <c r="L526" s="10" t="inlineStr">
        <is>
          <t>Typology drawing R01</t>
        </is>
      </c>
      <c r="M526" s="10">
        <f>Config!$B$3&amp;"?room="&amp;A526</f>
        <v/>
      </c>
    </row>
    <row r="527" ht="15" customHeight="1" s="11">
      <c r="A527" s="10" t="inlineStr">
        <is>
          <t>B-L08-S03</t>
        </is>
      </c>
      <c r="B527" s="10" t="inlineStr">
        <is>
          <t>Tower B</t>
        </is>
      </c>
      <c r="C527" s="10" t="inlineStr">
        <is>
          <t>L08</t>
        </is>
      </c>
      <c r="D527" s="10" t="inlineStr">
        <is>
          <t>BL08G66</t>
        </is>
      </c>
      <c r="E527" s="10" t="inlineStr">
        <is>
          <t>S03</t>
        </is>
      </c>
      <c r="F527" s="10" t="inlineStr">
        <is>
          <t>Suite</t>
        </is>
      </c>
      <c r="H527" s="16" t="n"/>
      <c r="J527" s="16" t="n"/>
      <c r="L527" s="10" t="inlineStr">
        <is>
          <t>Typology drawing R01</t>
        </is>
      </c>
      <c r="M527" s="10">
        <f>Config!$B$3&amp;"?room="&amp;A527</f>
        <v/>
      </c>
    </row>
    <row r="528" ht="15" customHeight="1" s="11">
      <c r="A528" s="10" t="inlineStr">
        <is>
          <t>B-L08-S09</t>
        </is>
      </c>
      <c r="B528" s="10" t="inlineStr">
        <is>
          <t>Tower B</t>
        </is>
      </c>
      <c r="C528" s="10" t="inlineStr">
        <is>
          <t>L08</t>
        </is>
      </c>
      <c r="D528" s="10" t="inlineStr">
        <is>
          <t>BL08G81</t>
        </is>
      </c>
      <c r="E528" s="10" t="inlineStr">
        <is>
          <t>S09</t>
        </is>
      </c>
      <c r="F528" s="10" t="inlineStr">
        <is>
          <t>Suite</t>
        </is>
      </c>
      <c r="H528" s="16" t="n"/>
      <c r="J528" s="16" t="n"/>
      <c r="L528" s="10" t="inlineStr">
        <is>
          <t>Typology drawing R01</t>
        </is>
      </c>
      <c r="M528" s="10">
        <f>Config!$B$3&amp;"?room="&amp;A528</f>
        <v/>
      </c>
    </row>
    <row r="529" ht="15" customHeight="1" s="11">
      <c r="A529" s="10" t="inlineStr">
        <is>
          <t>B-L08-S10</t>
        </is>
      </c>
      <c r="B529" s="10" t="inlineStr">
        <is>
          <t>Tower B</t>
        </is>
      </c>
      <c r="C529" s="10" t="inlineStr">
        <is>
          <t>L08</t>
        </is>
      </c>
      <c r="D529" s="10" t="inlineStr">
        <is>
          <t>BL08G87</t>
        </is>
      </c>
      <c r="E529" s="10" t="inlineStr">
        <is>
          <t>S10</t>
        </is>
      </c>
      <c r="F529" s="10" t="inlineStr">
        <is>
          <t>Suite</t>
        </is>
      </c>
      <c r="H529" s="16" t="n"/>
      <c r="J529" s="16" t="n"/>
      <c r="L529" s="10" t="inlineStr">
        <is>
          <t>Typology drawing R01</t>
        </is>
      </c>
      <c r="M529" s="10">
        <f>Config!$B$3&amp;"?room="&amp;A529</f>
        <v/>
      </c>
    </row>
    <row r="530" ht="15" customHeight="1" s="11">
      <c r="A530" s="10" t="inlineStr">
        <is>
          <t>B-L09-F02</t>
        </is>
      </c>
      <c r="B530" s="10" t="inlineStr">
        <is>
          <t>Tower B</t>
        </is>
      </c>
      <c r="C530" s="10" t="inlineStr">
        <is>
          <t>L09</t>
        </is>
      </c>
      <c r="D530" s="10" t="inlineStr">
        <is>
          <t>BL09G88</t>
        </is>
      </c>
      <c r="E530" s="10" t="inlineStr">
        <is>
          <t>F02</t>
        </is>
      </c>
      <c r="F530" s="10" t="inlineStr">
        <is>
          <t>Family</t>
        </is>
      </c>
      <c r="H530" s="16" t="n"/>
      <c r="J530" s="16" t="n"/>
      <c r="L530" s="10" t="inlineStr">
        <is>
          <t>Inferred – verify</t>
        </is>
      </c>
      <c r="M530" s="10">
        <f>Config!$B$3&amp;"?room="&amp;A530</f>
        <v/>
      </c>
    </row>
    <row r="531" ht="15" customHeight="1" s="11">
      <c r="A531" s="10" t="inlineStr">
        <is>
          <t>B-L09-F06</t>
        </is>
      </c>
      <c r="B531" s="10" t="inlineStr">
        <is>
          <t>Tower B</t>
        </is>
      </c>
      <c r="C531" s="10" t="inlineStr">
        <is>
          <t>L09</t>
        </is>
      </c>
      <c r="D531" s="10" t="inlineStr">
        <is>
          <t>BL09G63</t>
        </is>
      </c>
      <c r="E531" s="10" t="inlineStr">
        <is>
          <t>F06</t>
        </is>
      </c>
      <c r="F531" s="10" t="inlineStr">
        <is>
          <t>Family</t>
        </is>
      </c>
      <c r="H531" s="16" t="n"/>
      <c r="J531" s="16" t="n"/>
      <c r="L531" s="10" t="inlineStr">
        <is>
          <t>Typology drawing R01</t>
        </is>
      </c>
      <c r="M531" s="10">
        <f>Config!$B$3&amp;"?room="&amp;A531</f>
        <v/>
      </c>
    </row>
    <row r="532" ht="15" customHeight="1" s="11">
      <c r="A532" s="10" t="inlineStr">
        <is>
          <t>B-L09-F07</t>
        </is>
      </c>
      <c r="B532" s="10" t="inlineStr">
        <is>
          <t>Tower B</t>
        </is>
      </c>
      <c r="C532" s="10" t="inlineStr">
        <is>
          <t>L09</t>
        </is>
      </c>
      <c r="D532" s="10" t="inlineStr">
        <is>
          <t>BL09G74</t>
        </is>
      </c>
      <c r="E532" s="10" t="inlineStr">
        <is>
          <t>F07</t>
        </is>
      </c>
      <c r="F532" s="10" t="inlineStr">
        <is>
          <t>Family</t>
        </is>
      </c>
      <c r="H532" s="16" t="n"/>
      <c r="J532" s="16" t="n"/>
      <c r="L532" s="10" t="inlineStr">
        <is>
          <t>Typology drawing R01</t>
        </is>
      </c>
      <c r="M532" s="10">
        <f>Config!$B$3&amp;"?room="&amp;A532</f>
        <v/>
      </c>
    </row>
    <row r="533" ht="15" customHeight="1" s="11">
      <c r="A533" s="10" t="inlineStr">
        <is>
          <t>B-L09-F08</t>
        </is>
      </c>
      <c r="B533" s="10" t="inlineStr">
        <is>
          <t>Tower B</t>
        </is>
      </c>
      <c r="C533" s="10" t="inlineStr">
        <is>
          <t>L09</t>
        </is>
      </c>
      <c r="D533" s="10" t="inlineStr">
        <is>
          <t>BL09G76</t>
        </is>
      </c>
      <c r="E533" s="10" t="inlineStr">
        <is>
          <t>F08</t>
        </is>
      </c>
      <c r="F533" s="10" t="inlineStr">
        <is>
          <t>Family</t>
        </is>
      </c>
      <c r="H533" s="16" t="n"/>
      <c r="J533" s="16" t="n"/>
      <c r="L533" s="10" t="inlineStr">
        <is>
          <t>Typology drawing R01</t>
        </is>
      </c>
      <c r="M533" s="10">
        <f>Config!$B$3&amp;"?room="&amp;A533</f>
        <v/>
      </c>
    </row>
    <row r="534" ht="15" customHeight="1" s="11">
      <c r="A534" s="10" t="inlineStr">
        <is>
          <t>B-L09-K01A-01</t>
        </is>
      </c>
      <c r="B534" s="10" t="inlineStr">
        <is>
          <t>Tower B</t>
        </is>
      </c>
      <c r="C534" s="10" t="inlineStr">
        <is>
          <t>L09</t>
        </is>
      </c>
      <c r="D534" s="10" t="inlineStr">
        <is>
          <t>BL09G58</t>
        </is>
      </c>
      <c r="E534" s="10" t="inlineStr">
        <is>
          <t>K01A</t>
        </is>
      </c>
      <c r="F534" s="10" t="inlineStr">
        <is>
          <t>King</t>
        </is>
      </c>
      <c r="H534" s="16" t="n"/>
      <c r="J534" s="16" t="n"/>
      <c r="L534" s="10" t="inlineStr">
        <is>
          <t>Typology drawing R01</t>
        </is>
      </c>
      <c r="M534" s="10">
        <f>Config!$B$3&amp;"?room="&amp;A534</f>
        <v/>
      </c>
    </row>
    <row r="535" ht="15" customHeight="1" s="11">
      <c r="A535" s="10" t="inlineStr">
        <is>
          <t>B-L09-K01A-02</t>
        </is>
      </c>
      <c r="B535" s="10" t="inlineStr">
        <is>
          <t>Tower B</t>
        </is>
      </c>
      <c r="C535" s="10" t="inlineStr">
        <is>
          <t>L09</t>
        </is>
      </c>
      <c r="D535" s="10" t="inlineStr">
        <is>
          <t>BL09G80</t>
        </is>
      </c>
      <c r="E535" s="10" t="inlineStr">
        <is>
          <t>K01A</t>
        </is>
      </c>
      <c r="F535" s="10" t="inlineStr">
        <is>
          <t>King</t>
        </is>
      </c>
      <c r="H535" s="16" t="n"/>
      <c r="J535" s="16" t="n"/>
      <c r="L535" s="10" t="inlineStr">
        <is>
          <t>Typology drawing R01</t>
        </is>
      </c>
      <c r="M535" s="10">
        <f>Config!$B$3&amp;"?room="&amp;A535</f>
        <v/>
      </c>
    </row>
    <row r="536" ht="15" customHeight="1" s="11">
      <c r="A536" s="10" t="inlineStr">
        <is>
          <t>B-L09-K01A-03</t>
        </is>
      </c>
      <c r="B536" s="10" t="inlineStr">
        <is>
          <t>Tower B</t>
        </is>
      </c>
      <c r="C536" s="10" t="inlineStr">
        <is>
          <t>L09</t>
        </is>
      </c>
      <c r="D536" s="10" t="inlineStr">
        <is>
          <t>BL09G84</t>
        </is>
      </c>
      <c r="E536" s="10" t="inlineStr">
        <is>
          <t>K01A</t>
        </is>
      </c>
      <c r="F536" s="10" t="inlineStr">
        <is>
          <t>King</t>
        </is>
      </c>
      <c r="H536" s="16" t="n"/>
      <c r="J536" s="16" t="n"/>
      <c r="L536" s="10" t="inlineStr">
        <is>
          <t>Typology drawing R01</t>
        </is>
      </c>
      <c r="M536" s="10">
        <f>Config!$B$3&amp;"?room="&amp;A536</f>
        <v/>
      </c>
    </row>
    <row r="537" ht="15" customHeight="1" s="11">
      <c r="A537" s="10" t="inlineStr">
        <is>
          <t>B-L09-K02A</t>
        </is>
      </c>
      <c r="B537" s="10" t="inlineStr">
        <is>
          <t>Tower B</t>
        </is>
      </c>
      <c r="C537" s="10" t="inlineStr">
        <is>
          <t>L09</t>
        </is>
      </c>
      <c r="D537" s="10" t="inlineStr">
        <is>
          <t>BL09G82</t>
        </is>
      </c>
      <c r="E537" s="10" t="inlineStr">
        <is>
          <t>K02A</t>
        </is>
      </c>
      <c r="F537" s="10" t="inlineStr">
        <is>
          <t>King</t>
        </is>
      </c>
      <c r="H537" s="16" t="n"/>
      <c r="J537" s="16" t="n"/>
      <c r="L537" s="10" t="inlineStr">
        <is>
          <t>Typology drawing R01</t>
        </is>
      </c>
      <c r="M537" s="10">
        <f>Config!$B$3&amp;"?room="&amp;A537</f>
        <v/>
      </c>
    </row>
    <row r="538" ht="15" customHeight="1" s="11">
      <c r="A538" s="10" t="inlineStr">
        <is>
          <t>B-L09-KADA2</t>
        </is>
      </c>
      <c r="B538" s="10" t="inlineStr">
        <is>
          <t>Tower B</t>
        </is>
      </c>
      <c r="C538" s="10" t="inlineStr">
        <is>
          <t>L09</t>
        </is>
      </c>
      <c r="D538" s="10" t="inlineStr">
        <is>
          <t>BL09G60</t>
        </is>
      </c>
      <c r="E538" s="10" t="inlineStr">
        <is>
          <t>KADA2</t>
        </is>
      </c>
      <c r="F538" s="10" t="inlineStr">
        <is>
          <t>King ADA</t>
        </is>
      </c>
      <c r="H538" s="16" t="n"/>
      <c r="J538" s="16" t="n"/>
      <c r="L538" s="10" t="inlineStr">
        <is>
          <t>Typology drawing R01</t>
        </is>
      </c>
      <c r="M538" s="10">
        <f>Config!$B$3&amp;"?room="&amp;A538</f>
        <v/>
      </c>
    </row>
    <row r="539" ht="15" customHeight="1" s="11">
      <c r="A539" s="10" t="inlineStr">
        <is>
          <t>B-L09-PS02</t>
        </is>
      </c>
      <c r="B539" s="10" t="inlineStr">
        <is>
          <t>Tower B</t>
        </is>
      </c>
      <c r="C539" s="10" t="inlineStr">
        <is>
          <t>L09</t>
        </is>
      </c>
      <c r="D539" s="10" t="inlineStr">
        <is>
          <t>BL09G51</t>
        </is>
      </c>
      <c r="E539" s="10" t="inlineStr">
        <is>
          <t>PS02</t>
        </is>
      </c>
      <c r="F539" s="10" t="inlineStr">
        <is>
          <t>Premium Suite</t>
        </is>
      </c>
      <c r="H539" s="16" t="n"/>
      <c r="J539" s="16" t="n"/>
      <c r="L539" s="10" t="inlineStr">
        <is>
          <t>Typology drawing R01</t>
        </is>
      </c>
      <c r="M539" s="10">
        <f>Config!$B$3&amp;"?room="&amp;A539</f>
        <v/>
      </c>
    </row>
    <row r="540" ht="15" customHeight="1" s="11">
      <c r="A540" s="10" t="inlineStr">
        <is>
          <t>B-L09-PS03-01</t>
        </is>
      </c>
      <c r="B540" s="10" t="inlineStr">
        <is>
          <t>Tower B</t>
        </is>
      </c>
      <c r="C540" s="10" t="inlineStr">
        <is>
          <t>L09</t>
        </is>
      </c>
      <c r="D540" s="10" t="inlineStr">
        <is>
          <t>BL09G59</t>
        </is>
      </c>
      <c r="E540" s="10" t="inlineStr">
        <is>
          <t>PS03</t>
        </is>
      </c>
      <c r="F540" s="10" t="inlineStr">
        <is>
          <t>Premium Suite</t>
        </is>
      </c>
      <c r="H540" s="16" t="n"/>
      <c r="J540" s="16" t="n"/>
      <c r="L540" s="10" t="inlineStr">
        <is>
          <t>Typology drawing R01</t>
        </is>
      </c>
      <c r="M540" s="10">
        <f>Config!$B$3&amp;"?room="&amp;A540</f>
        <v/>
      </c>
    </row>
    <row r="541" ht="15" customHeight="1" s="11">
      <c r="A541" s="10" t="inlineStr">
        <is>
          <t>B-L09-PS03-02</t>
        </is>
      </c>
      <c r="B541" s="10" t="inlineStr">
        <is>
          <t>Tower B</t>
        </is>
      </c>
      <c r="C541" s="10" t="inlineStr">
        <is>
          <t>L09</t>
        </is>
      </c>
      <c r="D541" s="10" t="inlineStr">
        <is>
          <t>BL09G75</t>
        </is>
      </c>
      <c r="E541" s="10" t="inlineStr">
        <is>
          <t>PS03</t>
        </is>
      </c>
      <c r="F541" s="10" t="inlineStr">
        <is>
          <t>Premium Suite</t>
        </is>
      </c>
      <c r="H541" s="16" t="n"/>
      <c r="J541" s="16" t="n"/>
      <c r="L541" s="10" t="inlineStr">
        <is>
          <t>Inferred – verify</t>
        </is>
      </c>
      <c r="M541" s="10">
        <f>Config!$B$3&amp;"?room="&amp;A541</f>
        <v/>
      </c>
    </row>
    <row r="542" ht="15" customHeight="1" s="11">
      <c r="A542" s="10" t="inlineStr">
        <is>
          <t>B-L09-Q01C</t>
        </is>
      </c>
      <c r="B542" s="10" t="inlineStr">
        <is>
          <t>Tower B</t>
        </is>
      </c>
      <c r="C542" s="10" t="inlineStr">
        <is>
          <t>L09</t>
        </is>
      </c>
      <c r="D542" s="10" t="inlineStr">
        <is>
          <t>BL09G83</t>
        </is>
      </c>
      <c r="E542" s="10" t="inlineStr">
        <is>
          <t>Q01C</t>
        </is>
      </c>
      <c r="F542" s="10" t="inlineStr">
        <is>
          <t>Queen</t>
        </is>
      </c>
      <c r="H542" s="16" t="n"/>
      <c r="J542" s="16" t="n"/>
      <c r="L542" s="10" t="inlineStr">
        <is>
          <t>Typology drawing R01</t>
        </is>
      </c>
      <c r="M542" s="10">
        <f>Config!$B$3&amp;"?room="&amp;A542</f>
        <v/>
      </c>
    </row>
    <row r="543" ht="15" customHeight="1" s="11">
      <c r="A543" s="10" t="inlineStr">
        <is>
          <t>B-L09-Q01C1-01</t>
        </is>
      </c>
      <c r="B543" s="10" t="inlineStr">
        <is>
          <t>Tower B</t>
        </is>
      </c>
      <c r="C543" s="10" t="inlineStr">
        <is>
          <t>L09</t>
        </is>
      </c>
      <c r="D543" s="10" t="inlineStr">
        <is>
          <t>BL09G64</t>
        </is>
      </c>
      <c r="E543" s="10" t="inlineStr">
        <is>
          <t>Q01C1</t>
        </is>
      </c>
      <c r="F543" s="10" t="inlineStr">
        <is>
          <t>Queen</t>
        </is>
      </c>
      <c r="H543" s="16" t="n"/>
      <c r="J543" s="16" t="n"/>
      <c r="L543" s="10" t="inlineStr">
        <is>
          <t>Typology drawing R01</t>
        </is>
      </c>
      <c r="M543" s="10">
        <f>Config!$B$3&amp;"?room="&amp;A543</f>
        <v/>
      </c>
    </row>
    <row r="544" ht="15" customHeight="1" s="11">
      <c r="A544" s="10" t="inlineStr">
        <is>
          <t>B-L09-Q01C1-02</t>
        </is>
      </c>
      <c r="B544" s="10" t="inlineStr">
        <is>
          <t>Tower B</t>
        </is>
      </c>
      <c r="C544" s="10" t="inlineStr">
        <is>
          <t>L09</t>
        </is>
      </c>
      <c r="D544" s="10" t="inlineStr">
        <is>
          <t>BL09G70</t>
        </is>
      </c>
      <c r="E544" s="10" t="inlineStr">
        <is>
          <t>Q01C1</t>
        </is>
      </c>
      <c r="F544" s="10" t="inlineStr">
        <is>
          <t>Queen</t>
        </is>
      </c>
      <c r="H544" s="16" t="n"/>
      <c r="J544" s="16" t="n"/>
      <c r="L544" s="10" t="inlineStr">
        <is>
          <t>Typology drawing R01</t>
        </is>
      </c>
      <c r="M544" s="10">
        <f>Config!$B$3&amp;"?room="&amp;A544</f>
        <v/>
      </c>
    </row>
    <row r="545" ht="15" customHeight="1" s="11">
      <c r="A545" s="10" t="inlineStr">
        <is>
          <t>B-L09-Q02C1-01</t>
        </is>
      </c>
      <c r="B545" s="10" t="inlineStr">
        <is>
          <t>Tower B</t>
        </is>
      </c>
      <c r="C545" s="10" t="inlineStr">
        <is>
          <t>L09</t>
        </is>
      </c>
      <c r="D545" s="10" t="inlineStr">
        <is>
          <t>BL09G62</t>
        </is>
      </c>
      <c r="E545" s="10" t="inlineStr">
        <is>
          <t>Q02C1</t>
        </is>
      </c>
      <c r="F545" s="10" t="inlineStr">
        <is>
          <t>Queen</t>
        </is>
      </c>
      <c r="H545" s="16" t="n"/>
      <c r="J545" s="16" t="n"/>
      <c r="L545" s="10" t="inlineStr">
        <is>
          <t>Typology drawing R01</t>
        </is>
      </c>
      <c r="M545" s="10">
        <f>Config!$B$3&amp;"?room="&amp;A545</f>
        <v/>
      </c>
    </row>
    <row r="546" ht="15" customHeight="1" s="11">
      <c r="A546" s="10" t="inlineStr">
        <is>
          <t>B-L09-Q02C1-02</t>
        </is>
      </c>
      <c r="B546" s="10" t="inlineStr">
        <is>
          <t>Tower B</t>
        </is>
      </c>
      <c r="C546" s="10" t="inlineStr">
        <is>
          <t>L09</t>
        </is>
      </c>
      <c r="D546" s="10" t="inlineStr">
        <is>
          <t>BL09G78</t>
        </is>
      </c>
      <c r="E546" s="10" t="inlineStr">
        <is>
          <t>Q02C1</t>
        </is>
      </c>
      <c r="F546" s="10" t="inlineStr">
        <is>
          <t>Queen</t>
        </is>
      </c>
      <c r="H546" s="16" t="n"/>
      <c r="J546" s="16" t="n"/>
      <c r="L546" s="10" t="inlineStr">
        <is>
          <t>Typology drawing R01</t>
        </is>
      </c>
      <c r="M546" s="10">
        <f>Config!$B$3&amp;"?room="&amp;A546</f>
        <v/>
      </c>
    </row>
    <row r="547" ht="15" customHeight="1" s="11">
      <c r="A547" s="10" t="inlineStr">
        <is>
          <t>B-L09-Q02E</t>
        </is>
      </c>
      <c r="B547" s="10" t="inlineStr">
        <is>
          <t>Tower B</t>
        </is>
      </c>
      <c r="C547" s="10" t="inlineStr">
        <is>
          <t>L09</t>
        </is>
      </c>
      <c r="D547" s="10" t="inlineStr">
        <is>
          <t>BL09G85</t>
        </is>
      </c>
      <c r="E547" s="10" t="inlineStr">
        <is>
          <t>Q02E</t>
        </is>
      </c>
      <c r="F547" s="10" t="inlineStr">
        <is>
          <t>Queen</t>
        </is>
      </c>
      <c r="H547" s="16" t="n"/>
      <c r="J547" s="16" t="n"/>
      <c r="L547" s="10" t="inlineStr">
        <is>
          <t>Type per Room Matrix (drawing shows Q02C)</t>
        </is>
      </c>
      <c r="M547" s="10">
        <f>Config!$B$3&amp;"?room="&amp;A547</f>
        <v/>
      </c>
    </row>
    <row r="548" ht="15" customHeight="1" s="11">
      <c r="A548" s="10" t="inlineStr">
        <is>
          <t>B-L09-Q04</t>
        </is>
      </c>
      <c r="B548" s="10" t="inlineStr">
        <is>
          <t>Tower B</t>
        </is>
      </c>
      <c r="C548" s="10" t="inlineStr">
        <is>
          <t>L09</t>
        </is>
      </c>
      <c r="D548" s="10" t="inlineStr">
        <is>
          <t>BL09G69</t>
        </is>
      </c>
      <c r="E548" s="10" t="inlineStr">
        <is>
          <t>Q04</t>
        </is>
      </c>
      <c r="F548" s="10" t="inlineStr">
        <is>
          <t>Queen</t>
        </is>
      </c>
      <c r="H548" s="16" t="n"/>
      <c r="J548" s="16" t="n"/>
      <c r="L548" s="10" t="inlineStr">
        <is>
          <t>Typology drawing R01</t>
        </is>
      </c>
      <c r="M548" s="10">
        <f>Config!$B$3&amp;"?room="&amp;A548</f>
        <v/>
      </c>
    </row>
    <row r="549" ht="15" customHeight="1" s="11">
      <c r="A549" s="10" t="inlineStr">
        <is>
          <t>B-L09-Q06</t>
        </is>
      </c>
      <c r="B549" s="10" t="inlineStr">
        <is>
          <t>Tower B</t>
        </is>
      </c>
      <c r="C549" s="10" t="inlineStr">
        <is>
          <t>L09</t>
        </is>
      </c>
      <c r="D549" s="10" t="inlineStr">
        <is>
          <t>BL09G86</t>
        </is>
      </c>
      <c r="E549" s="10" t="inlineStr">
        <is>
          <t>Q06</t>
        </is>
      </c>
      <c r="F549" s="10" t="inlineStr">
        <is>
          <t>Queen</t>
        </is>
      </c>
      <c r="H549" s="16" t="n"/>
      <c r="J549" s="16" t="n"/>
      <c r="L549" s="10" t="inlineStr">
        <is>
          <t>Typology drawing R01</t>
        </is>
      </c>
      <c r="M549" s="10">
        <f>Config!$B$3&amp;"?room="&amp;A549</f>
        <v/>
      </c>
    </row>
    <row r="550" ht="15" customHeight="1" s="11">
      <c r="A550" s="10" t="inlineStr">
        <is>
          <t>B-L09-Q07-01</t>
        </is>
      </c>
      <c r="B550" s="10" t="inlineStr">
        <is>
          <t>Tower B</t>
        </is>
      </c>
      <c r="C550" s="10" t="inlineStr">
        <is>
          <t>L09</t>
        </is>
      </c>
      <c r="D550" s="10" t="inlineStr">
        <is>
          <t>BL09G61</t>
        </is>
      </c>
      <c r="E550" s="10" t="inlineStr">
        <is>
          <t>Q07</t>
        </is>
      </c>
      <c r="F550" s="10" t="inlineStr">
        <is>
          <t>Queen</t>
        </is>
      </c>
      <c r="H550" s="16" t="n"/>
      <c r="J550" s="16" t="n"/>
      <c r="L550" s="10" t="inlineStr">
        <is>
          <t>Typology drawing R01</t>
        </is>
      </c>
      <c r="M550" s="10">
        <f>Config!$B$3&amp;"?room="&amp;A550</f>
        <v/>
      </c>
    </row>
    <row r="551" ht="15" customHeight="1" s="11">
      <c r="A551" s="10" t="inlineStr">
        <is>
          <t>B-L09-Q07-02</t>
        </is>
      </c>
      <c r="B551" s="10" t="inlineStr">
        <is>
          <t>Tower B</t>
        </is>
      </c>
      <c r="C551" s="10" t="inlineStr">
        <is>
          <t>L09</t>
        </is>
      </c>
      <c r="D551" s="10" t="inlineStr">
        <is>
          <t>BL09G77</t>
        </is>
      </c>
      <c r="E551" s="10" t="inlineStr">
        <is>
          <t>Q07</t>
        </is>
      </c>
      <c r="F551" s="10" t="inlineStr">
        <is>
          <t>Queen</t>
        </is>
      </c>
      <c r="H551" s="16" t="n"/>
      <c r="J551" s="16" t="n"/>
      <c r="L551" s="10" t="inlineStr">
        <is>
          <t>Typology drawing R01</t>
        </is>
      </c>
      <c r="M551" s="10">
        <f>Config!$B$3&amp;"?room="&amp;A551</f>
        <v/>
      </c>
    </row>
    <row r="552" ht="15" customHeight="1" s="11">
      <c r="A552" s="10" t="inlineStr">
        <is>
          <t>B-L09-S03</t>
        </is>
      </c>
      <c r="B552" s="10" t="inlineStr">
        <is>
          <t>Tower B</t>
        </is>
      </c>
      <c r="C552" s="10" t="inlineStr">
        <is>
          <t>L09</t>
        </is>
      </c>
      <c r="D552" s="10" t="inlineStr">
        <is>
          <t>BL09G66</t>
        </is>
      </c>
      <c r="E552" s="10" t="inlineStr">
        <is>
          <t>S03</t>
        </is>
      </c>
      <c r="F552" s="10" t="inlineStr">
        <is>
          <t>Suite</t>
        </is>
      </c>
      <c r="H552" s="16" t="n"/>
      <c r="J552" s="16" t="n"/>
      <c r="L552" s="10" t="inlineStr">
        <is>
          <t>Typology drawing R01</t>
        </is>
      </c>
      <c r="M552" s="10">
        <f>Config!$B$3&amp;"?room="&amp;A552</f>
        <v/>
      </c>
    </row>
    <row r="553" ht="15" customHeight="1" s="11">
      <c r="A553" s="10" t="inlineStr">
        <is>
          <t>B-L09-S09</t>
        </is>
      </c>
      <c r="B553" s="10" t="inlineStr">
        <is>
          <t>Tower B</t>
        </is>
      </c>
      <c r="C553" s="10" t="inlineStr">
        <is>
          <t>L09</t>
        </is>
      </c>
      <c r="D553" s="10" t="inlineStr">
        <is>
          <t>BL09G81</t>
        </is>
      </c>
      <c r="E553" s="10" t="inlineStr">
        <is>
          <t>S09</t>
        </is>
      </c>
      <c r="F553" s="10" t="inlineStr">
        <is>
          <t>Suite</t>
        </is>
      </c>
      <c r="H553" s="16" t="n"/>
      <c r="J553" s="16" t="n"/>
      <c r="L553" s="10" t="inlineStr">
        <is>
          <t>Typology drawing R01</t>
        </is>
      </c>
      <c r="M553" s="10">
        <f>Config!$B$3&amp;"?room="&amp;A553</f>
        <v/>
      </c>
    </row>
    <row r="554" ht="15" customHeight="1" s="11">
      <c r="A554" s="10" t="inlineStr">
        <is>
          <t>B-L09-S10</t>
        </is>
      </c>
      <c r="B554" s="10" t="inlineStr">
        <is>
          <t>Tower B</t>
        </is>
      </c>
      <c r="C554" s="10" t="inlineStr">
        <is>
          <t>L09</t>
        </is>
      </c>
      <c r="D554" s="10" t="inlineStr">
        <is>
          <t>BL09G87</t>
        </is>
      </c>
      <c r="E554" s="10" t="inlineStr">
        <is>
          <t>S10</t>
        </is>
      </c>
      <c r="F554" s="10" t="inlineStr">
        <is>
          <t>Suite</t>
        </is>
      </c>
      <c r="H554" s="16" t="n"/>
      <c r="J554" s="16" t="n"/>
      <c r="L554" s="10" t="inlineStr">
        <is>
          <t>Typology drawing R01</t>
        </is>
      </c>
      <c r="M554" s="10">
        <f>Config!$B$3&amp;"?room="&amp;A554</f>
        <v/>
      </c>
    </row>
  </sheetData>
  <autoFilter ref="A1:M554"/>
  <conditionalFormatting sqref="G2:G554">
    <cfRule type="expression" rank="0" priority="2" equalAverage="0" aboveAverage="0" dxfId="5" text="" percent="0" bottom="0">
      <formula>G2="Provided"</formula>
    </cfRule>
    <cfRule type="expression" rank="0" priority="3" equalAverage="0" aboveAverage="0" dxfId="6" text="" percent="0" bottom="0">
      <formula>G2="Partially Provided"</formula>
    </cfRule>
    <cfRule type="expression" rank="0" priority="4" equalAverage="0" aboveAverage="0" dxfId="7" text="" percent="0" bottom="0">
      <formula>G2="Pending"</formula>
    </cfRule>
  </conditionalFormatting>
  <conditionalFormatting sqref="I2:I554">
    <cfRule type="expression" rank="0" priority="5" equalAverage="0" aboveAverage="0" dxfId="5" text="" percent="0" bottom="0">
      <formula>I2="Provided"</formula>
    </cfRule>
    <cfRule type="expression" rank="0" priority="6" equalAverage="0" aboveAverage="0" dxfId="6" text="" percent="0" bottom="0">
      <formula>I2="Partially Provided"</formula>
    </cfRule>
    <cfRule type="expression" rank="0" priority="7" equalAverage="0" aboveAverage="0" dxfId="7" text="" percent="0" bottom="0">
      <formula>I2="Pending"</formula>
    </cfRule>
  </conditionalFormatting>
  <dataValidations count="2">
    <dataValidation sqref="H2:H554 J2:J554" showDropDown="0" showInputMessage="0" showErrorMessage="0" allowBlank="1" type="date" errorStyle="stop" operator="between">
      <formula1>0</formula1>
      <formula2>0</formula2>
    </dataValidation>
    <dataValidation sqref="G2:G554 I2:I554" showDropDown="0" showInputMessage="0" showErrorMessage="0" allowBlank="1" type="list" errorStyle="stop" operator="between">
      <formula1>Lists!$E$2:$E$30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16" customWidth="1" style="10" min="2" max="2"/>
    <col width="38" customWidth="1" style="10" min="3" max="3"/>
    <col width="10" customWidth="1" style="10" min="4" max="4"/>
    <col width="24" customWidth="1" style="10" min="5" max="5"/>
    <col width="14" customWidth="1" style="10" min="6" max="6"/>
    <col width="17" customWidth="1" style="10" min="7" max="17"/>
  </cols>
  <sheetData>
    <row r="1" ht="33.75" customHeight="1" s="11">
      <c r="A1" s="15" t="inlineStr">
        <is>
          <t>Room Type</t>
        </is>
      </c>
      <c r="B1" s="15" t="inlineStr">
        <is>
          <t>Room Category</t>
        </is>
      </c>
      <c r="C1" s="15" t="inlineStr">
        <is>
          <t>ID SD Reference</t>
        </is>
      </c>
      <c r="D1" s="15" t="inlineStr">
        <is>
          <t>ID SD Revision</t>
        </is>
      </c>
      <c r="E1" s="15" t="inlineStr">
        <is>
          <t>ID SD Status</t>
        </is>
      </c>
      <c r="F1" s="15" t="inlineStr">
        <is>
          <t>ID SD Status Date</t>
        </is>
      </c>
      <c r="G1" s="15" t="inlineStr">
        <is>
          <t>MEP SD - Drainage Network</t>
        </is>
      </c>
      <c r="H1" s="15" t="inlineStr">
        <is>
          <t>MEP SD - Water Supply Network</t>
        </is>
      </c>
      <c r="I1" s="15" t="inlineStr">
        <is>
          <t>MEP SD - Chilled Water Network</t>
        </is>
      </c>
      <c r="J1" s="15" t="inlineStr">
        <is>
          <t>MEP SD - Fire Fighting Network</t>
        </is>
      </c>
      <c r="K1" s="15" t="inlineStr">
        <is>
          <t>MEP SD - AC System</t>
        </is>
      </c>
      <c r="L1" s="15" t="inlineStr">
        <is>
          <t>MEP SD - Ventilation System</t>
        </is>
      </c>
      <c r="M1" s="15" t="inlineStr">
        <is>
          <t>MEP SD - CDP System</t>
        </is>
      </c>
      <c r="N1" s="15" t="inlineStr">
        <is>
          <t>MEP SD - Small Power</t>
        </is>
      </c>
      <c r="O1" s="15" t="inlineStr">
        <is>
          <t>MEP SD - Lighting</t>
        </is>
      </c>
      <c r="P1" s="15" t="inlineStr">
        <is>
          <t>ELV SD - ICT System GRMS</t>
        </is>
      </c>
      <c r="Q1" s="15" t="inlineStr">
        <is>
          <t>ELV SD - ICT GRMS Lighting Control</t>
        </is>
      </c>
    </row>
    <row r="2" ht="15" customHeight="1" s="11">
      <c r="A2" s="10" t="inlineStr">
        <is>
          <t>F01</t>
        </is>
      </c>
      <c r="B2" s="10" t="inlineStr">
        <is>
          <t>Family</t>
        </is>
      </c>
      <c r="C2" s="10" t="inlineStr">
        <is>
          <t>WPH-ETC-DRW-SDW-IND-00-ZZZ-42301</t>
        </is>
      </c>
      <c r="F2" s="16" t="n"/>
    </row>
    <row r="3" ht="15" customHeight="1" s="11">
      <c r="A3" s="10" t="inlineStr">
        <is>
          <t>F02</t>
        </is>
      </c>
      <c r="B3" s="10" t="inlineStr">
        <is>
          <t>Family</t>
        </is>
      </c>
      <c r="C3" s="10" t="inlineStr">
        <is>
          <t>WPH-ETC-DRW-SDW-IND-00-ZZZ-42401</t>
        </is>
      </c>
      <c r="F3" s="16" t="n"/>
    </row>
    <row r="4" ht="15" customHeight="1" s="11">
      <c r="A4" s="10" t="inlineStr">
        <is>
          <t>F03</t>
        </is>
      </c>
      <c r="B4" s="10" t="inlineStr">
        <is>
          <t>Family</t>
        </is>
      </c>
      <c r="C4" s="10" t="inlineStr">
        <is>
          <t>WPH-ETC-DRW-SDW-IND-00-ZZZ-42501</t>
        </is>
      </c>
      <c r="E4" s="10" t="inlineStr">
        <is>
          <t>A - Approved</t>
        </is>
      </c>
      <c r="F4" s="16" t="n">
        <v>46301</v>
      </c>
      <c r="G4" s="10" t="inlineStr">
        <is>
          <t>A - Approved</t>
        </is>
      </c>
      <c r="H4" s="10" t="inlineStr">
        <is>
          <t>A - Approved</t>
        </is>
      </c>
      <c r="I4" s="10" t="inlineStr">
        <is>
          <t>A - Approved</t>
        </is>
      </c>
      <c r="J4" s="10" t="inlineStr">
        <is>
          <t>A - Approved</t>
        </is>
      </c>
      <c r="K4" s="10" t="inlineStr">
        <is>
          <t>A - Approved</t>
        </is>
      </c>
      <c r="L4" s="10" t="inlineStr">
        <is>
          <t>A - Approved</t>
        </is>
      </c>
      <c r="M4" s="10" t="inlineStr">
        <is>
          <t>A - Approved</t>
        </is>
      </c>
      <c r="N4" s="10" t="inlineStr">
        <is>
          <t>A - Approved</t>
        </is>
      </c>
      <c r="O4" s="10" t="inlineStr">
        <is>
          <t>A - Approved</t>
        </is>
      </c>
      <c r="P4" s="10" t="inlineStr">
        <is>
          <t>A - Approved</t>
        </is>
      </c>
      <c r="Q4" s="10" t="inlineStr">
        <is>
          <t>A - Approved</t>
        </is>
      </c>
    </row>
    <row r="5" ht="15" customHeight="1" s="11">
      <c r="A5" s="10" t="inlineStr">
        <is>
          <t>F03A</t>
        </is>
      </c>
      <c r="B5" s="10" t="inlineStr">
        <is>
          <t>Family</t>
        </is>
      </c>
      <c r="C5" s="10" t="inlineStr">
        <is>
          <t>(no drawing number in legend)</t>
        </is>
      </c>
      <c r="F5" s="16" t="n"/>
    </row>
    <row r="6" ht="15" customHeight="1" s="11">
      <c r="A6" s="10" t="inlineStr">
        <is>
          <t>F03B</t>
        </is>
      </c>
      <c r="B6" s="10" t="inlineStr">
        <is>
          <t>Family</t>
        </is>
      </c>
      <c r="C6" s="10" t="inlineStr">
        <is>
          <t>(no drawing number in legend)</t>
        </is>
      </c>
      <c r="F6" s="16" t="n"/>
    </row>
    <row r="7" ht="15" customHeight="1" s="11">
      <c r="A7" s="10" t="inlineStr">
        <is>
          <t>F04</t>
        </is>
      </c>
      <c r="B7" s="10" t="inlineStr">
        <is>
          <t>Family</t>
        </is>
      </c>
      <c r="C7" s="10" t="inlineStr">
        <is>
          <t>WPH-ETC-DRW-SDW-IND-00-ZZZ-42801</t>
        </is>
      </c>
      <c r="F7" s="16" t="n"/>
    </row>
    <row r="8" ht="15" customHeight="1" s="11">
      <c r="A8" s="10" t="inlineStr">
        <is>
          <t>F05</t>
        </is>
      </c>
      <c r="B8" s="10" t="inlineStr">
        <is>
          <t>Family</t>
        </is>
      </c>
      <c r="C8" s="10" t="inlineStr">
        <is>
          <t>WPH-ETC-DRW-SDW-IND-00-ZZZ-42901</t>
        </is>
      </c>
      <c r="F8" s="16" t="n"/>
    </row>
    <row r="9" ht="15" customHeight="1" s="11">
      <c r="A9" s="10" t="inlineStr">
        <is>
          <t>F06</t>
        </is>
      </c>
      <c r="B9" s="10" t="inlineStr">
        <is>
          <t>Family</t>
        </is>
      </c>
      <c r="C9" s="10" t="inlineStr">
        <is>
          <t>WPH-ETC-DRW-SDW-IND-00-ZZZ-43001</t>
        </is>
      </c>
      <c r="F9" s="16" t="n"/>
    </row>
    <row r="10" ht="15" customHeight="1" s="11">
      <c r="A10" s="10" t="inlineStr">
        <is>
          <t>F07</t>
        </is>
      </c>
      <c r="B10" s="10" t="inlineStr">
        <is>
          <t>Family</t>
        </is>
      </c>
      <c r="C10" s="10" t="inlineStr">
        <is>
          <t>WPH-ETC-DRW-SDW-IND-00-ZZZ-43101</t>
        </is>
      </c>
      <c r="F10" s="16" t="n"/>
    </row>
    <row r="11" ht="15" customHeight="1" s="11">
      <c r="A11" s="10" t="inlineStr">
        <is>
          <t>F08</t>
        </is>
      </c>
      <c r="B11" s="10" t="inlineStr">
        <is>
          <t>Family</t>
        </is>
      </c>
      <c r="C11" s="10" t="inlineStr">
        <is>
          <t>WPH-ETC-DRW-SDW-IND-00-ZZZ-43201</t>
        </is>
      </c>
      <c r="F11" s="16" t="n"/>
    </row>
    <row r="12" ht="15" customHeight="1" s="11">
      <c r="A12" s="10" t="inlineStr">
        <is>
          <t>FADA</t>
        </is>
      </c>
      <c r="B12" s="10" t="inlineStr">
        <is>
          <t>Family ADA</t>
        </is>
      </c>
      <c r="C12" s="10" t="inlineStr">
        <is>
          <t>WPH-ETC-DRW-SDW-IND-00-ZZZ-43301</t>
        </is>
      </c>
      <c r="F12" s="16" t="n"/>
    </row>
    <row r="13" ht="15" customHeight="1" s="11">
      <c r="A13" s="10" t="inlineStr">
        <is>
          <t>K01</t>
        </is>
      </c>
      <c r="B13" s="10" t="inlineStr">
        <is>
          <t>King</t>
        </is>
      </c>
      <c r="C13" s="10" t="inlineStr">
        <is>
          <t>WPH-ETC-DRW-SDW-IND-00-ZZZ-40301</t>
        </is>
      </c>
      <c r="F13" s="16" t="n"/>
    </row>
    <row r="14" ht="15" customHeight="1" s="11">
      <c r="A14" s="10" t="inlineStr">
        <is>
          <t>K01A</t>
        </is>
      </c>
      <c r="B14" s="10" t="inlineStr">
        <is>
          <t>King</t>
        </is>
      </c>
      <c r="C14" s="10" t="inlineStr">
        <is>
          <t>WPH-ETC-DRW-SDW-IND-00-ZZZ-40301</t>
        </is>
      </c>
      <c r="F14" s="16" t="n"/>
    </row>
    <row r="15" ht="15" customHeight="1" s="11">
      <c r="A15" s="10" t="inlineStr">
        <is>
          <t>K01B</t>
        </is>
      </c>
      <c r="B15" s="10" t="inlineStr">
        <is>
          <t>King</t>
        </is>
      </c>
      <c r="C15" s="10" t="inlineStr">
        <is>
          <t>WPH-ETC-DRW-SDW-IND-00-ZZZ-40301</t>
        </is>
      </c>
      <c r="F15" s="16" t="n"/>
    </row>
    <row r="16" ht="15" customHeight="1" s="11">
      <c r="A16" s="10" t="inlineStr">
        <is>
          <t>K01C</t>
        </is>
      </c>
      <c r="B16" s="10" t="inlineStr">
        <is>
          <t>King</t>
        </is>
      </c>
      <c r="C16" s="10" t="inlineStr">
        <is>
          <t>WPH-ETC-DRW-SDW-IND-00-ZZZ-40301</t>
        </is>
      </c>
      <c r="F16" s="16" t="n"/>
    </row>
    <row r="17" ht="15" customHeight="1" s="11">
      <c r="A17" s="10" t="inlineStr">
        <is>
          <t>K01C1</t>
        </is>
      </c>
      <c r="B17" s="10" t="inlineStr">
        <is>
          <t>King</t>
        </is>
      </c>
      <c r="C17" s="10" t="inlineStr">
        <is>
          <t>WPH-ETC-DRW-SDW-IND-00-ZZZ-40301</t>
        </is>
      </c>
      <c r="F17" s="16" t="n"/>
    </row>
    <row r="18" ht="15" customHeight="1" s="11">
      <c r="A18" s="10" t="inlineStr">
        <is>
          <t>K01D</t>
        </is>
      </c>
      <c r="B18" s="10" t="inlineStr">
        <is>
          <t>King</t>
        </is>
      </c>
      <c r="C18" s="10" t="inlineStr">
        <is>
          <t>WPH-ETC-DRW-SDW-IND-00-ZZZ-40301</t>
        </is>
      </c>
      <c r="F18" s="16" t="n"/>
    </row>
    <row r="19" ht="15" customHeight="1" s="11">
      <c r="A19" s="10" t="inlineStr">
        <is>
          <t>K02</t>
        </is>
      </c>
      <c r="B19" s="10" t="inlineStr">
        <is>
          <t>King</t>
        </is>
      </c>
      <c r="C19" s="10" t="inlineStr">
        <is>
          <t>WPH-ETC-DRW-SDW-IND-00-ZZZ-40701</t>
        </is>
      </c>
      <c r="F19" s="16" t="n"/>
    </row>
    <row r="20" ht="15" customHeight="1" s="11">
      <c r="A20" s="10" t="inlineStr">
        <is>
          <t>K02A</t>
        </is>
      </c>
      <c r="B20" s="10" t="inlineStr">
        <is>
          <t>King</t>
        </is>
      </c>
      <c r="C20" s="10" t="inlineStr">
        <is>
          <t>WPH-ETC-DRW-SDW-IND-00-ZZZ-40701</t>
        </is>
      </c>
      <c r="F20" s="16" t="n"/>
    </row>
    <row r="21" ht="15" customHeight="1" s="11">
      <c r="A21" s="10" t="inlineStr">
        <is>
          <t>K02B</t>
        </is>
      </c>
      <c r="B21" s="10" t="inlineStr">
        <is>
          <t>King</t>
        </is>
      </c>
      <c r="C21" s="10" t="inlineStr">
        <is>
          <t>WPH-ETC-DRW-SDW-IND-00-ZZZ-40701</t>
        </is>
      </c>
      <c r="F21" s="16" t="n"/>
    </row>
    <row r="22" ht="15" customHeight="1" s="11">
      <c r="A22" s="10" t="inlineStr">
        <is>
          <t>K02C</t>
        </is>
      </c>
      <c r="B22" s="10" t="inlineStr">
        <is>
          <t>King</t>
        </is>
      </c>
      <c r="C22" s="10" t="inlineStr">
        <is>
          <t>WPH-ETC-DRW-SDW-IND-00-ZZZ-40701</t>
        </is>
      </c>
      <c r="F22" s="16" t="n"/>
    </row>
    <row r="23" ht="15" customHeight="1" s="11">
      <c r="A23" s="10" t="inlineStr">
        <is>
          <t>K02C1</t>
        </is>
      </c>
      <c r="B23" s="10" t="inlineStr">
        <is>
          <t>King</t>
        </is>
      </c>
      <c r="C23" s="10" t="inlineStr">
        <is>
          <t>WPH-ETC-DRW-SDW-IND-00-ZZZ-40701</t>
        </is>
      </c>
      <c r="F23" s="16" t="n"/>
    </row>
    <row r="24" ht="15" customHeight="1" s="11">
      <c r="A24" s="10" t="inlineStr">
        <is>
          <t>K02C2</t>
        </is>
      </c>
      <c r="B24" s="10" t="inlineStr">
        <is>
          <t>King</t>
        </is>
      </c>
      <c r="C24" s="10" t="inlineStr">
        <is>
          <t>WPH-ETC-DRW-SDW-IND-00-ZZZ-40701</t>
        </is>
      </c>
      <c r="F24" s="16" t="n"/>
    </row>
    <row r="25" ht="15" customHeight="1" s="11">
      <c r="A25" s="10" t="inlineStr">
        <is>
          <t>K02D1</t>
        </is>
      </c>
      <c r="B25" s="10" t="inlineStr">
        <is>
          <t>King</t>
        </is>
      </c>
      <c r="C25" s="10" t="inlineStr">
        <is>
          <t>WPH-ETC-DRW-SDW-IND-00-ZZZ-40701</t>
        </is>
      </c>
      <c r="F25" s="16" t="n"/>
    </row>
    <row r="26" ht="15" customHeight="1" s="11">
      <c r="A26" s="10" t="inlineStr">
        <is>
          <t>K03</t>
        </is>
      </c>
      <c r="B26" s="10" t="inlineStr">
        <is>
          <t>King</t>
        </is>
      </c>
      <c r="C26" s="10" t="inlineStr">
        <is>
          <t>WPH-ETC-DRW-SDW-IND-00-ZZZ-41101</t>
        </is>
      </c>
      <c r="F26" s="16" t="n"/>
    </row>
    <row r="27" ht="15" customHeight="1" s="11">
      <c r="A27" s="10" t="inlineStr">
        <is>
          <t>KADA1</t>
        </is>
      </c>
      <c r="B27" s="10" t="inlineStr">
        <is>
          <t>King ADA</t>
        </is>
      </c>
      <c r="C27" s="10" t="inlineStr">
        <is>
          <t>WPH-ETC-DRW-SDW-IND-00-ZZZ-41201</t>
        </is>
      </c>
      <c r="F27" s="16" t="n"/>
    </row>
    <row r="28" ht="15" customHeight="1" s="11">
      <c r="A28" s="10" t="inlineStr">
        <is>
          <t>KADA2</t>
        </is>
      </c>
      <c r="B28" s="10" t="inlineStr">
        <is>
          <t>King ADA</t>
        </is>
      </c>
      <c r="C28" s="10" t="inlineStr">
        <is>
          <t>(no drawing number in legend)</t>
        </is>
      </c>
      <c r="F28" s="16" t="n"/>
    </row>
    <row r="29" ht="15" customHeight="1" s="11">
      <c r="A29" s="10" t="inlineStr">
        <is>
          <t>Q01</t>
        </is>
      </c>
      <c r="B29" s="10" t="inlineStr">
        <is>
          <t>Queen</t>
        </is>
      </c>
      <c r="C29" s="10" t="inlineStr">
        <is>
          <t>WPH-ETC-DRW-SDW-IND-00-ZZZ-41401</t>
        </is>
      </c>
      <c r="F29" s="16" t="n"/>
    </row>
    <row r="30" ht="15" customHeight="1" s="11">
      <c r="A30" s="10" t="inlineStr">
        <is>
          <t>Q01C</t>
        </is>
      </c>
      <c r="B30" s="10" t="inlineStr">
        <is>
          <t>Queen</t>
        </is>
      </c>
      <c r="C30" s="10" t="inlineStr">
        <is>
          <t>WPH-ETC-DRW-SDW-IND-00-ZZZ-41401</t>
        </is>
      </c>
      <c r="F30" s="16" t="n"/>
    </row>
    <row r="31" ht="15" customHeight="1" s="11">
      <c r="A31" s="10" t="inlineStr">
        <is>
          <t>Q01C1</t>
        </is>
      </c>
      <c r="B31" s="10" t="inlineStr">
        <is>
          <t>Queen</t>
        </is>
      </c>
      <c r="C31" s="10" t="inlineStr">
        <is>
          <t>WPH-ETC-DRW-SDW-IND-00-ZZZ-41401</t>
        </is>
      </c>
      <c r="F31" s="16" t="n"/>
    </row>
    <row r="32" ht="15" customHeight="1" s="11">
      <c r="A32" s="10" t="inlineStr">
        <is>
          <t>Q02A</t>
        </is>
      </c>
      <c r="B32" s="10" t="inlineStr">
        <is>
          <t>Queen</t>
        </is>
      </c>
      <c r="C32" s="10" t="inlineStr">
        <is>
          <t>WPH-ETC-DRW-SDW-IND-00-ZZZ-41601</t>
        </is>
      </c>
      <c r="F32" s="16" t="n"/>
    </row>
    <row r="33" ht="15" customHeight="1" s="11">
      <c r="A33" s="10" t="inlineStr">
        <is>
          <t>Q02C</t>
        </is>
      </c>
      <c r="B33" s="10" t="inlineStr">
        <is>
          <t>Queen</t>
        </is>
      </c>
      <c r="C33" s="10" t="inlineStr">
        <is>
          <t>WPH-ETC-DRW-SDW-IND-00-ZZZ-41601</t>
        </is>
      </c>
      <c r="F33" s="16" t="n"/>
    </row>
    <row r="34" ht="15" customHeight="1" s="11">
      <c r="A34" s="10" t="inlineStr">
        <is>
          <t>Q02C1</t>
        </is>
      </c>
      <c r="B34" s="10" t="inlineStr">
        <is>
          <t>Queen</t>
        </is>
      </c>
      <c r="C34" s="10" t="inlineStr">
        <is>
          <t>WPH-ETC-DRW-SDW-IND-00-ZZZ-41601</t>
        </is>
      </c>
      <c r="F34" s="16" t="n"/>
    </row>
    <row r="35" ht="15" customHeight="1" s="11">
      <c r="A35" s="10" t="inlineStr">
        <is>
          <t>Q02C2</t>
        </is>
      </c>
      <c r="B35" s="10" t="inlineStr">
        <is>
          <t>Queen</t>
        </is>
      </c>
      <c r="C35" s="10" t="inlineStr">
        <is>
          <t>WPH-ETC-DRW-SDW-IND-00-ZZZ-41601</t>
        </is>
      </c>
      <c r="F35" s="16" t="n"/>
    </row>
    <row r="36" ht="15" customHeight="1" s="11">
      <c r="A36" s="10" t="inlineStr">
        <is>
          <t>Q02D</t>
        </is>
      </c>
      <c r="B36" s="10" t="inlineStr">
        <is>
          <t>Queen</t>
        </is>
      </c>
      <c r="C36" s="10" t="inlineStr">
        <is>
          <t>WPH-ETC-DRW-SDW-IND-00-ZZZ-41601</t>
        </is>
      </c>
      <c r="F36" s="16" t="n"/>
    </row>
    <row r="37" ht="15" customHeight="1" s="11">
      <c r="A37" s="10" t="inlineStr">
        <is>
          <t>Q02E</t>
        </is>
      </c>
      <c r="B37" s="10" t="inlineStr">
        <is>
          <t>Queen</t>
        </is>
      </c>
      <c r="C37" s="10" t="inlineStr">
        <is>
          <t>WPH-ETC-DRW-SDW-IND-00-ZZZ-41601</t>
        </is>
      </c>
      <c r="F37" s="16" t="n"/>
    </row>
    <row r="38" ht="15" customHeight="1" s="11">
      <c r="A38" s="10" t="inlineStr">
        <is>
          <t>Q03</t>
        </is>
      </c>
      <c r="B38" s="10" t="inlineStr">
        <is>
          <t>Queen</t>
        </is>
      </c>
      <c r="C38" s="10" t="inlineStr">
        <is>
          <t>WPH-ETC-DRW-SDW-IND-00-ZZZ-42001</t>
        </is>
      </c>
      <c r="F38" s="16" t="n"/>
    </row>
    <row r="39" ht="15" customHeight="1" s="11">
      <c r="A39" s="10" t="inlineStr">
        <is>
          <t>Q04</t>
        </is>
      </c>
      <c r="B39" s="10" t="inlineStr">
        <is>
          <t>Queen</t>
        </is>
      </c>
      <c r="C39" s="10" t="inlineStr">
        <is>
          <t>WPH-ETC-DRW-SDW-IND-00-ZZZ-42101</t>
        </is>
      </c>
      <c r="F39" s="16" t="n"/>
    </row>
    <row r="40" ht="15" customHeight="1" s="11">
      <c r="A40" s="10" t="inlineStr">
        <is>
          <t>Q04*</t>
        </is>
      </c>
      <c r="B40" s="10" t="inlineStr">
        <is>
          <t>Queen</t>
        </is>
      </c>
      <c r="C40" s="10" t="inlineStr">
        <is>
          <t>WPH-ETC-DRW-SDW-IND-00-ZZZ-42101</t>
        </is>
      </c>
      <c r="F40" s="16" t="n"/>
    </row>
    <row r="41" ht="15" customHeight="1" s="11">
      <c r="A41" s="10" t="inlineStr">
        <is>
          <t>Q05</t>
        </is>
      </c>
      <c r="B41" s="10" t="inlineStr">
        <is>
          <t>Queen</t>
        </is>
      </c>
      <c r="C41" s="10" t="inlineStr">
        <is>
          <t>WPH-ETC-DRW-SDW-IND-00-ZZZ-41501</t>
        </is>
      </c>
      <c r="F41" s="16" t="n"/>
    </row>
    <row r="42" ht="15" customHeight="1" s="11">
      <c r="A42" s="10" t="inlineStr">
        <is>
          <t>Q06</t>
        </is>
      </c>
      <c r="B42" s="10" t="inlineStr">
        <is>
          <t>Queen</t>
        </is>
      </c>
      <c r="C42" s="10" t="inlineStr">
        <is>
          <t>WPH-ETC-DRW-SDW-IND-00-ZZZ-41701</t>
        </is>
      </c>
      <c r="F42" s="16" t="n"/>
    </row>
    <row r="43" ht="15" customHeight="1" s="11">
      <c r="A43" s="10" t="inlineStr">
        <is>
          <t>Q07</t>
        </is>
      </c>
      <c r="B43" s="10" t="inlineStr">
        <is>
          <t>Queen</t>
        </is>
      </c>
      <c r="C43" s="10" t="inlineStr">
        <is>
          <t>WPH-ETC-DRW-SDW-IND-00-ZZZ-41801</t>
        </is>
      </c>
      <c r="F43" s="16" t="n"/>
    </row>
    <row r="44" ht="15" customHeight="1" s="11">
      <c r="A44" s="10" t="inlineStr">
        <is>
          <t>Q07*</t>
        </is>
      </c>
      <c r="B44" s="10" t="inlineStr">
        <is>
          <t>Queen</t>
        </is>
      </c>
      <c r="C44" s="10" t="inlineStr">
        <is>
          <t>WPH-ETC-DRW-SDW-IND-00-ZZZ-41801</t>
        </is>
      </c>
      <c r="F44" s="16" t="n"/>
    </row>
    <row r="45" ht="15" customHeight="1" s="11">
      <c r="A45" s="10" t="inlineStr">
        <is>
          <t>QADA1</t>
        </is>
      </c>
      <c r="B45" s="10" t="inlineStr">
        <is>
          <t>Queen ADA</t>
        </is>
      </c>
      <c r="C45" s="10" t="inlineStr">
        <is>
          <t>WPH-ETC-DRW-SDW-IND-00-ZZZ-42201</t>
        </is>
      </c>
      <c r="F45" s="16" t="n"/>
    </row>
    <row r="46" ht="15" customHeight="1" s="11">
      <c r="A46" s="10" t="inlineStr">
        <is>
          <t>QADA2</t>
        </is>
      </c>
      <c r="B46" s="10" t="inlineStr">
        <is>
          <t>Queen ADA</t>
        </is>
      </c>
      <c r="C46" s="10" t="inlineStr">
        <is>
          <t>(no drawing number in legend)</t>
        </is>
      </c>
      <c r="F46" s="16" t="n"/>
    </row>
    <row r="47" ht="15" customHeight="1" s="11">
      <c r="A47" s="10" t="inlineStr">
        <is>
          <t>S01</t>
        </is>
      </c>
      <c r="B47" s="10" t="inlineStr">
        <is>
          <t>Suite</t>
        </is>
      </c>
      <c r="C47" s="10" t="inlineStr">
        <is>
          <t>WPH-ETC-DRW-SDW-IND-00-ZZZ-43401</t>
        </is>
      </c>
      <c r="F47" s="16" t="n"/>
    </row>
    <row r="48" ht="15" customHeight="1" s="11">
      <c r="A48" s="10" t="inlineStr">
        <is>
          <t>S02</t>
        </is>
      </c>
      <c r="B48" s="10" t="inlineStr">
        <is>
          <t>Suite</t>
        </is>
      </c>
      <c r="C48" s="10" t="inlineStr">
        <is>
          <t>WPH-ETC-DRW-SDW-IND-00-ZZZ-43501</t>
        </is>
      </c>
      <c r="F48" s="16" t="n"/>
    </row>
    <row r="49" ht="15" customHeight="1" s="11">
      <c r="A49" s="10" t="inlineStr">
        <is>
          <t>S03</t>
        </is>
      </c>
      <c r="B49" s="10" t="inlineStr">
        <is>
          <t>Suite</t>
        </is>
      </c>
      <c r="C49" s="10" t="inlineStr">
        <is>
          <t>WPH-ETC-DRW-SDW-IND-00-ZZZ-43601</t>
        </is>
      </c>
      <c r="F49" s="16" t="n"/>
    </row>
    <row r="50" ht="15" customHeight="1" s="11">
      <c r="A50" s="10" t="inlineStr">
        <is>
          <t>S04</t>
        </is>
      </c>
      <c r="B50" s="10" t="inlineStr">
        <is>
          <t>Suite</t>
        </is>
      </c>
      <c r="C50" s="10" t="inlineStr">
        <is>
          <t>WPH-ETC-DRW-SDW-IND-00-ZZZ-43701</t>
        </is>
      </c>
      <c r="F50" s="16" t="n"/>
    </row>
    <row r="51" ht="15" customHeight="1" s="11">
      <c r="A51" s="10" t="inlineStr">
        <is>
          <t>S05</t>
        </is>
      </c>
      <c r="B51" s="10" t="inlineStr">
        <is>
          <t>Suite</t>
        </is>
      </c>
      <c r="C51" s="10" t="inlineStr">
        <is>
          <t>WPH-ETC-DRW-SDW-IND-00-ZZZ-43801</t>
        </is>
      </c>
      <c r="F51" s="16" t="n"/>
    </row>
    <row r="52" ht="15" customHeight="1" s="11">
      <c r="A52" s="10" t="inlineStr">
        <is>
          <t>S06</t>
        </is>
      </c>
      <c r="B52" s="10" t="inlineStr">
        <is>
          <t>Suite</t>
        </is>
      </c>
      <c r="C52" s="10" t="inlineStr">
        <is>
          <t>WPH-ETC-DRW-SDW-IND-00-ZZZ-43901</t>
        </is>
      </c>
      <c r="F52" s="16" t="n"/>
    </row>
    <row r="53" ht="15" customHeight="1" s="11">
      <c r="A53" s="10" t="inlineStr">
        <is>
          <t>S07</t>
        </is>
      </c>
      <c r="B53" s="10" t="inlineStr">
        <is>
          <t>Suite</t>
        </is>
      </c>
      <c r="C53" s="10" t="inlineStr">
        <is>
          <t>WPH-ETC-DRW-SDW-IND-00-ZZZ-44001</t>
        </is>
      </c>
      <c r="F53" s="16" t="n"/>
    </row>
    <row r="54" ht="15" customHeight="1" s="11">
      <c r="A54" s="10" t="inlineStr">
        <is>
          <t>S08</t>
        </is>
      </c>
      <c r="B54" s="10" t="inlineStr">
        <is>
          <t>Suite</t>
        </is>
      </c>
      <c r="C54" s="10" t="inlineStr">
        <is>
          <t>WPH-ETC-DRW-SDW-IND-00-ZZZ-44101</t>
        </is>
      </c>
      <c r="F54" s="16" t="n"/>
    </row>
    <row r="55" ht="15" customHeight="1" s="11">
      <c r="A55" s="10" t="inlineStr">
        <is>
          <t>S08A</t>
        </is>
      </c>
      <c r="B55" s="10" t="inlineStr">
        <is>
          <t>Suite</t>
        </is>
      </c>
      <c r="C55" s="10" t="inlineStr">
        <is>
          <t>(no drawing number in legend)</t>
        </is>
      </c>
      <c r="F55" s="16" t="n"/>
    </row>
    <row r="56" ht="15" customHeight="1" s="11">
      <c r="A56" s="10" t="inlineStr">
        <is>
          <t>S09</t>
        </is>
      </c>
      <c r="B56" s="10" t="inlineStr">
        <is>
          <t>Suite</t>
        </is>
      </c>
      <c r="C56" s="10" t="inlineStr">
        <is>
          <t>WPH-ETC-DRW-SDW-IND-00-ZZZ-44301</t>
        </is>
      </c>
      <c r="F56" s="16" t="n"/>
    </row>
    <row r="57" ht="15" customHeight="1" s="11">
      <c r="A57" s="10" t="inlineStr">
        <is>
          <t>S10</t>
        </is>
      </c>
      <c r="B57" s="10" t="inlineStr">
        <is>
          <t>Suite</t>
        </is>
      </c>
      <c r="C57" s="10" t="inlineStr">
        <is>
          <t>WPH-ETC-DRW-SDW-IND-00-ZZZ-44401</t>
        </is>
      </c>
      <c r="F57" s="16" t="n"/>
    </row>
    <row r="58" ht="15" customHeight="1" s="11">
      <c r="A58" s="10" t="inlineStr">
        <is>
          <t>SADA</t>
        </is>
      </c>
      <c r="B58" s="10" t="inlineStr">
        <is>
          <t>Suite ADA</t>
        </is>
      </c>
      <c r="C58" s="10" t="inlineStr">
        <is>
          <t>WPH-ETC-DRW-SDW-IND-00-ZZZ-44501</t>
        </is>
      </c>
      <c r="F58" s="16" t="n"/>
    </row>
    <row r="59" ht="15" customHeight="1" s="11">
      <c r="A59" s="10" t="inlineStr">
        <is>
          <t>BS</t>
        </is>
      </c>
      <c r="B59" s="10" t="inlineStr">
        <is>
          <t>Suite</t>
        </is>
      </c>
      <c r="C59" s="10" t="inlineStr">
        <is>
          <t>WPH-ETC-DRW-SDW-IND-00-ZZZ-44901</t>
        </is>
      </c>
      <c r="F59" s="16" t="n"/>
    </row>
    <row r="60" ht="15" customHeight="1" s="11">
      <c r="A60" s="10" t="inlineStr">
        <is>
          <t>PS01</t>
        </is>
      </c>
      <c r="B60" s="10" t="inlineStr">
        <is>
          <t>Premium Suite</t>
        </is>
      </c>
      <c r="C60" s="10" t="inlineStr">
        <is>
          <t>WPH-ETC-DRW-SDW-IND-00-ZZZ-44601</t>
        </is>
      </c>
      <c r="F60" s="16" t="n"/>
    </row>
    <row r="61" ht="15" customHeight="1" s="11">
      <c r="A61" s="10" t="inlineStr">
        <is>
          <t>PS02</t>
        </is>
      </c>
      <c r="B61" s="10" t="inlineStr">
        <is>
          <t>Premium Suite</t>
        </is>
      </c>
      <c r="C61" s="10" t="inlineStr">
        <is>
          <t>WPH-ETC-DRW-SDW-IND-00-ZZZ-44701</t>
        </is>
      </c>
      <c r="F61" s="16" t="n"/>
    </row>
    <row r="62" ht="15" customHeight="1" s="11">
      <c r="A62" s="10" t="inlineStr">
        <is>
          <t>PS03</t>
        </is>
      </c>
      <c r="B62" s="10" t="inlineStr">
        <is>
          <t>Premium Suite</t>
        </is>
      </c>
      <c r="C62" s="10" t="inlineStr">
        <is>
          <t>WPH-ETC-DRW-SDW-IND-00-ZZZ-44801</t>
        </is>
      </c>
      <c r="F62" s="16" t="n"/>
    </row>
  </sheetData>
  <conditionalFormatting sqref="E2:Q62">
    <cfRule type="expression" rank="0" priority="2" equalAverage="0" aboveAverage="0" dxfId="5" text="" percent="0" bottom="0">
      <formula>LEFT(E2,3)="A -"</formula>
    </cfRule>
    <cfRule type="expression" rank="0" priority="3" equalAverage="0" aboveAverage="0" dxfId="5" text="" percent="0" bottom="0">
      <formula>LEFT(E2,3)="B -"</formula>
    </cfRule>
    <cfRule type="expression" rank="0" priority="4" equalAverage="0" aboveAverage="0" dxfId="6" text="" percent="0" bottom="0">
      <formula>LEFT(E2,3)="C -"</formula>
    </cfRule>
    <cfRule type="expression" rank="0" priority="5" equalAverage="0" aboveAverage="0" dxfId="7" text="" percent="0" bottom="0">
      <formula>LEFT(E2,3)="D -"</formula>
    </cfRule>
  </conditionalFormatting>
  <dataValidations count="2">
    <dataValidation sqref="E2:E62 G2:Q62" showDropDown="0" showInputMessage="0" showErrorMessage="0" allowBlank="1" type="list" errorStyle="stop" operator="between">
      <formula1>Lists!$A$2:$A$30</formula1>
      <formula2>0</formula2>
    </dataValidation>
    <dataValidation sqref="F2:F62" showDropDown="0" showInputMessage="0" showErrorMessage="0" allowBlank="1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10" min="1" max="1"/>
    <col width="32" customWidth="1" style="10" min="2" max="2"/>
    <col width="30" customWidth="1" style="10" min="3" max="3"/>
    <col width="8" customWidth="1" style="10" min="4" max="5"/>
    <col width="10" customWidth="1" style="10" min="6" max="6"/>
  </cols>
  <sheetData>
    <row r="1" ht="33.75" customHeight="1" s="11">
      <c r="A1" s="15" t="inlineStr">
        <is>
          <t>Column</t>
        </is>
      </c>
      <c r="B1" s="15" t="inlineStr">
        <is>
          <t>Label</t>
        </is>
      </c>
      <c r="C1" s="15" t="inlineStr">
        <is>
          <t>Section</t>
        </is>
      </c>
      <c r="D1" s="15" t="inlineStr">
        <is>
          <t>Order</t>
        </is>
      </c>
      <c r="E1" s="15" t="inlineStr">
        <is>
          <t>Show</t>
        </is>
      </c>
      <c r="F1" s="15" t="inlineStr">
        <is>
          <t>Format</t>
        </is>
      </c>
    </row>
    <row r="2" ht="15" customHeight="1" s="11">
      <c r="A2" s="10" t="inlineStr">
        <is>
          <t>Room Category</t>
        </is>
      </c>
      <c r="B2" s="10" t="inlineStr">
        <is>
          <t>Category</t>
        </is>
      </c>
      <c r="C2" s="10" t="inlineStr">
        <is>
          <t>Room</t>
        </is>
      </c>
      <c r="D2" s="10" t="n">
        <v>1</v>
      </c>
      <c r="E2" s="10" t="inlineStr">
        <is>
          <t>Y</t>
        </is>
      </c>
      <c r="F2" s="10" t="inlineStr">
        <is>
          <t>text</t>
        </is>
      </c>
    </row>
    <row r="3" ht="15" customHeight="1" s="11">
      <c r="A3" s="10" t="inlineStr">
        <is>
          <t>_TypeCountTower</t>
        </is>
      </c>
      <c r="B3" s="10" t="inlineStr">
        <is>
          <t>Rooms of this type in tower</t>
        </is>
      </c>
      <c r="C3" s="10" t="inlineStr">
        <is>
          <t>Room type quantity</t>
        </is>
      </c>
      <c r="D3" s="10" t="n">
        <v>10</v>
      </c>
      <c r="E3" s="10" t="inlineStr">
        <is>
          <t>Y</t>
        </is>
      </c>
      <c r="F3" s="10" t="inlineStr">
        <is>
          <t>text</t>
        </is>
      </c>
    </row>
    <row r="4" ht="15" customHeight="1" s="11">
      <c r="A4" s="10" t="inlineStr">
        <is>
          <t>_TypePctTower</t>
        </is>
      </c>
      <c r="B4" s="10" t="inlineStr">
        <is>
          <t>Share of tower rooms</t>
        </is>
      </c>
      <c r="C4" s="10" t="inlineStr">
        <is>
          <t>Room type quantity</t>
        </is>
      </c>
      <c r="D4" s="10" t="n">
        <v>11</v>
      </c>
      <c r="E4" s="10" t="inlineStr">
        <is>
          <t>Y</t>
        </is>
      </c>
      <c r="F4" s="10" t="inlineStr">
        <is>
          <t>text</t>
        </is>
      </c>
    </row>
    <row r="5" ht="15" customHeight="1" s="11">
      <c r="A5" s="10" t="inlineStr">
        <is>
          <t>_TypeCountAll</t>
        </is>
      </c>
      <c r="B5" s="10" t="inlineStr">
        <is>
          <t>Rooms of this type – Towers A &amp; B</t>
        </is>
      </c>
      <c r="C5" s="10" t="inlineStr">
        <is>
          <t>Room type quantity</t>
        </is>
      </c>
      <c r="D5" s="10" t="n">
        <v>12</v>
      </c>
      <c r="E5" s="10" t="inlineStr">
        <is>
          <t>Y</t>
        </is>
      </c>
      <c r="F5" s="10" t="inlineStr">
        <is>
          <t>text</t>
        </is>
      </c>
    </row>
    <row r="6" ht="15" customHeight="1" s="11">
      <c r="A6" s="10" t="inlineStr">
        <is>
          <t>_TypePctAll</t>
        </is>
      </c>
      <c r="B6" s="10" t="inlineStr">
        <is>
          <t>Share of all rooms (A &amp; B)</t>
        </is>
      </c>
      <c r="C6" s="10" t="inlineStr">
        <is>
          <t>Room type quantity</t>
        </is>
      </c>
      <c r="D6" s="10" t="n">
        <v>13</v>
      </c>
      <c r="E6" s="10" t="inlineStr">
        <is>
          <t>Y</t>
        </is>
      </c>
      <c r="F6" s="10" t="inlineStr">
        <is>
          <t>text</t>
        </is>
      </c>
    </row>
    <row r="7" ht="15" customHeight="1" s="11">
      <c r="A7" s="10" t="inlineStr">
        <is>
          <t>ID SD Reference</t>
        </is>
      </c>
      <c r="B7" s="10" t="inlineStr">
        <is>
          <t>Drawing No.</t>
        </is>
      </c>
      <c r="C7" s="10" t="inlineStr">
        <is>
          <t>1. ID shop drawings</t>
        </is>
      </c>
      <c r="D7" s="10" t="n">
        <v>20</v>
      </c>
      <c r="E7" s="10" t="inlineStr">
        <is>
          <t>Y</t>
        </is>
      </c>
      <c r="F7" s="10" t="inlineStr">
        <is>
          <t>text</t>
        </is>
      </c>
    </row>
    <row r="8" ht="15" customHeight="1" s="11">
      <c r="A8" s="10" t="inlineStr">
        <is>
          <t>ID SD Revision</t>
        </is>
      </c>
      <c r="B8" s="10" t="inlineStr">
        <is>
          <t>Revision</t>
        </is>
      </c>
      <c r="C8" s="10" t="inlineStr">
        <is>
          <t>1. ID shop drawings</t>
        </is>
      </c>
      <c r="D8" s="10" t="n">
        <v>21</v>
      </c>
      <c r="E8" s="10" t="inlineStr">
        <is>
          <t>Y</t>
        </is>
      </c>
      <c r="F8" s="10" t="inlineStr">
        <is>
          <t>text</t>
        </is>
      </c>
    </row>
    <row r="9" ht="15" customHeight="1" s="11">
      <c r="A9" s="10" t="inlineStr">
        <is>
          <t>ID SD Status</t>
        </is>
      </c>
      <c r="B9" s="10" t="inlineStr">
        <is>
          <t>Status</t>
        </is>
      </c>
      <c r="C9" s="10" t="inlineStr">
        <is>
          <t>1. ID shop drawings</t>
        </is>
      </c>
      <c r="D9" s="10" t="n">
        <v>22</v>
      </c>
      <c r="E9" s="10" t="inlineStr">
        <is>
          <t>Y</t>
        </is>
      </c>
      <c r="F9" s="10" t="inlineStr">
        <is>
          <t>status</t>
        </is>
      </c>
    </row>
    <row r="10" ht="15" customHeight="1" s="11">
      <c r="A10" s="10" t="inlineStr">
        <is>
          <t>ID SD Status Date</t>
        </is>
      </c>
      <c r="B10" s="10" t="inlineStr">
        <is>
          <t>Status date</t>
        </is>
      </c>
      <c r="C10" s="10" t="inlineStr">
        <is>
          <t>1. ID shop drawings</t>
        </is>
      </c>
      <c r="D10" s="10" t="n">
        <v>23</v>
      </c>
      <c r="E10" s="10" t="inlineStr">
        <is>
          <t>Y</t>
        </is>
      </c>
      <c r="F10" s="10" t="inlineStr">
        <is>
          <t>date</t>
        </is>
      </c>
    </row>
    <row r="11" ht="15" customHeight="1" s="11">
      <c r="A11" s="10" t="inlineStr">
        <is>
          <t>MEP SD - Drainage Network</t>
        </is>
      </c>
      <c r="B11" s="10" t="inlineStr">
        <is>
          <t>Drainage Network</t>
        </is>
      </c>
      <c r="C11" s="10" t="inlineStr">
        <is>
          <t>2. MEP shop drawings</t>
        </is>
      </c>
      <c r="D11" s="10" t="n">
        <v>30</v>
      </c>
      <c r="E11" s="10" t="inlineStr">
        <is>
          <t>Y</t>
        </is>
      </c>
      <c r="F11" s="10" t="inlineStr">
        <is>
          <t>status</t>
        </is>
      </c>
    </row>
    <row r="12" ht="15" customHeight="1" s="11">
      <c r="A12" s="10" t="inlineStr">
        <is>
          <t>MEP SD - Water Supply Network</t>
        </is>
      </c>
      <c r="B12" s="10" t="inlineStr">
        <is>
          <t>Water Supply Network</t>
        </is>
      </c>
      <c r="C12" s="10" t="inlineStr">
        <is>
          <t>2. MEP shop drawings</t>
        </is>
      </c>
      <c r="D12" s="10" t="n">
        <v>31</v>
      </c>
      <c r="E12" s="10" t="inlineStr">
        <is>
          <t>Y</t>
        </is>
      </c>
      <c r="F12" s="10" t="inlineStr">
        <is>
          <t>status</t>
        </is>
      </c>
    </row>
    <row r="13" ht="15" customHeight="1" s="11">
      <c r="A13" s="10" t="inlineStr">
        <is>
          <t>MEP SD - Chilled Water Network</t>
        </is>
      </c>
      <c r="B13" s="10" t="inlineStr">
        <is>
          <t>Chilled Water Network</t>
        </is>
      </c>
      <c r="C13" s="10" t="inlineStr">
        <is>
          <t>2. MEP shop drawings</t>
        </is>
      </c>
      <c r="D13" s="10" t="n">
        <v>32</v>
      </c>
      <c r="E13" s="10" t="inlineStr">
        <is>
          <t>Y</t>
        </is>
      </c>
      <c r="F13" s="10" t="inlineStr">
        <is>
          <t>status</t>
        </is>
      </c>
    </row>
    <row r="14" ht="15" customHeight="1" s="11">
      <c r="A14" s="10" t="inlineStr">
        <is>
          <t>MEP SD - Fire Fighting Network</t>
        </is>
      </c>
      <c r="B14" s="10" t="inlineStr">
        <is>
          <t>Fire Fighting Network</t>
        </is>
      </c>
      <c r="C14" s="10" t="inlineStr">
        <is>
          <t>2. MEP shop drawings</t>
        </is>
      </c>
      <c r="D14" s="10" t="n">
        <v>33</v>
      </c>
      <c r="E14" s="10" t="inlineStr">
        <is>
          <t>Y</t>
        </is>
      </c>
      <c r="F14" s="10" t="inlineStr">
        <is>
          <t>status</t>
        </is>
      </c>
    </row>
    <row r="15" ht="15" customHeight="1" s="11">
      <c r="A15" s="10" t="inlineStr">
        <is>
          <t>MEP SD - AC System</t>
        </is>
      </c>
      <c r="B15" s="10" t="inlineStr">
        <is>
          <t>AC System</t>
        </is>
      </c>
      <c r="C15" s="10" t="inlineStr">
        <is>
          <t>2. MEP shop drawings</t>
        </is>
      </c>
      <c r="D15" s="10" t="n">
        <v>34</v>
      </c>
      <c r="E15" s="10" t="inlineStr">
        <is>
          <t>Y</t>
        </is>
      </c>
      <c r="F15" s="10" t="inlineStr">
        <is>
          <t>status</t>
        </is>
      </c>
    </row>
    <row r="16" ht="15" customHeight="1" s="11">
      <c r="A16" s="10" t="inlineStr">
        <is>
          <t>MEP SD - Ventilation System</t>
        </is>
      </c>
      <c r="B16" s="10" t="inlineStr">
        <is>
          <t>Ventilation System</t>
        </is>
      </c>
      <c r="C16" s="10" t="inlineStr">
        <is>
          <t>2. MEP shop drawings</t>
        </is>
      </c>
      <c r="D16" s="10" t="n">
        <v>35</v>
      </c>
      <c r="E16" s="10" t="inlineStr">
        <is>
          <t>Y</t>
        </is>
      </c>
      <c r="F16" s="10" t="inlineStr">
        <is>
          <t>status</t>
        </is>
      </c>
    </row>
    <row r="17" ht="15" customHeight="1" s="11">
      <c r="A17" s="10" t="inlineStr">
        <is>
          <t>MEP SD - CDP System</t>
        </is>
      </c>
      <c r="B17" s="10" t="inlineStr">
        <is>
          <t>CDP System</t>
        </is>
      </c>
      <c r="C17" s="10" t="inlineStr">
        <is>
          <t>2. MEP shop drawings</t>
        </is>
      </c>
      <c r="D17" s="10" t="n">
        <v>36</v>
      </c>
      <c r="E17" s="10" t="inlineStr">
        <is>
          <t>Y</t>
        </is>
      </c>
      <c r="F17" s="10" t="inlineStr">
        <is>
          <t>status</t>
        </is>
      </c>
    </row>
    <row r="18" ht="15" customHeight="1" s="11">
      <c r="A18" s="10" t="inlineStr">
        <is>
          <t>MEP SD - Small Power</t>
        </is>
      </c>
      <c r="B18" s="10" t="inlineStr">
        <is>
          <t>Small Power</t>
        </is>
      </c>
      <c r="C18" s="10" t="inlineStr">
        <is>
          <t>2. MEP shop drawings</t>
        </is>
      </c>
      <c r="D18" s="10" t="n">
        <v>37</v>
      </c>
      <c r="E18" s="10" t="inlineStr">
        <is>
          <t>Y</t>
        </is>
      </c>
      <c r="F18" s="10" t="inlineStr">
        <is>
          <t>status</t>
        </is>
      </c>
    </row>
    <row r="19" ht="15" customHeight="1" s="11">
      <c r="A19" s="10" t="inlineStr">
        <is>
          <t>MEP SD - Lighting</t>
        </is>
      </c>
      <c r="B19" s="10" t="inlineStr">
        <is>
          <t>Lighting</t>
        </is>
      </c>
      <c r="C19" s="10" t="inlineStr">
        <is>
          <t>2. MEP shop drawings</t>
        </is>
      </c>
      <c r="D19" s="10" t="n">
        <v>38</v>
      </c>
      <c r="E19" s="10" t="inlineStr">
        <is>
          <t>Y</t>
        </is>
      </c>
      <c r="F19" s="10" t="inlineStr">
        <is>
          <t>status</t>
        </is>
      </c>
    </row>
    <row r="20" ht="15" customHeight="1" s="11">
      <c r="A20" s="10" t="inlineStr">
        <is>
          <t>ELV SD - ICT System GRMS</t>
        </is>
      </c>
      <c r="B20" s="10" t="inlineStr">
        <is>
          <t>ICT System GRMS</t>
        </is>
      </c>
      <c r="C20" s="10" t="inlineStr">
        <is>
          <t>3. ELV shop drawings</t>
        </is>
      </c>
      <c r="D20" s="10" t="n">
        <v>39</v>
      </c>
      <c r="E20" s="10" t="inlineStr">
        <is>
          <t>Y</t>
        </is>
      </c>
      <c r="F20" s="10" t="inlineStr">
        <is>
          <t>status</t>
        </is>
      </c>
    </row>
    <row r="21" ht="15" customHeight="1" s="11">
      <c r="A21" s="10" t="inlineStr">
        <is>
          <t>ELV SD - ICT GRMS Lighting Control</t>
        </is>
      </c>
      <c r="B21" s="10" t="inlineStr">
        <is>
          <t>ICT GRMS Lighting Control</t>
        </is>
      </c>
      <c r="C21" s="10" t="inlineStr">
        <is>
          <t>3. ELV shop drawings</t>
        </is>
      </c>
      <c r="D21" s="10" t="n">
        <v>40</v>
      </c>
      <c r="E21" s="10" t="inlineStr">
        <is>
          <t>Y</t>
        </is>
      </c>
      <c r="F21" s="10" t="inlineStr">
        <is>
          <t>status</t>
        </is>
      </c>
    </row>
    <row r="22" ht="15" customHeight="1" s="11">
      <c r="A22" s="10" t="inlineStr">
        <is>
          <t>MEP Clearance</t>
        </is>
      </c>
      <c r="B22" s="10" t="inlineStr">
        <is>
          <t>MEP clearance</t>
        </is>
      </c>
      <c r="C22" s="10" t="inlineStr">
        <is>
          <t>4. Clearances</t>
        </is>
      </c>
      <c r="D22" s="10" t="n">
        <v>60</v>
      </c>
      <c r="E22" s="10" t="inlineStr">
        <is>
          <t>Y</t>
        </is>
      </c>
      <c r="F22" s="10" t="inlineStr">
        <is>
          <t>status</t>
        </is>
      </c>
    </row>
    <row r="23" ht="15" customHeight="1" s="11">
      <c r="A23" s="10" t="inlineStr">
        <is>
          <t>MEP Clearance Date</t>
        </is>
      </c>
      <c r="B23" s="10" t="inlineStr">
        <is>
          <t>MEP clearance date</t>
        </is>
      </c>
      <c r="C23" s="10" t="inlineStr">
        <is>
          <t>4. Clearances</t>
        </is>
      </c>
      <c r="D23" s="10" t="n">
        <v>61</v>
      </c>
      <c r="E23" s="10" t="inlineStr">
        <is>
          <t>Y</t>
        </is>
      </c>
      <c r="F23" s="10" t="inlineStr">
        <is>
          <t>date</t>
        </is>
      </c>
    </row>
    <row r="24" ht="15" customHeight="1" s="11">
      <c r="A24" s="10" t="inlineStr">
        <is>
          <t>ELV Clearance</t>
        </is>
      </c>
      <c r="B24" s="10" t="inlineStr">
        <is>
          <t>ELV clearance</t>
        </is>
      </c>
      <c r="C24" s="10" t="inlineStr">
        <is>
          <t>4. Clearances</t>
        </is>
      </c>
      <c r="D24" s="10" t="n">
        <v>62</v>
      </c>
      <c r="E24" s="10" t="inlineStr">
        <is>
          <t>Y</t>
        </is>
      </c>
      <c r="F24" s="10" t="inlineStr">
        <is>
          <t>status</t>
        </is>
      </c>
    </row>
    <row r="25" ht="15" customHeight="1" s="11">
      <c r="A25" s="10" t="inlineStr">
        <is>
          <t>ELV Clearance Date</t>
        </is>
      </c>
      <c r="B25" s="10" t="inlineStr">
        <is>
          <t>ELV clearance date</t>
        </is>
      </c>
      <c r="C25" s="10" t="inlineStr">
        <is>
          <t>4. Clearances</t>
        </is>
      </c>
      <c r="D25" s="10" t="n">
        <v>63</v>
      </c>
      <c r="E25" s="10" t="inlineStr">
        <is>
          <t>Y</t>
        </is>
      </c>
      <c r="F25" s="10" t="inlineStr">
        <is>
          <t>date</t>
        </is>
      </c>
    </row>
    <row r="26" ht="15" customHeight="1" s="11">
      <c r="A26" s="10" t="inlineStr">
        <is>
          <t>Remarks</t>
        </is>
      </c>
      <c r="B26" s="10" t="inlineStr">
        <is>
          <t>Remarks</t>
        </is>
      </c>
      <c r="C26" s="10" t="inlineStr">
        <is>
          <t>Notes</t>
        </is>
      </c>
      <c r="D26" s="10" t="n">
        <v>90</v>
      </c>
      <c r="E26" s="10" t="inlineStr">
        <is>
          <t>Y</t>
        </is>
      </c>
      <c r="F26" s="10" t="inlineStr">
        <is>
          <t>text</t>
        </is>
      </c>
    </row>
    <row r="27" ht="15" customHeight="1" s="11">
      <c r="A27" s="10" t="inlineStr">
        <is>
          <t>QR URL</t>
        </is>
      </c>
      <c r="D27" s="10" t="n">
        <v>99</v>
      </c>
      <c r="E27" s="10" t="inlineStr">
        <is>
          <t>N</t>
        </is>
      </c>
      <c r="F27" s="10" t="inlineStr">
        <is>
          <t>text</t>
        </is>
      </c>
    </row>
    <row r="28" ht="15" customHeight="1" s="11">
      <c r="A28" s="10" t="inlineStr">
        <is>
          <t>ID Source</t>
        </is>
      </c>
      <c r="D28" s="10" t="n">
        <v>99</v>
      </c>
      <c r="E28" s="10" t="inlineStr">
        <is>
          <t>N</t>
        </is>
      </c>
      <c r="F28" s="10" t="inlineStr">
        <is>
          <t>text</t>
        </is>
      </c>
    </row>
    <row r="29" ht="15" customHeight="1" s="11">
      <c r="A29" s="10" t="inlineStr">
        <is>
          <t>QR ID</t>
        </is>
      </c>
      <c r="D29" s="10" t="n">
        <v>99</v>
      </c>
      <c r="E29" s="10" t="inlineStr">
        <is>
          <t>N</t>
        </is>
      </c>
      <c r="F29" s="10" t="inlineStr">
        <is>
          <t>text</t>
        </is>
      </c>
    </row>
    <row r="30" ht="15" customHeight="1" s="11">
      <c r="A30" s="10" t="inlineStr">
        <is>
          <t>Tower</t>
        </is>
      </c>
      <c r="D30" s="10" t="n">
        <v>99</v>
      </c>
      <c r="E30" s="10" t="inlineStr">
        <is>
          <t>N</t>
        </is>
      </c>
      <c r="F30" s="10" t="inlineStr">
        <is>
          <t>text</t>
        </is>
      </c>
    </row>
    <row r="31" ht="15" customHeight="1" s="11">
      <c r="A31" s="10" t="inlineStr">
        <is>
          <t>Level</t>
        </is>
      </c>
      <c r="D31" s="10" t="n">
        <v>99</v>
      </c>
      <c r="E31" s="10" t="inlineStr">
        <is>
          <t>N</t>
        </is>
      </c>
      <c r="F31" s="10" t="inlineStr">
        <is>
          <t>text</t>
        </is>
      </c>
    </row>
    <row r="32" ht="15" customHeight="1" s="11">
      <c r="A32" s="10" t="inlineStr">
        <is>
          <t>DSA Room Tag</t>
        </is>
      </c>
      <c r="B32" s="10" t="inlineStr">
        <is>
          <t>DSA room tag (drawing)</t>
        </is>
      </c>
      <c r="C32" s="10" t="inlineStr">
        <is>
          <t>Room</t>
        </is>
      </c>
      <c r="D32" s="10" t="n">
        <v>2</v>
      </c>
      <c r="E32" s="10" t="inlineStr">
        <is>
          <t>Y</t>
        </is>
      </c>
      <c r="F32" s="10" t="inlineStr">
        <is>
          <t>text</t>
        </is>
      </c>
    </row>
    <row r="33" ht="15" customHeight="1" s="11">
      <c r="A33" s="10" t="inlineStr">
        <is>
          <t>Room Type</t>
        </is>
      </c>
      <c r="D33" s="10" t="n">
        <v>99</v>
      </c>
      <c r="E33" s="10" t="inlineStr">
        <is>
          <t>N</t>
        </is>
      </c>
      <c r="F33" s="10" t="inlineStr">
        <is>
          <t>text</t>
        </is>
      </c>
    </row>
    <row r="34" ht="15" customHeight="1" s="11">
      <c r="E34" s="10" t="n"/>
      <c r="F34" s="10" t="n"/>
    </row>
    <row r="35" ht="15" customHeight="1" s="11">
      <c r="E35" s="10" t="n"/>
      <c r="F35" s="10" t="n"/>
    </row>
    <row r="36" ht="15" customHeight="1" s="11">
      <c r="E36" s="10" t="n"/>
      <c r="F36" s="10" t="n"/>
    </row>
    <row r="37" ht="15" customHeight="1" s="11">
      <c r="E37" s="10" t="n"/>
      <c r="F37" s="10" t="n"/>
    </row>
    <row r="38" ht="15" customHeight="1" s="11">
      <c r="E38" s="10" t="n"/>
      <c r="F38" s="10" t="n"/>
    </row>
    <row r="39" ht="15" customHeight="1" s="11">
      <c r="E39" s="10" t="n"/>
      <c r="F39" s="10" t="n"/>
    </row>
    <row r="40" ht="15" customHeight="1" s="11">
      <c r="E40" s="10" t="n"/>
      <c r="F40" s="10" t="n"/>
    </row>
    <row r="41" ht="15" customHeight="1" s="11">
      <c r="E41" s="10" t="n"/>
      <c r="F41" s="10" t="n"/>
    </row>
    <row r="42" ht="15" customHeight="1" s="11">
      <c r="E42" s="10" t="n"/>
      <c r="F42" s="10" t="n"/>
    </row>
    <row r="43" ht="15" customHeight="1" s="11">
      <c r="E43" s="10" t="n"/>
      <c r="F43" s="10" t="n"/>
    </row>
    <row r="44" ht="15" customHeight="1" s="11">
      <c r="E44" s="10" t="n"/>
      <c r="F44" s="10" t="n"/>
    </row>
    <row r="45" ht="15" customHeight="1" s="11">
      <c r="E45" s="10" t="n"/>
      <c r="F45" s="10" t="n"/>
    </row>
    <row r="46" ht="15" customHeight="1" s="11">
      <c r="E46" s="10" t="n"/>
      <c r="F46" s="10" t="n"/>
    </row>
    <row r="47" ht="15" customHeight="1" s="11">
      <c r="E47" s="10" t="n"/>
      <c r="F47" s="10" t="n"/>
    </row>
    <row r="48" ht="15" customHeight="1" s="11">
      <c r="E48" s="10" t="n"/>
      <c r="F48" s="10" t="n"/>
    </row>
    <row r="49" ht="15" customHeight="1" s="11">
      <c r="E49" s="10" t="n"/>
      <c r="F49" s="10" t="n"/>
    </row>
    <row r="50" ht="15" customHeight="1" s="11">
      <c r="E50" s="10" t="n"/>
      <c r="F50" s="10" t="n"/>
    </row>
    <row r="51" ht="15" customHeight="1" s="11">
      <c r="E51" s="10" t="n"/>
      <c r="F51" s="10" t="n"/>
    </row>
    <row r="52" ht="15" customHeight="1" s="11">
      <c r="E52" s="10" t="n"/>
      <c r="F52" s="10" t="n"/>
    </row>
    <row r="53" ht="15" customHeight="1" s="11">
      <c r="E53" s="10" t="n"/>
      <c r="F53" s="10" t="n"/>
    </row>
    <row r="54" ht="15" customHeight="1" s="11">
      <c r="E54" s="10" t="n"/>
      <c r="F54" s="10" t="n"/>
    </row>
    <row r="55" ht="15" customHeight="1" s="11">
      <c r="E55" s="10" t="n"/>
      <c r="F55" s="10" t="n"/>
    </row>
    <row r="56" ht="15" customHeight="1" s="11">
      <c r="E56" s="10" t="n"/>
      <c r="F56" s="10" t="n"/>
    </row>
    <row r="57" ht="15" customHeight="1" s="11">
      <c r="E57" s="10" t="n"/>
      <c r="F57" s="10" t="n"/>
    </row>
    <row r="58" ht="15" customHeight="1" s="11">
      <c r="E58" s="10" t="n"/>
      <c r="F58" s="10" t="n"/>
    </row>
    <row r="59" ht="15" customHeight="1" s="11">
      <c r="E59" s="10" t="n"/>
      <c r="F59" s="10" t="n"/>
    </row>
    <row r="60" ht="15" customHeight="1" s="11">
      <c r="E60" s="10" t="n"/>
      <c r="F60" s="10" t="n"/>
    </row>
    <row r="61" ht="15" customHeight="1" s="11">
      <c r="E61" s="10" t="n"/>
      <c r="F61" s="10" t="n"/>
    </row>
    <row r="62" ht="15" customHeight="1" s="11">
      <c r="E62" s="10" t="n"/>
      <c r="F62" s="10" t="n"/>
    </row>
    <row r="63" ht="15" customHeight="1" s="11">
      <c r="E63" s="10" t="n"/>
      <c r="F63" s="10" t="n"/>
    </row>
    <row r="64" ht="15" customHeight="1" s="11">
      <c r="E64" s="10" t="n"/>
      <c r="F64" s="10" t="n"/>
    </row>
    <row r="65" ht="15" customHeight="1" s="11">
      <c r="E65" s="10" t="n"/>
      <c r="F65" s="10" t="n"/>
    </row>
    <row r="66" ht="15" customHeight="1" s="11">
      <c r="E66" s="10" t="n"/>
      <c r="F66" s="10" t="n"/>
    </row>
    <row r="67" ht="15" customHeight="1" s="11">
      <c r="E67" s="10" t="n"/>
      <c r="F67" s="10" t="n"/>
    </row>
    <row r="68" ht="15" customHeight="1" s="11">
      <c r="E68" s="10" t="n"/>
      <c r="F68" s="10" t="n"/>
    </row>
    <row r="69" ht="15" customHeight="1" s="11">
      <c r="E69" s="10" t="n"/>
      <c r="F69" s="10" t="n"/>
    </row>
    <row r="70" ht="15" customHeight="1" s="11">
      <c r="E70" s="10" t="n"/>
      <c r="F70" s="10" t="n"/>
    </row>
    <row r="71" ht="15" customHeight="1" s="11">
      <c r="E71" s="10" t="n"/>
      <c r="F71" s="10" t="n"/>
    </row>
    <row r="72" ht="15" customHeight="1" s="11">
      <c r="E72" s="10" t="n"/>
      <c r="F72" s="10" t="n"/>
    </row>
    <row r="73" ht="15" customHeight="1" s="11">
      <c r="E73" s="10" t="n"/>
      <c r="F73" s="10" t="n"/>
    </row>
    <row r="74" ht="15" customHeight="1" s="11">
      <c r="E74" s="10" t="n"/>
      <c r="F74" s="10" t="n"/>
    </row>
    <row r="75" ht="15" customHeight="1" s="11">
      <c r="E75" s="10" t="n"/>
      <c r="F75" s="10" t="n"/>
    </row>
    <row r="76" ht="15" customHeight="1" s="11">
      <c r="E76" s="10" t="n"/>
      <c r="F76" s="10" t="n"/>
    </row>
    <row r="77" ht="15" customHeight="1" s="11">
      <c r="E77" s="10" t="n"/>
      <c r="F77" s="10" t="n"/>
    </row>
    <row r="78" ht="15" customHeight="1" s="11">
      <c r="E78" s="10" t="n"/>
      <c r="F78" s="10" t="n"/>
    </row>
    <row r="79" ht="15" customHeight="1" s="11">
      <c r="E79" s="10" t="n"/>
      <c r="F79" s="10" t="n"/>
    </row>
    <row r="80" ht="15" customHeight="1" s="11">
      <c r="E80" s="10" t="n"/>
      <c r="F80" s="10" t="n"/>
    </row>
    <row r="81" ht="15" customHeight="1" s="11">
      <c r="E81" s="10" t="n"/>
      <c r="F81" s="10" t="n"/>
    </row>
    <row r="82" ht="15" customHeight="1" s="11">
      <c r="E82" s="10" t="n"/>
      <c r="F82" s="10" t="n"/>
    </row>
    <row r="83" ht="15" customHeight="1" s="11">
      <c r="E83" s="10" t="n"/>
      <c r="F83" s="10" t="n"/>
    </row>
    <row r="84" ht="15" customHeight="1" s="11">
      <c r="E84" s="10" t="n"/>
      <c r="F84" s="10" t="n"/>
    </row>
    <row r="85" ht="15" customHeight="1" s="11">
      <c r="E85" s="10" t="n"/>
      <c r="F85" s="10" t="n"/>
    </row>
    <row r="86" ht="15" customHeight="1" s="11">
      <c r="E86" s="10" t="n"/>
      <c r="F86" s="10" t="n"/>
    </row>
    <row r="87" ht="15" customHeight="1" s="11">
      <c r="E87" s="10" t="n"/>
      <c r="F87" s="10" t="n"/>
    </row>
    <row r="88" ht="15" customHeight="1" s="11">
      <c r="E88" s="10" t="n"/>
      <c r="F88" s="10" t="n"/>
    </row>
    <row r="89" ht="15" customHeight="1" s="11">
      <c r="E89" s="10" t="n"/>
      <c r="F89" s="10" t="n"/>
    </row>
    <row r="90" ht="15" customHeight="1" s="11">
      <c r="E90" s="10" t="n"/>
      <c r="F90" s="10" t="n"/>
    </row>
    <row r="91" ht="15" customHeight="1" s="11">
      <c r="E91" s="10" t="n"/>
      <c r="F91" s="10" t="n"/>
    </row>
    <row r="92" ht="15" customHeight="1" s="11">
      <c r="E92" s="10" t="n"/>
      <c r="F92" s="10" t="n"/>
    </row>
    <row r="93" ht="15" customHeight="1" s="11">
      <c r="E93" s="10" t="n"/>
      <c r="F93" s="10" t="n"/>
    </row>
    <row r="94" ht="15" customHeight="1" s="11">
      <c r="E94" s="10" t="n"/>
      <c r="F94" s="10" t="n"/>
    </row>
    <row r="95" ht="15" customHeight="1" s="11">
      <c r="E95" s="10" t="n"/>
      <c r="F95" s="10" t="n"/>
    </row>
    <row r="96" ht="15" customHeight="1" s="11">
      <c r="E96" s="10" t="n"/>
      <c r="F96" s="10" t="n"/>
    </row>
    <row r="97" ht="15" customHeight="1" s="11">
      <c r="E97" s="10" t="n"/>
      <c r="F97" s="10" t="n"/>
    </row>
    <row r="98" ht="15" customHeight="1" s="11">
      <c r="E98" s="10" t="n"/>
      <c r="F98" s="10" t="n"/>
    </row>
    <row r="99" ht="15" customHeight="1" s="11">
      <c r="E99" s="10" t="n"/>
      <c r="F99" s="10" t="n"/>
    </row>
    <row r="100" ht="15" customHeight="1" s="11">
      <c r="E100" s="10" t="n"/>
      <c r="F100" s="10" t="n"/>
    </row>
    <row r="101" ht="15" customHeight="1" s="11">
      <c r="E101" s="10" t="n"/>
      <c r="F101" s="10" t="n"/>
    </row>
    <row r="102" ht="15" customHeight="1" s="11">
      <c r="E102" s="10" t="n"/>
      <c r="F102" s="10" t="n"/>
    </row>
    <row r="103" ht="15" customHeight="1" s="11">
      <c r="E103" s="10" t="n"/>
      <c r="F103" s="10" t="n"/>
    </row>
    <row r="104" ht="15" customHeight="1" s="11">
      <c r="E104" s="10" t="n"/>
      <c r="F104" s="10" t="n"/>
    </row>
    <row r="105" ht="15" customHeight="1" s="11">
      <c r="E105" s="10" t="n"/>
      <c r="F105" s="10" t="n"/>
    </row>
    <row r="106" ht="15" customHeight="1" s="11">
      <c r="E106" s="10" t="n"/>
      <c r="F106" s="10" t="n"/>
    </row>
    <row r="107" ht="15" customHeight="1" s="11">
      <c r="E107" s="10" t="n"/>
      <c r="F107" s="10" t="n"/>
    </row>
    <row r="108" ht="15" customHeight="1" s="11">
      <c r="E108" s="10" t="n"/>
      <c r="F108" s="10" t="n"/>
    </row>
    <row r="109" ht="15" customHeight="1" s="11">
      <c r="E109" s="10" t="n"/>
      <c r="F109" s="10" t="n"/>
    </row>
    <row r="110" ht="15" customHeight="1" s="11">
      <c r="E110" s="10" t="n"/>
      <c r="F110" s="10" t="n"/>
    </row>
    <row r="111" ht="15" customHeight="1" s="11">
      <c r="E111" s="10" t="n"/>
      <c r="F111" s="10" t="n"/>
    </row>
    <row r="112" ht="15" customHeight="1" s="11">
      <c r="E112" s="10" t="n"/>
      <c r="F112" s="10" t="n"/>
    </row>
    <row r="113" ht="15" customHeight="1" s="11">
      <c r="E113" s="10" t="n"/>
      <c r="F113" s="10" t="n"/>
    </row>
    <row r="114" ht="15" customHeight="1" s="11">
      <c r="E114" s="10" t="n"/>
      <c r="F114" s="10" t="n"/>
    </row>
    <row r="115" ht="15" customHeight="1" s="11">
      <c r="E115" s="10" t="n"/>
      <c r="F115" s="10" t="n"/>
    </row>
    <row r="116" ht="15" customHeight="1" s="11">
      <c r="E116" s="10" t="n"/>
      <c r="F116" s="10" t="n"/>
    </row>
    <row r="117" ht="15" customHeight="1" s="11">
      <c r="E117" s="10" t="n"/>
      <c r="F117" s="10" t="n"/>
    </row>
    <row r="118" ht="15" customHeight="1" s="11">
      <c r="E118" s="10" t="n"/>
      <c r="F118" s="10" t="n"/>
    </row>
    <row r="119" ht="15" customHeight="1" s="11">
      <c r="E119" s="10" t="n"/>
      <c r="F119" s="10" t="n"/>
    </row>
    <row r="120" ht="15" customHeight="1" s="11">
      <c r="E120" s="10" t="n"/>
      <c r="F120" s="10" t="n"/>
    </row>
    <row r="121" ht="15" customHeight="1" s="11">
      <c r="E121" s="10" t="n"/>
      <c r="F121" s="10" t="n"/>
    </row>
    <row r="122" ht="15" customHeight="1" s="11">
      <c r="E122" s="10" t="n"/>
      <c r="F122" s="10" t="n"/>
    </row>
    <row r="123" ht="15" customHeight="1" s="11">
      <c r="E123" s="10" t="n"/>
      <c r="F123" s="10" t="n"/>
    </row>
    <row r="124" ht="15" customHeight="1" s="11">
      <c r="E124" s="10" t="n"/>
      <c r="F124" s="10" t="n"/>
    </row>
    <row r="125" ht="15" customHeight="1" s="11">
      <c r="E125" s="10" t="n"/>
      <c r="F125" s="10" t="n"/>
    </row>
    <row r="126" ht="15" customHeight="1" s="11">
      <c r="E126" s="10" t="n"/>
      <c r="F126" s="10" t="n"/>
    </row>
    <row r="127" ht="15" customHeight="1" s="11">
      <c r="E127" s="10" t="n"/>
      <c r="F127" s="10" t="n"/>
    </row>
    <row r="128" ht="15" customHeight="1" s="11">
      <c r="E128" s="10" t="n"/>
      <c r="F128" s="10" t="n"/>
    </row>
    <row r="129" ht="15" customHeight="1" s="11">
      <c r="E129" s="10" t="n"/>
      <c r="F129" s="10" t="n"/>
    </row>
    <row r="130" ht="15" customHeight="1" s="11">
      <c r="E130" s="10" t="n"/>
      <c r="F130" s="10" t="n"/>
    </row>
    <row r="131" ht="15" customHeight="1" s="11">
      <c r="E131" s="10" t="n"/>
      <c r="F131" s="10" t="n"/>
    </row>
    <row r="132" ht="15" customHeight="1" s="11">
      <c r="E132" s="10" t="n"/>
      <c r="F132" s="10" t="n"/>
    </row>
    <row r="133" ht="15" customHeight="1" s="11">
      <c r="E133" s="10" t="n"/>
      <c r="F133" s="10" t="n"/>
    </row>
    <row r="134" ht="15" customHeight="1" s="11">
      <c r="E134" s="10" t="n"/>
      <c r="F134" s="10" t="n"/>
    </row>
    <row r="135" ht="15" customHeight="1" s="11">
      <c r="E135" s="10" t="n"/>
      <c r="F135" s="10" t="n"/>
    </row>
    <row r="136" ht="15" customHeight="1" s="11">
      <c r="E136" s="10" t="n"/>
      <c r="F136" s="10" t="n"/>
    </row>
    <row r="137" ht="15" customHeight="1" s="11">
      <c r="E137" s="10" t="n"/>
      <c r="F137" s="10" t="n"/>
    </row>
    <row r="138" ht="15" customHeight="1" s="11">
      <c r="E138" s="10" t="n"/>
      <c r="F138" s="10" t="n"/>
    </row>
    <row r="139" ht="15" customHeight="1" s="11">
      <c r="E139" s="10" t="n"/>
      <c r="F139" s="10" t="n"/>
    </row>
    <row r="140" ht="15" customHeight="1" s="11">
      <c r="E140" s="10" t="n"/>
      <c r="F140" s="10" t="n"/>
    </row>
    <row r="141" ht="15" customHeight="1" s="11">
      <c r="E141" s="10" t="n"/>
      <c r="F141" s="10" t="n"/>
    </row>
    <row r="142" ht="15" customHeight="1" s="11">
      <c r="E142" s="10" t="n"/>
      <c r="F142" s="10" t="n"/>
    </row>
    <row r="143" ht="15" customHeight="1" s="11">
      <c r="E143" s="10" t="n"/>
      <c r="F143" s="10" t="n"/>
    </row>
    <row r="144" ht="15" customHeight="1" s="11">
      <c r="E144" s="10" t="n"/>
      <c r="F144" s="10" t="n"/>
    </row>
    <row r="145" ht="15" customHeight="1" s="11">
      <c r="E145" s="10" t="n"/>
      <c r="F145" s="10" t="n"/>
    </row>
    <row r="146" ht="15" customHeight="1" s="11">
      <c r="E146" s="10" t="n"/>
      <c r="F146" s="10" t="n"/>
    </row>
    <row r="147" ht="15" customHeight="1" s="11">
      <c r="E147" s="10" t="n"/>
      <c r="F147" s="10" t="n"/>
    </row>
    <row r="148" ht="15" customHeight="1" s="11">
      <c r="E148" s="10" t="n"/>
      <c r="F148" s="10" t="n"/>
    </row>
    <row r="149" ht="15" customHeight="1" s="11">
      <c r="E149" s="10" t="n"/>
      <c r="F149" s="10" t="n"/>
    </row>
    <row r="150" ht="15" customHeight="1" s="11">
      <c r="E150" s="10" t="n"/>
      <c r="F150" s="10" t="n"/>
    </row>
    <row r="151" ht="15" customHeight="1" s="11">
      <c r="E151" s="10" t="n"/>
      <c r="F151" s="10" t="n"/>
    </row>
    <row r="152" ht="15" customHeight="1" s="11">
      <c r="E152" s="10" t="n"/>
      <c r="F152" s="10" t="n"/>
    </row>
    <row r="153" ht="15" customHeight="1" s="11">
      <c r="E153" s="10" t="n"/>
      <c r="F153" s="10" t="n"/>
    </row>
    <row r="154" ht="15" customHeight="1" s="11">
      <c r="E154" s="10" t="n"/>
      <c r="F154" s="10" t="n"/>
    </row>
    <row r="155" ht="15" customHeight="1" s="11">
      <c r="E155" s="10" t="n"/>
      <c r="F155" s="10" t="n"/>
    </row>
    <row r="156" ht="15" customHeight="1" s="11">
      <c r="E156" s="10" t="n"/>
      <c r="F156" s="10" t="n"/>
    </row>
    <row r="157" ht="15" customHeight="1" s="11">
      <c r="E157" s="10" t="n"/>
      <c r="F157" s="10" t="n"/>
    </row>
    <row r="158" ht="15" customHeight="1" s="11">
      <c r="E158" s="10" t="n"/>
      <c r="F158" s="10" t="n"/>
    </row>
    <row r="159" ht="15" customHeight="1" s="11">
      <c r="E159" s="10" t="n"/>
      <c r="F159" s="10" t="n"/>
    </row>
    <row r="160" ht="15" customHeight="1" s="11">
      <c r="E160" s="10" t="n"/>
      <c r="F160" s="10" t="n"/>
    </row>
    <row r="161" ht="15" customHeight="1" s="11">
      <c r="E161" s="10" t="n"/>
      <c r="F161" s="10" t="n"/>
    </row>
    <row r="162" ht="15" customHeight="1" s="11">
      <c r="E162" s="10" t="n"/>
      <c r="F162" s="10" t="n"/>
    </row>
    <row r="163" ht="15" customHeight="1" s="11">
      <c r="E163" s="10" t="n"/>
      <c r="F163" s="10" t="n"/>
    </row>
    <row r="164" ht="15" customHeight="1" s="11">
      <c r="E164" s="10" t="n"/>
      <c r="F164" s="10" t="n"/>
    </row>
    <row r="165" ht="15" customHeight="1" s="11">
      <c r="E165" s="10" t="n"/>
      <c r="F165" s="10" t="n"/>
    </row>
    <row r="166" ht="15" customHeight="1" s="11">
      <c r="E166" s="10" t="n"/>
      <c r="F166" s="10" t="n"/>
    </row>
    <row r="167" ht="15" customHeight="1" s="11">
      <c r="E167" s="10" t="n"/>
      <c r="F167" s="10" t="n"/>
    </row>
    <row r="168" ht="15" customHeight="1" s="11">
      <c r="E168" s="10" t="n"/>
      <c r="F168" s="10" t="n"/>
    </row>
    <row r="169" ht="15" customHeight="1" s="11">
      <c r="E169" s="10" t="n"/>
      <c r="F169" s="10" t="n"/>
    </row>
    <row r="170" ht="15" customHeight="1" s="11">
      <c r="E170" s="10" t="n"/>
      <c r="F170" s="10" t="n"/>
    </row>
    <row r="171" ht="15" customHeight="1" s="11">
      <c r="E171" s="10" t="n"/>
      <c r="F171" s="10" t="n"/>
    </row>
    <row r="172" ht="15" customHeight="1" s="11">
      <c r="E172" s="10" t="n"/>
      <c r="F172" s="10" t="n"/>
    </row>
    <row r="173" ht="15" customHeight="1" s="11">
      <c r="E173" s="10" t="n"/>
      <c r="F173" s="10" t="n"/>
    </row>
    <row r="174" ht="15" customHeight="1" s="11">
      <c r="E174" s="10" t="n"/>
      <c r="F174" s="10" t="n"/>
    </row>
    <row r="175" ht="15" customHeight="1" s="11">
      <c r="E175" s="10" t="n"/>
      <c r="F175" s="10" t="n"/>
    </row>
    <row r="176" ht="15" customHeight="1" s="11">
      <c r="E176" s="10" t="n"/>
      <c r="F176" s="10" t="n"/>
    </row>
    <row r="177" ht="15" customHeight="1" s="11">
      <c r="E177" s="10" t="n"/>
      <c r="F177" s="10" t="n"/>
    </row>
    <row r="178" ht="15" customHeight="1" s="11">
      <c r="E178" s="10" t="n"/>
      <c r="F178" s="10" t="n"/>
    </row>
    <row r="179" ht="15" customHeight="1" s="11">
      <c r="E179" s="10" t="n"/>
      <c r="F179" s="10" t="n"/>
    </row>
    <row r="180" ht="15" customHeight="1" s="11">
      <c r="E180" s="10" t="n"/>
      <c r="F180" s="10" t="n"/>
    </row>
    <row r="181" ht="15" customHeight="1" s="11">
      <c r="E181" s="10" t="n"/>
      <c r="F181" s="10" t="n"/>
    </row>
    <row r="182" ht="15" customHeight="1" s="11">
      <c r="E182" s="10" t="n"/>
      <c r="F182" s="10" t="n"/>
    </row>
    <row r="183" ht="15" customHeight="1" s="11">
      <c r="E183" s="10" t="n"/>
      <c r="F183" s="10" t="n"/>
    </row>
    <row r="184" ht="15" customHeight="1" s="11">
      <c r="E184" s="10" t="n"/>
      <c r="F184" s="10" t="n"/>
    </row>
    <row r="185" ht="15" customHeight="1" s="11">
      <c r="E185" s="10" t="n"/>
      <c r="F185" s="10" t="n"/>
    </row>
    <row r="186" ht="15" customHeight="1" s="11">
      <c r="E186" s="10" t="n"/>
      <c r="F186" s="10" t="n"/>
    </row>
    <row r="187" ht="15" customHeight="1" s="11">
      <c r="E187" s="10" t="n"/>
      <c r="F187" s="10" t="n"/>
    </row>
    <row r="188" ht="15" customHeight="1" s="11">
      <c r="E188" s="10" t="n"/>
      <c r="F188" s="10" t="n"/>
    </row>
    <row r="189" ht="15" customHeight="1" s="11">
      <c r="E189" s="10" t="n"/>
      <c r="F189" s="10" t="n"/>
    </row>
    <row r="190" ht="15" customHeight="1" s="11">
      <c r="E190" s="10" t="n"/>
      <c r="F190" s="10" t="n"/>
    </row>
    <row r="191" ht="15" customHeight="1" s="11">
      <c r="E191" s="10" t="n"/>
      <c r="F191" s="10" t="n"/>
    </row>
    <row r="192" ht="15" customHeight="1" s="11">
      <c r="E192" s="10" t="n"/>
      <c r="F192" s="10" t="n"/>
    </row>
    <row r="193" ht="15" customHeight="1" s="11">
      <c r="E193" s="10" t="n"/>
      <c r="F193" s="10" t="n"/>
    </row>
    <row r="194" ht="15" customHeight="1" s="11">
      <c r="E194" s="10" t="n"/>
      <c r="F194" s="10" t="n"/>
    </row>
    <row r="195" ht="15" customHeight="1" s="11">
      <c r="E195" s="10" t="n"/>
      <c r="F195" s="10" t="n"/>
    </row>
    <row r="196" ht="15" customHeight="1" s="11">
      <c r="E196" s="10" t="n"/>
      <c r="F196" s="10" t="n"/>
    </row>
    <row r="197" ht="15" customHeight="1" s="11">
      <c r="E197" s="10" t="n"/>
      <c r="F197" s="10" t="n"/>
    </row>
    <row r="198" ht="15" customHeight="1" s="11">
      <c r="E198" s="10" t="n"/>
      <c r="F198" s="10" t="n"/>
    </row>
    <row r="199" ht="15" customHeight="1" s="11">
      <c r="E199" s="10" t="n"/>
      <c r="F199" s="10" t="n"/>
    </row>
    <row r="200" ht="15" customHeight="1" s="11">
      <c r="E200" s="10" t="n"/>
      <c r="F200" s="10" t="n"/>
    </row>
  </sheetData>
  <dataValidations count="2">
    <dataValidation sqref="E2:E200" showDropDown="0" showInputMessage="0" showErrorMessage="0" allowBlank="0" type="list" errorStyle="stop" operator="between">
      <formula1>"Y,N"</formula1>
      <formula2>0</formula2>
    </dataValidation>
    <dataValidation sqref="F2:F200" showDropDown="0" showInputMessage="0" showErrorMessage="0" allowBlank="0" type="list" errorStyle="stop" operator="between">
      <formula1>"status,date,text"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16" customWidth="1" style="10" min="2" max="2"/>
    <col width="10" customWidth="1" style="10" min="3" max="3"/>
    <col width="12" customWidth="1" style="10" min="4" max="4"/>
    <col width="10" customWidth="1" style="10" min="5" max="5"/>
    <col width="12" customWidth="1" style="10" min="6" max="6"/>
    <col width="10" customWidth="1" style="10" min="7" max="7"/>
    <col width="12" customWidth="1" style="10" min="8" max="8"/>
  </cols>
  <sheetData>
    <row r="1" ht="33.75" customHeight="1" s="11">
      <c r="A1" s="15" t="inlineStr">
        <is>
          <t>Room Type</t>
        </is>
      </c>
      <c r="B1" s="15" t="inlineStr">
        <is>
          <t>Category</t>
        </is>
      </c>
      <c r="C1" s="15" t="inlineStr">
        <is>
          <t>Tower A</t>
        </is>
      </c>
      <c r="D1" s="15" t="inlineStr">
        <is>
          <t>% of Tower A</t>
        </is>
      </c>
      <c r="E1" s="15" t="inlineStr">
        <is>
          <t>Tower B</t>
        </is>
      </c>
      <c r="F1" s="15" t="inlineStr">
        <is>
          <t>% of Tower B</t>
        </is>
      </c>
      <c r="G1" s="15" t="inlineStr">
        <is>
          <t>A &amp; B</t>
        </is>
      </c>
      <c r="H1" s="15" t="inlineStr">
        <is>
          <t>% of A &amp; B</t>
        </is>
      </c>
    </row>
    <row r="2" ht="15" customHeight="1" s="11">
      <c r="A2" s="10" t="inlineStr">
        <is>
          <t>F01</t>
        </is>
      </c>
      <c r="B2" s="10" t="inlineStr">
        <is>
          <t>Family</t>
        </is>
      </c>
      <c r="C2" s="10">
        <f>COUNTIFS(Rooms!$E:$E,$A2,Rooms!$B:$B,"Tower A")</f>
        <v/>
      </c>
      <c r="D2" s="17">
        <f>C2/COUNTIF(Rooms!$B:$B,"Tower A")</f>
        <v/>
      </c>
      <c r="E2" s="10">
        <f>COUNTIFS(Rooms!$E:$E,$A2,Rooms!$B:$B,"Tower B")</f>
        <v/>
      </c>
      <c r="F2" s="17">
        <f>E2/COUNTIF(Rooms!$B:$B,"Tower B")</f>
        <v/>
      </c>
      <c r="G2" s="10">
        <f>C2+E2</f>
        <v/>
      </c>
      <c r="H2" s="17">
        <f>G2/(COUNTA(Rooms!$A:$A)-1)</f>
        <v/>
      </c>
    </row>
    <row r="3" ht="15" customHeight="1" s="11">
      <c r="A3" s="10" t="inlineStr">
        <is>
          <t>F02</t>
        </is>
      </c>
      <c r="B3" s="10" t="inlineStr">
        <is>
          <t>Family</t>
        </is>
      </c>
      <c r="C3" s="10">
        <f>COUNTIFS(Rooms!$E:$E,$A3,Rooms!$B:$B,"Tower A")</f>
        <v/>
      </c>
      <c r="D3" s="17">
        <f>C3/COUNTIF(Rooms!$B:$B,"Tower A")</f>
        <v/>
      </c>
      <c r="E3" s="10">
        <f>COUNTIFS(Rooms!$E:$E,$A3,Rooms!$B:$B,"Tower B")</f>
        <v/>
      </c>
      <c r="F3" s="17">
        <f>E3/COUNTIF(Rooms!$B:$B,"Tower B")</f>
        <v/>
      </c>
      <c r="G3" s="10">
        <f>C3+E3</f>
        <v/>
      </c>
      <c r="H3" s="17">
        <f>G3/(COUNTA(Rooms!$A:$A)-1)</f>
        <v/>
      </c>
    </row>
    <row r="4" ht="15" customHeight="1" s="11">
      <c r="A4" s="10" t="inlineStr">
        <is>
          <t>F03</t>
        </is>
      </c>
      <c r="B4" s="10" t="inlineStr">
        <is>
          <t>Family</t>
        </is>
      </c>
      <c r="C4" s="10">
        <f>COUNTIFS(Rooms!$E:$E,$A4,Rooms!$B:$B,"Tower A")</f>
        <v/>
      </c>
      <c r="D4" s="17">
        <f>C4/COUNTIF(Rooms!$B:$B,"Tower A")</f>
        <v/>
      </c>
      <c r="E4" s="10">
        <f>COUNTIFS(Rooms!$E:$E,$A4,Rooms!$B:$B,"Tower B")</f>
        <v/>
      </c>
      <c r="F4" s="17">
        <f>E4/COUNTIF(Rooms!$B:$B,"Tower B")</f>
        <v/>
      </c>
      <c r="G4" s="10">
        <f>C4+E4</f>
        <v/>
      </c>
      <c r="H4" s="17">
        <f>G4/(COUNTA(Rooms!$A:$A)-1)</f>
        <v/>
      </c>
    </row>
    <row r="5" ht="15" customHeight="1" s="11">
      <c r="A5" s="10" t="inlineStr">
        <is>
          <t>F03A</t>
        </is>
      </c>
      <c r="B5" s="10" t="inlineStr">
        <is>
          <t>Family</t>
        </is>
      </c>
      <c r="C5" s="10">
        <f>COUNTIFS(Rooms!$E:$E,$A5,Rooms!$B:$B,"Tower A")</f>
        <v/>
      </c>
      <c r="D5" s="17">
        <f>C5/COUNTIF(Rooms!$B:$B,"Tower A")</f>
        <v/>
      </c>
      <c r="E5" s="10">
        <f>COUNTIFS(Rooms!$E:$E,$A5,Rooms!$B:$B,"Tower B")</f>
        <v/>
      </c>
      <c r="F5" s="17">
        <f>E5/COUNTIF(Rooms!$B:$B,"Tower B")</f>
        <v/>
      </c>
      <c r="G5" s="10">
        <f>C5+E5</f>
        <v/>
      </c>
      <c r="H5" s="17">
        <f>G5/(COUNTA(Rooms!$A:$A)-1)</f>
        <v/>
      </c>
    </row>
    <row r="6" ht="15" customHeight="1" s="11">
      <c r="A6" s="10" t="inlineStr">
        <is>
          <t>F03B</t>
        </is>
      </c>
      <c r="B6" s="10" t="inlineStr">
        <is>
          <t>Family</t>
        </is>
      </c>
      <c r="C6" s="10">
        <f>COUNTIFS(Rooms!$E:$E,$A6,Rooms!$B:$B,"Tower A")</f>
        <v/>
      </c>
      <c r="D6" s="17">
        <f>C6/COUNTIF(Rooms!$B:$B,"Tower A")</f>
        <v/>
      </c>
      <c r="E6" s="10">
        <f>COUNTIFS(Rooms!$E:$E,$A6,Rooms!$B:$B,"Tower B")</f>
        <v/>
      </c>
      <c r="F6" s="17">
        <f>E6/COUNTIF(Rooms!$B:$B,"Tower B")</f>
        <v/>
      </c>
      <c r="G6" s="10">
        <f>C6+E6</f>
        <v/>
      </c>
      <c r="H6" s="17">
        <f>G6/(COUNTA(Rooms!$A:$A)-1)</f>
        <v/>
      </c>
    </row>
    <row r="7" ht="15" customHeight="1" s="11">
      <c r="A7" s="10" t="inlineStr">
        <is>
          <t>F04</t>
        </is>
      </c>
      <c r="B7" s="10" t="inlineStr">
        <is>
          <t>Family</t>
        </is>
      </c>
      <c r="C7" s="10">
        <f>COUNTIFS(Rooms!$E:$E,$A7,Rooms!$B:$B,"Tower A")</f>
        <v/>
      </c>
      <c r="D7" s="17">
        <f>C7/COUNTIF(Rooms!$B:$B,"Tower A")</f>
        <v/>
      </c>
      <c r="E7" s="10">
        <f>COUNTIFS(Rooms!$E:$E,$A7,Rooms!$B:$B,"Tower B")</f>
        <v/>
      </c>
      <c r="F7" s="17">
        <f>E7/COUNTIF(Rooms!$B:$B,"Tower B")</f>
        <v/>
      </c>
      <c r="G7" s="10">
        <f>C7+E7</f>
        <v/>
      </c>
      <c r="H7" s="17">
        <f>G7/(COUNTA(Rooms!$A:$A)-1)</f>
        <v/>
      </c>
    </row>
    <row r="8" ht="15" customHeight="1" s="11">
      <c r="A8" s="10" t="inlineStr">
        <is>
          <t>F05</t>
        </is>
      </c>
      <c r="B8" s="10" t="inlineStr">
        <is>
          <t>Family</t>
        </is>
      </c>
      <c r="C8" s="10">
        <f>COUNTIFS(Rooms!$E:$E,$A8,Rooms!$B:$B,"Tower A")</f>
        <v/>
      </c>
      <c r="D8" s="17">
        <f>C8/COUNTIF(Rooms!$B:$B,"Tower A")</f>
        <v/>
      </c>
      <c r="E8" s="10">
        <f>COUNTIFS(Rooms!$E:$E,$A8,Rooms!$B:$B,"Tower B")</f>
        <v/>
      </c>
      <c r="F8" s="17">
        <f>E8/COUNTIF(Rooms!$B:$B,"Tower B")</f>
        <v/>
      </c>
      <c r="G8" s="10">
        <f>C8+E8</f>
        <v/>
      </c>
      <c r="H8" s="17">
        <f>G8/(COUNTA(Rooms!$A:$A)-1)</f>
        <v/>
      </c>
    </row>
    <row r="9" ht="15" customHeight="1" s="11">
      <c r="A9" s="10" t="inlineStr">
        <is>
          <t>F06</t>
        </is>
      </c>
      <c r="B9" s="10" t="inlineStr">
        <is>
          <t>Family</t>
        </is>
      </c>
      <c r="C9" s="10">
        <f>COUNTIFS(Rooms!$E:$E,$A9,Rooms!$B:$B,"Tower A")</f>
        <v/>
      </c>
      <c r="D9" s="17">
        <f>C9/COUNTIF(Rooms!$B:$B,"Tower A")</f>
        <v/>
      </c>
      <c r="E9" s="10">
        <f>COUNTIFS(Rooms!$E:$E,$A9,Rooms!$B:$B,"Tower B")</f>
        <v/>
      </c>
      <c r="F9" s="17">
        <f>E9/COUNTIF(Rooms!$B:$B,"Tower B")</f>
        <v/>
      </c>
      <c r="G9" s="10">
        <f>C9+E9</f>
        <v/>
      </c>
      <c r="H9" s="17">
        <f>G9/(COUNTA(Rooms!$A:$A)-1)</f>
        <v/>
      </c>
    </row>
    <row r="10" ht="15" customHeight="1" s="11">
      <c r="A10" s="10" t="inlineStr">
        <is>
          <t>F07</t>
        </is>
      </c>
      <c r="B10" s="10" t="inlineStr">
        <is>
          <t>Family</t>
        </is>
      </c>
      <c r="C10" s="10">
        <f>COUNTIFS(Rooms!$E:$E,$A10,Rooms!$B:$B,"Tower A")</f>
        <v/>
      </c>
      <c r="D10" s="17">
        <f>C10/COUNTIF(Rooms!$B:$B,"Tower A")</f>
        <v/>
      </c>
      <c r="E10" s="10">
        <f>COUNTIFS(Rooms!$E:$E,$A10,Rooms!$B:$B,"Tower B")</f>
        <v/>
      </c>
      <c r="F10" s="17">
        <f>E10/COUNTIF(Rooms!$B:$B,"Tower B")</f>
        <v/>
      </c>
      <c r="G10" s="10">
        <f>C10+E10</f>
        <v/>
      </c>
      <c r="H10" s="17">
        <f>G10/(COUNTA(Rooms!$A:$A)-1)</f>
        <v/>
      </c>
    </row>
    <row r="11" ht="15" customHeight="1" s="11">
      <c r="A11" s="10" t="inlineStr">
        <is>
          <t>F08</t>
        </is>
      </c>
      <c r="B11" s="10" t="inlineStr">
        <is>
          <t>Family</t>
        </is>
      </c>
      <c r="C11" s="10">
        <f>COUNTIFS(Rooms!$E:$E,$A11,Rooms!$B:$B,"Tower A")</f>
        <v/>
      </c>
      <c r="D11" s="17">
        <f>C11/COUNTIF(Rooms!$B:$B,"Tower A")</f>
        <v/>
      </c>
      <c r="E11" s="10">
        <f>COUNTIFS(Rooms!$E:$E,$A11,Rooms!$B:$B,"Tower B")</f>
        <v/>
      </c>
      <c r="F11" s="17">
        <f>E11/COUNTIF(Rooms!$B:$B,"Tower B")</f>
        <v/>
      </c>
      <c r="G11" s="10">
        <f>C11+E11</f>
        <v/>
      </c>
      <c r="H11" s="17">
        <f>G11/(COUNTA(Rooms!$A:$A)-1)</f>
        <v/>
      </c>
    </row>
    <row r="12" ht="15" customHeight="1" s="11">
      <c r="A12" s="10" t="inlineStr">
        <is>
          <t>FADA</t>
        </is>
      </c>
      <c r="B12" s="10" t="inlineStr">
        <is>
          <t>Family ADA</t>
        </is>
      </c>
      <c r="C12" s="10">
        <f>COUNTIFS(Rooms!$E:$E,$A12,Rooms!$B:$B,"Tower A")</f>
        <v/>
      </c>
      <c r="D12" s="17">
        <f>C12/COUNTIF(Rooms!$B:$B,"Tower A")</f>
        <v/>
      </c>
      <c r="E12" s="10">
        <f>COUNTIFS(Rooms!$E:$E,$A12,Rooms!$B:$B,"Tower B")</f>
        <v/>
      </c>
      <c r="F12" s="17">
        <f>E12/COUNTIF(Rooms!$B:$B,"Tower B")</f>
        <v/>
      </c>
      <c r="G12" s="10">
        <f>C12+E12</f>
        <v/>
      </c>
      <c r="H12" s="17">
        <f>G12/(COUNTA(Rooms!$A:$A)-1)</f>
        <v/>
      </c>
    </row>
    <row r="13" ht="15" customHeight="1" s="11">
      <c r="A13" s="10" t="inlineStr">
        <is>
          <t>K01</t>
        </is>
      </c>
      <c r="B13" s="10" t="inlineStr">
        <is>
          <t>King</t>
        </is>
      </c>
      <c r="C13" s="10">
        <f>COUNTIFS(Rooms!$E:$E,$A13,Rooms!$B:$B,"Tower A")</f>
        <v/>
      </c>
      <c r="D13" s="17">
        <f>C13/COUNTIF(Rooms!$B:$B,"Tower A")</f>
        <v/>
      </c>
      <c r="E13" s="10">
        <f>COUNTIFS(Rooms!$E:$E,$A13,Rooms!$B:$B,"Tower B")</f>
        <v/>
      </c>
      <c r="F13" s="17">
        <f>E13/COUNTIF(Rooms!$B:$B,"Tower B")</f>
        <v/>
      </c>
      <c r="G13" s="10">
        <f>C13+E13</f>
        <v/>
      </c>
      <c r="H13" s="17">
        <f>G13/(COUNTA(Rooms!$A:$A)-1)</f>
        <v/>
      </c>
    </row>
    <row r="14" ht="15" customHeight="1" s="11">
      <c r="A14" s="10" t="inlineStr">
        <is>
          <t>K01A</t>
        </is>
      </c>
      <c r="B14" s="10" t="inlineStr">
        <is>
          <t>King</t>
        </is>
      </c>
      <c r="C14" s="10">
        <f>COUNTIFS(Rooms!$E:$E,$A14,Rooms!$B:$B,"Tower A")</f>
        <v/>
      </c>
      <c r="D14" s="17">
        <f>C14/COUNTIF(Rooms!$B:$B,"Tower A")</f>
        <v/>
      </c>
      <c r="E14" s="10">
        <f>COUNTIFS(Rooms!$E:$E,$A14,Rooms!$B:$B,"Tower B")</f>
        <v/>
      </c>
      <c r="F14" s="17">
        <f>E14/COUNTIF(Rooms!$B:$B,"Tower B")</f>
        <v/>
      </c>
      <c r="G14" s="10">
        <f>C14+E14</f>
        <v/>
      </c>
      <c r="H14" s="17">
        <f>G14/(COUNTA(Rooms!$A:$A)-1)</f>
        <v/>
      </c>
    </row>
    <row r="15" ht="15" customHeight="1" s="11">
      <c r="A15" s="10" t="inlineStr">
        <is>
          <t>K01B</t>
        </is>
      </c>
      <c r="B15" s="10" t="inlineStr">
        <is>
          <t>King</t>
        </is>
      </c>
      <c r="C15" s="10">
        <f>COUNTIFS(Rooms!$E:$E,$A15,Rooms!$B:$B,"Tower A")</f>
        <v/>
      </c>
      <c r="D15" s="17">
        <f>C15/COUNTIF(Rooms!$B:$B,"Tower A")</f>
        <v/>
      </c>
      <c r="E15" s="10">
        <f>COUNTIFS(Rooms!$E:$E,$A15,Rooms!$B:$B,"Tower B")</f>
        <v/>
      </c>
      <c r="F15" s="17">
        <f>E15/COUNTIF(Rooms!$B:$B,"Tower B")</f>
        <v/>
      </c>
      <c r="G15" s="10">
        <f>C15+E15</f>
        <v/>
      </c>
      <c r="H15" s="17">
        <f>G15/(COUNTA(Rooms!$A:$A)-1)</f>
        <v/>
      </c>
    </row>
    <row r="16" ht="15" customHeight="1" s="11">
      <c r="A16" s="10" t="inlineStr">
        <is>
          <t>K01C</t>
        </is>
      </c>
      <c r="B16" s="10" t="inlineStr">
        <is>
          <t>King</t>
        </is>
      </c>
      <c r="C16" s="10">
        <f>COUNTIFS(Rooms!$E:$E,$A16,Rooms!$B:$B,"Tower A")</f>
        <v/>
      </c>
      <c r="D16" s="17">
        <f>C16/COUNTIF(Rooms!$B:$B,"Tower A")</f>
        <v/>
      </c>
      <c r="E16" s="10">
        <f>COUNTIFS(Rooms!$E:$E,$A16,Rooms!$B:$B,"Tower B")</f>
        <v/>
      </c>
      <c r="F16" s="17">
        <f>E16/COUNTIF(Rooms!$B:$B,"Tower B")</f>
        <v/>
      </c>
      <c r="G16" s="10">
        <f>C16+E16</f>
        <v/>
      </c>
      <c r="H16" s="17">
        <f>G16/(COUNTA(Rooms!$A:$A)-1)</f>
        <v/>
      </c>
    </row>
    <row r="17" ht="15" customHeight="1" s="11">
      <c r="A17" s="10" t="inlineStr">
        <is>
          <t>K01C1</t>
        </is>
      </c>
      <c r="B17" s="10" t="inlineStr">
        <is>
          <t>King</t>
        </is>
      </c>
      <c r="C17" s="10">
        <f>COUNTIFS(Rooms!$E:$E,$A17,Rooms!$B:$B,"Tower A")</f>
        <v/>
      </c>
      <c r="D17" s="17">
        <f>C17/COUNTIF(Rooms!$B:$B,"Tower A")</f>
        <v/>
      </c>
      <c r="E17" s="10">
        <f>COUNTIFS(Rooms!$E:$E,$A17,Rooms!$B:$B,"Tower B")</f>
        <v/>
      </c>
      <c r="F17" s="17">
        <f>E17/COUNTIF(Rooms!$B:$B,"Tower B")</f>
        <v/>
      </c>
      <c r="G17" s="10">
        <f>C17+E17</f>
        <v/>
      </c>
      <c r="H17" s="17">
        <f>G17/(COUNTA(Rooms!$A:$A)-1)</f>
        <v/>
      </c>
    </row>
    <row r="18" ht="15" customHeight="1" s="11">
      <c r="A18" s="10" t="inlineStr">
        <is>
          <t>K01D</t>
        </is>
      </c>
      <c r="B18" s="10" t="inlineStr">
        <is>
          <t>King</t>
        </is>
      </c>
      <c r="C18" s="10">
        <f>COUNTIFS(Rooms!$E:$E,$A18,Rooms!$B:$B,"Tower A")</f>
        <v/>
      </c>
      <c r="D18" s="17">
        <f>C18/COUNTIF(Rooms!$B:$B,"Tower A")</f>
        <v/>
      </c>
      <c r="E18" s="10">
        <f>COUNTIFS(Rooms!$E:$E,$A18,Rooms!$B:$B,"Tower B")</f>
        <v/>
      </c>
      <c r="F18" s="17">
        <f>E18/COUNTIF(Rooms!$B:$B,"Tower B")</f>
        <v/>
      </c>
      <c r="G18" s="10">
        <f>C18+E18</f>
        <v/>
      </c>
      <c r="H18" s="17">
        <f>G18/(COUNTA(Rooms!$A:$A)-1)</f>
        <v/>
      </c>
    </row>
    <row r="19" ht="15" customHeight="1" s="11">
      <c r="A19" s="10" t="inlineStr">
        <is>
          <t>K02</t>
        </is>
      </c>
      <c r="B19" s="10" t="inlineStr">
        <is>
          <t>King</t>
        </is>
      </c>
      <c r="C19" s="10">
        <f>COUNTIFS(Rooms!$E:$E,$A19,Rooms!$B:$B,"Tower A")</f>
        <v/>
      </c>
      <c r="D19" s="17">
        <f>C19/COUNTIF(Rooms!$B:$B,"Tower A")</f>
        <v/>
      </c>
      <c r="E19" s="10">
        <f>COUNTIFS(Rooms!$E:$E,$A19,Rooms!$B:$B,"Tower B")</f>
        <v/>
      </c>
      <c r="F19" s="17">
        <f>E19/COUNTIF(Rooms!$B:$B,"Tower B")</f>
        <v/>
      </c>
      <c r="G19" s="10">
        <f>C19+E19</f>
        <v/>
      </c>
      <c r="H19" s="17">
        <f>G19/(COUNTA(Rooms!$A:$A)-1)</f>
        <v/>
      </c>
    </row>
    <row r="20" ht="15" customHeight="1" s="11">
      <c r="A20" s="10" t="inlineStr">
        <is>
          <t>K02A</t>
        </is>
      </c>
      <c r="B20" s="10" t="inlineStr">
        <is>
          <t>King</t>
        </is>
      </c>
      <c r="C20" s="10">
        <f>COUNTIFS(Rooms!$E:$E,$A20,Rooms!$B:$B,"Tower A")</f>
        <v/>
      </c>
      <c r="D20" s="17">
        <f>C20/COUNTIF(Rooms!$B:$B,"Tower A")</f>
        <v/>
      </c>
      <c r="E20" s="10">
        <f>COUNTIFS(Rooms!$E:$E,$A20,Rooms!$B:$B,"Tower B")</f>
        <v/>
      </c>
      <c r="F20" s="17">
        <f>E20/COUNTIF(Rooms!$B:$B,"Tower B")</f>
        <v/>
      </c>
      <c r="G20" s="10">
        <f>C20+E20</f>
        <v/>
      </c>
      <c r="H20" s="17">
        <f>G20/(COUNTA(Rooms!$A:$A)-1)</f>
        <v/>
      </c>
    </row>
    <row r="21" ht="15" customHeight="1" s="11">
      <c r="A21" s="10" t="inlineStr">
        <is>
          <t>K02B</t>
        </is>
      </c>
      <c r="B21" s="10" t="inlineStr">
        <is>
          <t>King</t>
        </is>
      </c>
      <c r="C21" s="10">
        <f>COUNTIFS(Rooms!$E:$E,$A21,Rooms!$B:$B,"Tower A")</f>
        <v/>
      </c>
      <c r="D21" s="17">
        <f>C21/COUNTIF(Rooms!$B:$B,"Tower A")</f>
        <v/>
      </c>
      <c r="E21" s="10">
        <f>COUNTIFS(Rooms!$E:$E,$A21,Rooms!$B:$B,"Tower B")</f>
        <v/>
      </c>
      <c r="F21" s="17">
        <f>E21/COUNTIF(Rooms!$B:$B,"Tower B")</f>
        <v/>
      </c>
      <c r="G21" s="10">
        <f>C21+E21</f>
        <v/>
      </c>
      <c r="H21" s="17">
        <f>G21/(COUNTA(Rooms!$A:$A)-1)</f>
        <v/>
      </c>
    </row>
    <row r="22" ht="15" customHeight="1" s="11">
      <c r="A22" s="10" t="inlineStr">
        <is>
          <t>K02C</t>
        </is>
      </c>
      <c r="B22" s="10" t="inlineStr">
        <is>
          <t>King</t>
        </is>
      </c>
      <c r="C22" s="10">
        <f>COUNTIFS(Rooms!$E:$E,$A22,Rooms!$B:$B,"Tower A")</f>
        <v/>
      </c>
      <c r="D22" s="17">
        <f>C22/COUNTIF(Rooms!$B:$B,"Tower A")</f>
        <v/>
      </c>
      <c r="E22" s="10">
        <f>COUNTIFS(Rooms!$E:$E,$A22,Rooms!$B:$B,"Tower B")</f>
        <v/>
      </c>
      <c r="F22" s="17">
        <f>E22/COUNTIF(Rooms!$B:$B,"Tower B")</f>
        <v/>
      </c>
      <c r="G22" s="10">
        <f>C22+E22</f>
        <v/>
      </c>
      <c r="H22" s="17">
        <f>G22/(COUNTA(Rooms!$A:$A)-1)</f>
        <v/>
      </c>
    </row>
    <row r="23" ht="15" customHeight="1" s="11">
      <c r="A23" s="10" t="inlineStr">
        <is>
          <t>K02C1</t>
        </is>
      </c>
      <c r="B23" s="10" t="inlineStr">
        <is>
          <t>King</t>
        </is>
      </c>
      <c r="C23" s="10">
        <f>COUNTIFS(Rooms!$E:$E,$A23,Rooms!$B:$B,"Tower A")</f>
        <v/>
      </c>
      <c r="D23" s="17">
        <f>C23/COUNTIF(Rooms!$B:$B,"Tower A")</f>
        <v/>
      </c>
      <c r="E23" s="10">
        <f>COUNTIFS(Rooms!$E:$E,$A23,Rooms!$B:$B,"Tower B")</f>
        <v/>
      </c>
      <c r="F23" s="17">
        <f>E23/COUNTIF(Rooms!$B:$B,"Tower B")</f>
        <v/>
      </c>
      <c r="G23" s="10">
        <f>C23+E23</f>
        <v/>
      </c>
      <c r="H23" s="17">
        <f>G23/(COUNTA(Rooms!$A:$A)-1)</f>
        <v/>
      </c>
    </row>
    <row r="24" ht="15" customHeight="1" s="11">
      <c r="A24" s="10" t="inlineStr">
        <is>
          <t>K02C2</t>
        </is>
      </c>
      <c r="B24" s="10" t="inlineStr">
        <is>
          <t>King</t>
        </is>
      </c>
      <c r="C24" s="10">
        <f>COUNTIFS(Rooms!$E:$E,$A24,Rooms!$B:$B,"Tower A")</f>
        <v/>
      </c>
      <c r="D24" s="17">
        <f>C24/COUNTIF(Rooms!$B:$B,"Tower A")</f>
        <v/>
      </c>
      <c r="E24" s="10">
        <f>COUNTIFS(Rooms!$E:$E,$A24,Rooms!$B:$B,"Tower B")</f>
        <v/>
      </c>
      <c r="F24" s="17">
        <f>E24/COUNTIF(Rooms!$B:$B,"Tower B")</f>
        <v/>
      </c>
      <c r="G24" s="10">
        <f>C24+E24</f>
        <v/>
      </c>
      <c r="H24" s="17">
        <f>G24/(COUNTA(Rooms!$A:$A)-1)</f>
        <v/>
      </c>
    </row>
    <row r="25" ht="15" customHeight="1" s="11">
      <c r="A25" s="10" t="inlineStr">
        <is>
          <t>K02D1</t>
        </is>
      </c>
      <c r="B25" s="10" t="inlineStr">
        <is>
          <t>King</t>
        </is>
      </c>
      <c r="C25" s="10">
        <f>COUNTIFS(Rooms!$E:$E,$A25,Rooms!$B:$B,"Tower A")</f>
        <v/>
      </c>
      <c r="D25" s="17">
        <f>C25/COUNTIF(Rooms!$B:$B,"Tower A")</f>
        <v/>
      </c>
      <c r="E25" s="10">
        <f>COUNTIFS(Rooms!$E:$E,$A25,Rooms!$B:$B,"Tower B")</f>
        <v/>
      </c>
      <c r="F25" s="17">
        <f>E25/COUNTIF(Rooms!$B:$B,"Tower B")</f>
        <v/>
      </c>
      <c r="G25" s="10">
        <f>C25+E25</f>
        <v/>
      </c>
      <c r="H25" s="17">
        <f>G25/(COUNTA(Rooms!$A:$A)-1)</f>
        <v/>
      </c>
    </row>
    <row r="26" ht="15" customHeight="1" s="11">
      <c r="A26" s="10" t="inlineStr">
        <is>
          <t>K03</t>
        </is>
      </c>
      <c r="B26" s="10" t="inlineStr">
        <is>
          <t>King</t>
        </is>
      </c>
      <c r="C26" s="10">
        <f>COUNTIFS(Rooms!$E:$E,$A26,Rooms!$B:$B,"Tower A")</f>
        <v/>
      </c>
      <c r="D26" s="17">
        <f>C26/COUNTIF(Rooms!$B:$B,"Tower A")</f>
        <v/>
      </c>
      <c r="E26" s="10">
        <f>COUNTIFS(Rooms!$E:$E,$A26,Rooms!$B:$B,"Tower B")</f>
        <v/>
      </c>
      <c r="F26" s="17">
        <f>E26/COUNTIF(Rooms!$B:$B,"Tower B")</f>
        <v/>
      </c>
      <c r="G26" s="10">
        <f>C26+E26</f>
        <v/>
      </c>
      <c r="H26" s="17">
        <f>G26/(COUNTA(Rooms!$A:$A)-1)</f>
        <v/>
      </c>
    </row>
    <row r="27" ht="15" customHeight="1" s="11">
      <c r="A27" s="10" t="inlineStr">
        <is>
          <t>KADA1</t>
        </is>
      </c>
      <c r="B27" s="10" t="inlineStr">
        <is>
          <t>King ADA</t>
        </is>
      </c>
      <c r="C27" s="10">
        <f>COUNTIFS(Rooms!$E:$E,$A27,Rooms!$B:$B,"Tower A")</f>
        <v/>
      </c>
      <c r="D27" s="17">
        <f>C27/COUNTIF(Rooms!$B:$B,"Tower A")</f>
        <v/>
      </c>
      <c r="E27" s="10">
        <f>COUNTIFS(Rooms!$E:$E,$A27,Rooms!$B:$B,"Tower B")</f>
        <v/>
      </c>
      <c r="F27" s="17">
        <f>E27/COUNTIF(Rooms!$B:$B,"Tower B")</f>
        <v/>
      </c>
      <c r="G27" s="10">
        <f>C27+E27</f>
        <v/>
      </c>
      <c r="H27" s="17">
        <f>G27/(COUNTA(Rooms!$A:$A)-1)</f>
        <v/>
      </c>
    </row>
    <row r="28" ht="15" customHeight="1" s="11">
      <c r="A28" s="10" t="inlineStr">
        <is>
          <t>KADA2</t>
        </is>
      </c>
      <c r="B28" s="10" t="inlineStr">
        <is>
          <t>King ADA</t>
        </is>
      </c>
      <c r="C28" s="10">
        <f>COUNTIFS(Rooms!$E:$E,$A28,Rooms!$B:$B,"Tower A")</f>
        <v/>
      </c>
      <c r="D28" s="17">
        <f>C28/COUNTIF(Rooms!$B:$B,"Tower A")</f>
        <v/>
      </c>
      <c r="E28" s="10">
        <f>COUNTIFS(Rooms!$E:$E,$A28,Rooms!$B:$B,"Tower B")</f>
        <v/>
      </c>
      <c r="F28" s="17">
        <f>E28/COUNTIF(Rooms!$B:$B,"Tower B")</f>
        <v/>
      </c>
      <c r="G28" s="10">
        <f>C28+E28</f>
        <v/>
      </c>
      <c r="H28" s="17">
        <f>G28/(COUNTA(Rooms!$A:$A)-1)</f>
        <v/>
      </c>
    </row>
    <row r="29" ht="15" customHeight="1" s="11">
      <c r="A29" s="10" t="inlineStr">
        <is>
          <t>Q01</t>
        </is>
      </c>
      <c r="B29" s="10" t="inlineStr">
        <is>
          <t>Queen</t>
        </is>
      </c>
      <c r="C29" s="10">
        <f>COUNTIFS(Rooms!$E:$E,$A29,Rooms!$B:$B,"Tower A")</f>
        <v/>
      </c>
      <c r="D29" s="17">
        <f>C29/COUNTIF(Rooms!$B:$B,"Tower A")</f>
        <v/>
      </c>
      <c r="E29" s="10">
        <f>COUNTIFS(Rooms!$E:$E,$A29,Rooms!$B:$B,"Tower B")</f>
        <v/>
      </c>
      <c r="F29" s="17">
        <f>E29/COUNTIF(Rooms!$B:$B,"Tower B")</f>
        <v/>
      </c>
      <c r="G29" s="10">
        <f>C29+E29</f>
        <v/>
      </c>
      <c r="H29" s="17">
        <f>G29/(COUNTA(Rooms!$A:$A)-1)</f>
        <v/>
      </c>
    </row>
    <row r="30" ht="15" customHeight="1" s="11">
      <c r="A30" s="10" t="inlineStr">
        <is>
          <t>Q01C</t>
        </is>
      </c>
      <c r="B30" s="10" t="inlineStr">
        <is>
          <t>Queen</t>
        </is>
      </c>
      <c r="C30" s="10">
        <f>COUNTIFS(Rooms!$E:$E,$A30,Rooms!$B:$B,"Tower A")</f>
        <v/>
      </c>
      <c r="D30" s="17">
        <f>C30/COUNTIF(Rooms!$B:$B,"Tower A")</f>
        <v/>
      </c>
      <c r="E30" s="10">
        <f>COUNTIFS(Rooms!$E:$E,$A30,Rooms!$B:$B,"Tower B")</f>
        <v/>
      </c>
      <c r="F30" s="17">
        <f>E30/COUNTIF(Rooms!$B:$B,"Tower B")</f>
        <v/>
      </c>
      <c r="G30" s="10">
        <f>C30+E30</f>
        <v/>
      </c>
      <c r="H30" s="17">
        <f>G30/(COUNTA(Rooms!$A:$A)-1)</f>
        <v/>
      </c>
    </row>
    <row r="31" ht="15" customHeight="1" s="11">
      <c r="A31" s="10" t="inlineStr">
        <is>
          <t>Q01C1</t>
        </is>
      </c>
      <c r="B31" s="10" t="inlineStr">
        <is>
          <t>Queen</t>
        </is>
      </c>
      <c r="C31" s="10">
        <f>COUNTIFS(Rooms!$E:$E,$A31,Rooms!$B:$B,"Tower A")</f>
        <v/>
      </c>
      <c r="D31" s="17">
        <f>C31/COUNTIF(Rooms!$B:$B,"Tower A")</f>
        <v/>
      </c>
      <c r="E31" s="10">
        <f>COUNTIFS(Rooms!$E:$E,$A31,Rooms!$B:$B,"Tower B")</f>
        <v/>
      </c>
      <c r="F31" s="17">
        <f>E31/COUNTIF(Rooms!$B:$B,"Tower B")</f>
        <v/>
      </c>
      <c r="G31" s="10">
        <f>C31+E31</f>
        <v/>
      </c>
      <c r="H31" s="17">
        <f>G31/(COUNTA(Rooms!$A:$A)-1)</f>
        <v/>
      </c>
    </row>
    <row r="32" ht="15" customHeight="1" s="11">
      <c r="A32" s="10" t="inlineStr">
        <is>
          <t>Q02A</t>
        </is>
      </c>
      <c r="B32" s="10" t="inlineStr">
        <is>
          <t>Queen</t>
        </is>
      </c>
      <c r="C32" s="10">
        <f>COUNTIFS(Rooms!$E:$E,$A32,Rooms!$B:$B,"Tower A")</f>
        <v/>
      </c>
      <c r="D32" s="17">
        <f>C32/COUNTIF(Rooms!$B:$B,"Tower A")</f>
        <v/>
      </c>
      <c r="E32" s="10">
        <f>COUNTIFS(Rooms!$E:$E,$A32,Rooms!$B:$B,"Tower B")</f>
        <v/>
      </c>
      <c r="F32" s="17">
        <f>E32/COUNTIF(Rooms!$B:$B,"Tower B")</f>
        <v/>
      </c>
      <c r="G32" s="10">
        <f>C32+E32</f>
        <v/>
      </c>
      <c r="H32" s="17">
        <f>G32/(COUNTA(Rooms!$A:$A)-1)</f>
        <v/>
      </c>
    </row>
    <row r="33" ht="15" customHeight="1" s="11">
      <c r="A33" s="10" t="inlineStr">
        <is>
          <t>Q02C</t>
        </is>
      </c>
      <c r="B33" s="10" t="inlineStr">
        <is>
          <t>Queen</t>
        </is>
      </c>
      <c r="C33" s="10">
        <f>COUNTIFS(Rooms!$E:$E,$A33,Rooms!$B:$B,"Tower A")</f>
        <v/>
      </c>
      <c r="D33" s="17">
        <f>C33/COUNTIF(Rooms!$B:$B,"Tower A")</f>
        <v/>
      </c>
      <c r="E33" s="10">
        <f>COUNTIFS(Rooms!$E:$E,$A33,Rooms!$B:$B,"Tower B")</f>
        <v/>
      </c>
      <c r="F33" s="17">
        <f>E33/COUNTIF(Rooms!$B:$B,"Tower B")</f>
        <v/>
      </c>
      <c r="G33" s="10">
        <f>C33+E33</f>
        <v/>
      </c>
      <c r="H33" s="17">
        <f>G33/(COUNTA(Rooms!$A:$A)-1)</f>
        <v/>
      </c>
    </row>
    <row r="34" ht="15" customHeight="1" s="11">
      <c r="A34" s="10" t="inlineStr">
        <is>
          <t>Q02C1</t>
        </is>
      </c>
      <c r="B34" s="10" t="inlineStr">
        <is>
          <t>Queen</t>
        </is>
      </c>
      <c r="C34" s="10">
        <f>COUNTIFS(Rooms!$E:$E,$A34,Rooms!$B:$B,"Tower A")</f>
        <v/>
      </c>
      <c r="D34" s="17">
        <f>C34/COUNTIF(Rooms!$B:$B,"Tower A")</f>
        <v/>
      </c>
      <c r="E34" s="10">
        <f>COUNTIFS(Rooms!$E:$E,$A34,Rooms!$B:$B,"Tower B")</f>
        <v/>
      </c>
      <c r="F34" s="17">
        <f>E34/COUNTIF(Rooms!$B:$B,"Tower B")</f>
        <v/>
      </c>
      <c r="G34" s="10">
        <f>C34+E34</f>
        <v/>
      </c>
      <c r="H34" s="17">
        <f>G34/(COUNTA(Rooms!$A:$A)-1)</f>
        <v/>
      </c>
    </row>
    <row r="35" ht="15" customHeight="1" s="11">
      <c r="A35" s="10" t="inlineStr">
        <is>
          <t>Q02C2</t>
        </is>
      </c>
      <c r="B35" s="10" t="inlineStr">
        <is>
          <t>Queen</t>
        </is>
      </c>
      <c r="C35" s="10">
        <f>COUNTIFS(Rooms!$E:$E,$A35,Rooms!$B:$B,"Tower A")</f>
        <v/>
      </c>
      <c r="D35" s="17">
        <f>C35/COUNTIF(Rooms!$B:$B,"Tower A")</f>
        <v/>
      </c>
      <c r="E35" s="10">
        <f>COUNTIFS(Rooms!$E:$E,$A35,Rooms!$B:$B,"Tower B")</f>
        <v/>
      </c>
      <c r="F35" s="17">
        <f>E35/COUNTIF(Rooms!$B:$B,"Tower B")</f>
        <v/>
      </c>
      <c r="G35" s="10">
        <f>C35+E35</f>
        <v/>
      </c>
      <c r="H35" s="17">
        <f>G35/(COUNTA(Rooms!$A:$A)-1)</f>
        <v/>
      </c>
    </row>
    <row r="36" ht="15" customHeight="1" s="11">
      <c r="A36" s="10" t="inlineStr">
        <is>
          <t>Q02D</t>
        </is>
      </c>
      <c r="B36" s="10" t="inlineStr">
        <is>
          <t>Queen</t>
        </is>
      </c>
      <c r="C36" s="10">
        <f>COUNTIFS(Rooms!$E:$E,$A36,Rooms!$B:$B,"Tower A")</f>
        <v/>
      </c>
      <c r="D36" s="17">
        <f>C36/COUNTIF(Rooms!$B:$B,"Tower A")</f>
        <v/>
      </c>
      <c r="E36" s="10">
        <f>COUNTIFS(Rooms!$E:$E,$A36,Rooms!$B:$B,"Tower B")</f>
        <v/>
      </c>
      <c r="F36" s="17">
        <f>E36/COUNTIF(Rooms!$B:$B,"Tower B")</f>
        <v/>
      </c>
      <c r="G36" s="10">
        <f>C36+E36</f>
        <v/>
      </c>
      <c r="H36" s="17">
        <f>G36/(COUNTA(Rooms!$A:$A)-1)</f>
        <v/>
      </c>
    </row>
    <row r="37" ht="15" customHeight="1" s="11">
      <c r="A37" s="10" t="inlineStr">
        <is>
          <t>Q02E</t>
        </is>
      </c>
      <c r="B37" s="10" t="inlineStr">
        <is>
          <t>Queen</t>
        </is>
      </c>
      <c r="C37" s="10">
        <f>COUNTIFS(Rooms!$E:$E,$A37,Rooms!$B:$B,"Tower A")</f>
        <v/>
      </c>
      <c r="D37" s="17">
        <f>C37/COUNTIF(Rooms!$B:$B,"Tower A")</f>
        <v/>
      </c>
      <c r="E37" s="10">
        <f>COUNTIFS(Rooms!$E:$E,$A37,Rooms!$B:$B,"Tower B")</f>
        <v/>
      </c>
      <c r="F37" s="17">
        <f>E37/COUNTIF(Rooms!$B:$B,"Tower B")</f>
        <v/>
      </c>
      <c r="G37" s="10">
        <f>C37+E37</f>
        <v/>
      </c>
      <c r="H37" s="17">
        <f>G37/(COUNTA(Rooms!$A:$A)-1)</f>
        <v/>
      </c>
    </row>
    <row r="38" ht="15" customHeight="1" s="11">
      <c r="A38" s="10" t="inlineStr">
        <is>
          <t>Q03</t>
        </is>
      </c>
      <c r="B38" s="10" t="inlineStr">
        <is>
          <t>Queen</t>
        </is>
      </c>
      <c r="C38" s="10">
        <f>COUNTIFS(Rooms!$E:$E,$A38,Rooms!$B:$B,"Tower A")</f>
        <v/>
      </c>
      <c r="D38" s="17">
        <f>C38/COUNTIF(Rooms!$B:$B,"Tower A")</f>
        <v/>
      </c>
      <c r="E38" s="10">
        <f>COUNTIFS(Rooms!$E:$E,$A38,Rooms!$B:$B,"Tower B")</f>
        <v/>
      </c>
      <c r="F38" s="17">
        <f>E38/COUNTIF(Rooms!$B:$B,"Tower B")</f>
        <v/>
      </c>
      <c r="G38" s="10">
        <f>C38+E38</f>
        <v/>
      </c>
      <c r="H38" s="17">
        <f>G38/(COUNTA(Rooms!$A:$A)-1)</f>
        <v/>
      </c>
    </row>
    <row r="39" ht="15" customHeight="1" s="11">
      <c r="A39" s="10" t="inlineStr">
        <is>
          <t>Q04</t>
        </is>
      </c>
      <c r="B39" s="10" t="inlineStr">
        <is>
          <t>Queen</t>
        </is>
      </c>
      <c r="C39" s="10">
        <f>COUNTIFS(Rooms!$E:$E,$A39,Rooms!$B:$B,"Tower A")</f>
        <v/>
      </c>
      <c r="D39" s="17">
        <f>C39/COUNTIF(Rooms!$B:$B,"Tower A")</f>
        <v/>
      </c>
      <c r="E39" s="10">
        <f>COUNTIFS(Rooms!$E:$E,$A39,Rooms!$B:$B,"Tower B")</f>
        <v/>
      </c>
      <c r="F39" s="17">
        <f>E39/COUNTIF(Rooms!$B:$B,"Tower B")</f>
        <v/>
      </c>
      <c r="G39" s="10">
        <f>C39+E39</f>
        <v/>
      </c>
      <c r="H39" s="17">
        <f>G39/(COUNTA(Rooms!$A:$A)-1)</f>
        <v/>
      </c>
    </row>
    <row r="40" ht="15" customHeight="1" s="11">
      <c r="A40" s="10" t="inlineStr">
        <is>
          <t>Q04*</t>
        </is>
      </c>
      <c r="B40" s="10" t="inlineStr">
        <is>
          <t>Queen</t>
        </is>
      </c>
      <c r="C40" s="10">
        <f>COUNTIFS(Rooms!$E:$E,$A40,Rooms!$B:$B,"Tower A")</f>
        <v/>
      </c>
      <c r="D40" s="17">
        <f>C40/COUNTIF(Rooms!$B:$B,"Tower A")</f>
        <v/>
      </c>
      <c r="E40" s="10">
        <f>COUNTIFS(Rooms!$E:$E,$A40,Rooms!$B:$B,"Tower B")</f>
        <v/>
      </c>
      <c r="F40" s="17">
        <f>E40/COUNTIF(Rooms!$B:$B,"Tower B")</f>
        <v/>
      </c>
      <c r="G40" s="10">
        <f>C40+E40</f>
        <v/>
      </c>
      <c r="H40" s="17">
        <f>G40/(COUNTA(Rooms!$A:$A)-1)</f>
        <v/>
      </c>
    </row>
    <row r="41" ht="15" customHeight="1" s="11">
      <c r="A41" s="10" t="inlineStr">
        <is>
          <t>Q05</t>
        </is>
      </c>
      <c r="B41" s="10" t="inlineStr">
        <is>
          <t>Queen</t>
        </is>
      </c>
      <c r="C41" s="10">
        <f>COUNTIFS(Rooms!$E:$E,$A41,Rooms!$B:$B,"Tower A")</f>
        <v/>
      </c>
      <c r="D41" s="17">
        <f>C41/COUNTIF(Rooms!$B:$B,"Tower A")</f>
        <v/>
      </c>
      <c r="E41" s="10">
        <f>COUNTIFS(Rooms!$E:$E,$A41,Rooms!$B:$B,"Tower B")</f>
        <v/>
      </c>
      <c r="F41" s="17">
        <f>E41/COUNTIF(Rooms!$B:$B,"Tower B")</f>
        <v/>
      </c>
      <c r="G41" s="10">
        <f>C41+E41</f>
        <v/>
      </c>
      <c r="H41" s="17">
        <f>G41/(COUNTA(Rooms!$A:$A)-1)</f>
        <v/>
      </c>
    </row>
    <row r="42" ht="15" customHeight="1" s="11">
      <c r="A42" s="10" t="inlineStr">
        <is>
          <t>Q06</t>
        </is>
      </c>
      <c r="B42" s="10" t="inlineStr">
        <is>
          <t>Queen</t>
        </is>
      </c>
      <c r="C42" s="10">
        <f>COUNTIFS(Rooms!$E:$E,$A42,Rooms!$B:$B,"Tower A")</f>
        <v/>
      </c>
      <c r="D42" s="17">
        <f>C42/COUNTIF(Rooms!$B:$B,"Tower A")</f>
        <v/>
      </c>
      <c r="E42" s="10">
        <f>COUNTIFS(Rooms!$E:$E,$A42,Rooms!$B:$B,"Tower B")</f>
        <v/>
      </c>
      <c r="F42" s="17">
        <f>E42/COUNTIF(Rooms!$B:$B,"Tower B")</f>
        <v/>
      </c>
      <c r="G42" s="10">
        <f>C42+E42</f>
        <v/>
      </c>
      <c r="H42" s="17">
        <f>G42/(COUNTA(Rooms!$A:$A)-1)</f>
        <v/>
      </c>
    </row>
    <row r="43" ht="15" customHeight="1" s="11">
      <c r="A43" s="10" t="inlineStr">
        <is>
          <t>Q07</t>
        </is>
      </c>
      <c r="B43" s="10" t="inlineStr">
        <is>
          <t>Queen</t>
        </is>
      </c>
      <c r="C43" s="10">
        <f>COUNTIFS(Rooms!$E:$E,$A43,Rooms!$B:$B,"Tower A")</f>
        <v/>
      </c>
      <c r="D43" s="17">
        <f>C43/COUNTIF(Rooms!$B:$B,"Tower A")</f>
        <v/>
      </c>
      <c r="E43" s="10">
        <f>COUNTIFS(Rooms!$E:$E,$A43,Rooms!$B:$B,"Tower B")</f>
        <v/>
      </c>
      <c r="F43" s="17">
        <f>E43/COUNTIF(Rooms!$B:$B,"Tower B")</f>
        <v/>
      </c>
      <c r="G43" s="10">
        <f>C43+E43</f>
        <v/>
      </c>
      <c r="H43" s="17">
        <f>G43/(COUNTA(Rooms!$A:$A)-1)</f>
        <v/>
      </c>
    </row>
    <row r="44" ht="15" customHeight="1" s="11">
      <c r="A44" s="10" t="inlineStr">
        <is>
          <t>Q07*</t>
        </is>
      </c>
      <c r="B44" s="10" t="inlineStr">
        <is>
          <t>Queen</t>
        </is>
      </c>
      <c r="C44" s="10">
        <f>COUNTIFS(Rooms!$E:$E,$A44,Rooms!$B:$B,"Tower A")</f>
        <v/>
      </c>
      <c r="D44" s="17">
        <f>C44/COUNTIF(Rooms!$B:$B,"Tower A")</f>
        <v/>
      </c>
      <c r="E44" s="10">
        <f>COUNTIFS(Rooms!$E:$E,$A44,Rooms!$B:$B,"Tower B")</f>
        <v/>
      </c>
      <c r="F44" s="17">
        <f>E44/COUNTIF(Rooms!$B:$B,"Tower B")</f>
        <v/>
      </c>
      <c r="G44" s="10">
        <f>C44+E44</f>
        <v/>
      </c>
      <c r="H44" s="17">
        <f>G44/(COUNTA(Rooms!$A:$A)-1)</f>
        <v/>
      </c>
    </row>
    <row r="45" ht="15" customHeight="1" s="11">
      <c r="A45" s="10" t="inlineStr">
        <is>
          <t>QADA1</t>
        </is>
      </c>
      <c r="B45" s="10" t="inlineStr">
        <is>
          <t>Queen ADA</t>
        </is>
      </c>
      <c r="C45" s="10">
        <f>COUNTIFS(Rooms!$E:$E,$A45,Rooms!$B:$B,"Tower A")</f>
        <v/>
      </c>
      <c r="D45" s="17">
        <f>C45/COUNTIF(Rooms!$B:$B,"Tower A")</f>
        <v/>
      </c>
      <c r="E45" s="10">
        <f>COUNTIFS(Rooms!$E:$E,$A45,Rooms!$B:$B,"Tower B")</f>
        <v/>
      </c>
      <c r="F45" s="17">
        <f>E45/COUNTIF(Rooms!$B:$B,"Tower B")</f>
        <v/>
      </c>
      <c r="G45" s="10">
        <f>C45+E45</f>
        <v/>
      </c>
      <c r="H45" s="17">
        <f>G45/(COUNTA(Rooms!$A:$A)-1)</f>
        <v/>
      </c>
    </row>
    <row r="46" ht="15" customHeight="1" s="11">
      <c r="A46" s="10" t="inlineStr">
        <is>
          <t>QADA2</t>
        </is>
      </c>
      <c r="B46" s="10" t="inlineStr">
        <is>
          <t>Queen ADA</t>
        </is>
      </c>
      <c r="C46" s="10">
        <f>COUNTIFS(Rooms!$E:$E,$A46,Rooms!$B:$B,"Tower A")</f>
        <v/>
      </c>
      <c r="D46" s="17">
        <f>C46/COUNTIF(Rooms!$B:$B,"Tower A")</f>
        <v/>
      </c>
      <c r="E46" s="10">
        <f>COUNTIFS(Rooms!$E:$E,$A46,Rooms!$B:$B,"Tower B")</f>
        <v/>
      </c>
      <c r="F46" s="17">
        <f>E46/COUNTIF(Rooms!$B:$B,"Tower B")</f>
        <v/>
      </c>
      <c r="G46" s="10">
        <f>C46+E46</f>
        <v/>
      </c>
      <c r="H46" s="17">
        <f>G46/(COUNTA(Rooms!$A:$A)-1)</f>
        <v/>
      </c>
    </row>
    <row r="47" ht="15" customHeight="1" s="11">
      <c r="A47" s="10" t="inlineStr">
        <is>
          <t>S01</t>
        </is>
      </c>
      <c r="B47" s="10" t="inlineStr">
        <is>
          <t>Suite</t>
        </is>
      </c>
      <c r="C47" s="10">
        <f>COUNTIFS(Rooms!$E:$E,$A47,Rooms!$B:$B,"Tower A")</f>
        <v/>
      </c>
      <c r="D47" s="17">
        <f>C47/COUNTIF(Rooms!$B:$B,"Tower A")</f>
        <v/>
      </c>
      <c r="E47" s="10">
        <f>COUNTIFS(Rooms!$E:$E,$A47,Rooms!$B:$B,"Tower B")</f>
        <v/>
      </c>
      <c r="F47" s="17">
        <f>E47/COUNTIF(Rooms!$B:$B,"Tower B")</f>
        <v/>
      </c>
      <c r="G47" s="10">
        <f>C47+E47</f>
        <v/>
      </c>
      <c r="H47" s="17">
        <f>G47/(COUNTA(Rooms!$A:$A)-1)</f>
        <v/>
      </c>
    </row>
    <row r="48" ht="15" customHeight="1" s="11">
      <c r="A48" s="10" t="inlineStr">
        <is>
          <t>S02</t>
        </is>
      </c>
      <c r="B48" s="10" t="inlineStr">
        <is>
          <t>Suite</t>
        </is>
      </c>
      <c r="C48" s="10">
        <f>COUNTIFS(Rooms!$E:$E,$A48,Rooms!$B:$B,"Tower A")</f>
        <v/>
      </c>
      <c r="D48" s="17">
        <f>C48/COUNTIF(Rooms!$B:$B,"Tower A")</f>
        <v/>
      </c>
      <c r="E48" s="10">
        <f>COUNTIFS(Rooms!$E:$E,$A48,Rooms!$B:$B,"Tower B")</f>
        <v/>
      </c>
      <c r="F48" s="17">
        <f>E48/COUNTIF(Rooms!$B:$B,"Tower B")</f>
        <v/>
      </c>
      <c r="G48" s="10">
        <f>C48+E48</f>
        <v/>
      </c>
      <c r="H48" s="17">
        <f>G48/(COUNTA(Rooms!$A:$A)-1)</f>
        <v/>
      </c>
    </row>
    <row r="49" ht="15" customHeight="1" s="11">
      <c r="A49" s="10" t="inlineStr">
        <is>
          <t>S03</t>
        </is>
      </c>
      <c r="B49" s="10" t="inlineStr">
        <is>
          <t>Suite</t>
        </is>
      </c>
      <c r="C49" s="10">
        <f>COUNTIFS(Rooms!$E:$E,$A49,Rooms!$B:$B,"Tower A")</f>
        <v/>
      </c>
      <c r="D49" s="17">
        <f>C49/COUNTIF(Rooms!$B:$B,"Tower A")</f>
        <v/>
      </c>
      <c r="E49" s="10">
        <f>COUNTIFS(Rooms!$E:$E,$A49,Rooms!$B:$B,"Tower B")</f>
        <v/>
      </c>
      <c r="F49" s="17">
        <f>E49/COUNTIF(Rooms!$B:$B,"Tower B")</f>
        <v/>
      </c>
      <c r="G49" s="10">
        <f>C49+E49</f>
        <v/>
      </c>
      <c r="H49" s="17">
        <f>G49/(COUNTA(Rooms!$A:$A)-1)</f>
        <v/>
      </c>
    </row>
    <row r="50" ht="15" customHeight="1" s="11">
      <c r="A50" s="10" t="inlineStr">
        <is>
          <t>S04</t>
        </is>
      </c>
      <c r="B50" s="10" t="inlineStr">
        <is>
          <t>Suite</t>
        </is>
      </c>
      <c r="C50" s="10">
        <f>COUNTIFS(Rooms!$E:$E,$A50,Rooms!$B:$B,"Tower A")</f>
        <v/>
      </c>
      <c r="D50" s="17">
        <f>C50/COUNTIF(Rooms!$B:$B,"Tower A")</f>
        <v/>
      </c>
      <c r="E50" s="10">
        <f>COUNTIFS(Rooms!$E:$E,$A50,Rooms!$B:$B,"Tower B")</f>
        <v/>
      </c>
      <c r="F50" s="17">
        <f>E50/COUNTIF(Rooms!$B:$B,"Tower B")</f>
        <v/>
      </c>
      <c r="G50" s="10">
        <f>C50+E50</f>
        <v/>
      </c>
      <c r="H50" s="17">
        <f>G50/(COUNTA(Rooms!$A:$A)-1)</f>
        <v/>
      </c>
    </row>
    <row r="51" ht="15" customHeight="1" s="11">
      <c r="A51" s="10" t="inlineStr">
        <is>
          <t>S05</t>
        </is>
      </c>
      <c r="B51" s="10" t="inlineStr">
        <is>
          <t>Suite</t>
        </is>
      </c>
      <c r="C51" s="10">
        <f>COUNTIFS(Rooms!$E:$E,$A51,Rooms!$B:$B,"Tower A")</f>
        <v/>
      </c>
      <c r="D51" s="17">
        <f>C51/COUNTIF(Rooms!$B:$B,"Tower A")</f>
        <v/>
      </c>
      <c r="E51" s="10">
        <f>COUNTIFS(Rooms!$E:$E,$A51,Rooms!$B:$B,"Tower B")</f>
        <v/>
      </c>
      <c r="F51" s="17">
        <f>E51/COUNTIF(Rooms!$B:$B,"Tower B")</f>
        <v/>
      </c>
      <c r="G51" s="10">
        <f>C51+E51</f>
        <v/>
      </c>
      <c r="H51" s="17">
        <f>G51/(COUNTA(Rooms!$A:$A)-1)</f>
        <v/>
      </c>
    </row>
    <row r="52" ht="15" customHeight="1" s="11">
      <c r="A52" s="10" t="inlineStr">
        <is>
          <t>S06</t>
        </is>
      </c>
      <c r="B52" s="10" t="inlineStr">
        <is>
          <t>Suite</t>
        </is>
      </c>
      <c r="C52" s="10">
        <f>COUNTIFS(Rooms!$E:$E,$A52,Rooms!$B:$B,"Tower A")</f>
        <v/>
      </c>
      <c r="D52" s="17">
        <f>C52/COUNTIF(Rooms!$B:$B,"Tower A")</f>
        <v/>
      </c>
      <c r="E52" s="10">
        <f>COUNTIFS(Rooms!$E:$E,$A52,Rooms!$B:$B,"Tower B")</f>
        <v/>
      </c>
      <c r="F52" s="17">
        <f>E52/COUNTIF(Rooms!$B:$B,"Tower B")</f>
        <v/>
      </c>
      <c r="G52" s="10">
        <f>C52+E52</f>
        <v/>
      </c>
      <c r="H52" s="17">
        <f>G52/(COUNTA(Rooms!$A:$A)-1)</f>
        <v/>
      </c>
    </row>
    <row r="53" ht="15" customHeight="1" s="11">
      <c r="A53" s="10" t="inlineStr">
        <is>
          <t>S07</t>
        </is>
      </c>
      <c r="B53" s="10" t="inlineStr">
        <is>
          <t>Suite</t>
        </is>
      </c>
      <c r="C53" s="10">
        <f>COUNTIFS(Rooms!$E:$E,$A53,Rooms!$B:$B,"Tower A")</f>
        <v/>
      </c>
      <c r="D53" s="17">
        <f>C53/COUNTIF(Rooms!$B:$B,"Tower A")</f>
        <v/>
      </c>
      <c r="E53" s="10">
        <f>COUNTIFS(Rooms!$E:$E,$A53,Rooms!$B:$B,"Tower B")</f>
        <v/>
      </c>
      <c r="F53" s="17">
        <f>E53/COUNTIF(Rooms!$B:$B,"Tower B")</f>
        <v/>
      </c>
      <c r="G53" s="10">
        <f>C53+E53</f>
        <v/>
      </c>
      <c r="H53" s="17">
        <f>G53/(COUNTA(Rooms!$A:$A)-1)</f>
        <v/>
      </c>
    </row>
    <row r="54" ht="15" customHeight="1" s="11">
      <c r="A54" s="10" t="inlineStr">
        <is>
          <t>S08</t>
        </is>
      </c>
      <c r="B54" s="10" t="inlineStr">
        <is>
          <t>Suite</t>
        </is>
      </c>
      <c r="C54" s="10">
        <f>COUNTIFS(Rooms!$E:$E,$A54,Rooms!$B:$B,"Tower A")</f>
        <v/>
      </c>
      <c r="D54" s="17">
        <f>C54/COUNTIF(Rooms!$B:$B,"Tower A")</f>
        <v/>
      </c>
      <c r="E54" s="10">
        <f>COUNTIFS(Rooms!$E:$E,$A54,Rooms!$B:$B,"Tower B")</f>
        <v/>
      </c>
      <c r="F54" s="17">
        <f>E54/COUNTIF(Rooms!$B:$B,"Tower B")</f>
        <v/>
      </c>
      <c r="G54" s="10">
        <f>C54+E54</f>
        <v/>
      </c>
      <c r="H54" s="17">
        <f>G54/(COUNTA(Rooms!$A:$A)-1)</f>
        <v/>
      </c>
    </row>
    <row r="55" ht="15" customHeight="1" s="11">
      <c r="A55" s="10" t="inlineStr">
        <is>
          <t>S08A</t>
        </is>
      </c>
      <c r="B55" s="10" t="inlineStr">
        <is>
          <t>Suite</t>
        </is>
      </c>
      <c r="C55" s="10">
        <f>COUNTIFS(Rooms!$E:$E,$A55,Rooms!$B:$B,"Tower A")</f>
        <v/>
      </c>
      <c r="D55" s="17">
        <f>C55/COUNTIF(Rooms!$B:$B,"Tower A")</f>
        <v/>
      </c>
      <c r="E55" s="10">
        <f>COUNTIFS(Rooms!$E:$E,$A55,Rooms!$B:$B,"Tower B")</f>
        <v/>
      </c>
      <c r="F55" s="17">
        <f>E55/COUNTIF(Rooms!$B:$B,"Tower B")</f>
        <v/>
      </c>
      <c r="G55" s="10">
        <f>C55+E55</f>
        <v/>
      </c>
      <c r="H55" s="17">
        <f>G55/(COUNTA(Rooms!$A:$A)-1)</f>
        <v/>
      </c>
    </row>
    <row r="56" ht="15" customHeight="1" s="11">
      <c r="A56" s="10" t="inlineStr">
        <is>
          <t>S09</t>
        </is>
      </c>
      <c r="B56" s="10" t="inlineStr">
        <is>
          <t>Suite</t>
        </is>
      </c>
      <c r="C56" s="10">
        <f>COUNTIFS(Rooms!$E:$E,$A56,Rooms!$B:$B,"Tower A")</f>
        <v/>
      </c>
      <c r="D56" s="17">
        <f>C56/COUNTIF(Rooms!$B:$B,"Tower A")</f>
        <v/>
      </c>
      <c r="E56" s="10">
        <f>COUNTIFS(Rooms!$E:$E,$A56,Rooms!$B:$B,"Tower B")</f>
        <v/>
      </c>
      <c r="F56" s="17">
        <f>E56/COUNTIF(Rooms!$B:$B,"Tower B")</f>
        <v/>
      </c>
      <c r="G56" s="10">
        <f>C56+E56</f>
        <v/>
      </c>
      <c r="H56" s="17">
        <f>G56/(COUNTA(Rooms!$A:$A)-1)</f>
        <v/>
      </c>
    </row>
    <row r="57" ht="15" customHeight="1" s="11">
      <c r="A57" s="10" t="inlineStr">
        <is>
          <t>S10</t>
        </is>
      </c>
      <c r="B57" s="10" t="inlineStr">
        <is>
          <t>Suite</t>
        </is>
      </c>
      <c r="C57" s="10">
        <f>COUNTIFS(Rooms!$E:$E,$A57,Rooms!$B:$B,"Tower A")</f>
        <v/>
      </c>
      <c r="D57" s="17">
        <f>C57/COUNTIF(Rooms!$B:$B,"Tower A")</f>
        <v/>
      </c>
      <c r="E57" s="10">
        <f>COUNTIFS(Rooms!$E:$E,$A57,Rooms!$B:$B,"Tower B")</f>
        <v/>
      </c>
      <c r="F57" s="17">
        <f>E57/COUNTIF(Rooms!$B:$B,"Tower B")</f>
        <v/>
      </c>
      <c r="G57" s="10">
        <f>C57+E57</f>
        <v/>
      </c>
      <c r="H57" s="17">
        <f>G57/(COUNTA(Rooms!$A:$A)-1)</f>
        <v/>
      </c>
    </row>
    <row r="58" ht="15" customHeight="1" s="11">
      <c r="A58" s="10" t="inlineStr">
        <is>
          <t>SADA</t>
        </is>
      </c>
      <c r="B58" s="10" t="inlineStr">
        <is>
          <t>Suite ADA</t>
        </is>
      </c>
      <c r="C58" s="10">
        <f>COUNTIFS(Rooms!$E:$E,$A58,Rooms!$B:$B,"Tower A")</f>
        <v/>
      </c>
      <c r="D58" s="17">
        <f>C58/COUNTIF(Rooms!$B:$B,"Tower A")</f>
        <v/>
      </c>
      <c r="E58" s="10">
        <f>COUNTIFS(Rooms!$E:$E,$A58,Rooms!$B:$B,"Tower B")</f>
        <v/>
      </c>
      <c r="F58" s="17">
        <f>E58/COUNTIF(Rooms!$B:$B,"Tower B")</f>
        <v/>
      </c>
      <c r="G58" s="10">
        <f>C58+E58</f>
        <v/>
      </c>
      <c r="H58" s="17">
        <f>G58/(COUNTA(Rooms!$A:$A)-1)</f>
        <v/>
      </c>
    </row>
    <row r="59" ht="15" customHeight="1" s="11">
      <c r="A59" s="10" t="inlineStr">
        <is>
          <t>BS</t>
        </is>
      </c>
      <c r="B59" s="10" t="inlineStr">
        <is>
          <t>Suite</t>
        </is>
      </c>
      <c r="C59" s="10">
        <f>COUNTIFS(Rooms!$E:$E,$A59,Rooms!$B:$B,"Tower A")</f>
        <v/>
      </c>
      <c r="D59" s="17">
        <f>C59/COUNTIF(Rooms!$B:$B,"Tower A")</f>
        <v/>
      </c>
      <c r="E59" s="10">
        <f>COUNTIFS(Rooms!$E:$E,$A59,Rooms!$B:$B,"Tower B")</f>
        <v/>
      </c>
      <c r="F59" s="17">
        <f>E59/COUNTIF(Rooms!$B:$B,"Tower B")</f>
        <v/>
      </c>
      <c r="G59" s="10">
        <f>C59+E59</f>
        <v/>
      </c>
      <c r="H59" s="17">
        <f>G59/(COUNTA(Rooms!$A:$A)-1)</f>
        <v/>
      </c>
    </row>
    <row r="60" ht="15" customHeight="1" s="11">
      <c r="A60" s="10" t="inlineStr">
        <is>
          <t>PS01</t>
        </is>
      </c>
      <c r="B60" s="10" t="inlineStr">
        <is>
          <t>Premium Suite</t>
        </is>
      </c>
      <c r="C60" s="10">
        <f>COUNTIFS(Rooms!$E:$E,$A60,Rooms!$B:$B,"Tower A")</f>
        <v/>
      </c>
      <c r="D60" s="17">
        <f>C60/COUNTIF(Rooms!$B:$B,"Tower A")</f>
        <v/>
      </c>
      <c r="E60" s="10">
        <f>COUNTIFS(Rooms!$E:$E,$A60,Rooms!$B:$B,"Tower B")</f>
        <v/>
      </c>
      <c r="F60" s="17">
        <f>E60/COUNTIF(Rooms!$B:$B,"Tower B")</f>
        <v/>
      </c>
      <c r="G60" s="10">
        <f>C60+E60</f>
        <v/>
      </c>
      <c r="H60" s="17">
        <f>G60/(COUNTA(Rooms!$A:$A)-1)</f>
        <v/>
      </c>
    </row>
    <row r="61" ht="15" customHeight="1" s="11">
      <c r="A61" s="10" t="inlineStr">
        <is>
          <t>PS02</t>
        </is>
      </c>
      <c r="B61" s="10" t="inlineStr">
        <is>
          <t>Premium Suite</t>
        </is>
      </c>
      <c r="C61" s="10">
        <f>COUNTIFS(Rooms!$E:$E,$A61,Rooms!$B:$B,"Tower A")</f>
        <v/>
      </c>
      <c r="D61" s="17">
        <f>C61/COUNTIF(Rooms!$B:$B,"Tower A")</f>
        <v/>
      </c>
      <c r="E61" s="10">
        <f>COUNTIFS(Rooms!$E:$E,$A61,Rooms!$B:$B,"Tower B")</f>
        <v/>
      </c>
      <c r="F61" s="17">
        <f>E61/COUNTIF(Rooms!$B:$B,"Tower B")</f>
        <v/>
      </c>
      <c r="G61" s="10">
        <f>C61+E61</f>
        <v/>
      </c>
      <c r="H61" s="17">
        <f>G61/(COUNTA(Rooms!$A:$A)-1)</f>
        <v/>
      </c>
    </row>
    <row r="62" ht="15" customHeight="1" s="11">
      <c r="A62" s="10" t="inlineStr">
        <is>
          <t>PS03</t>
        </is>
      </c>
      <c r="B62" s="10" t="inlineStr">
        <is>
          <t>Premium Suite</t>
        </is>
      </c>
      <c r="C62" s="10">
        <f>COUNTIFS(Rooms!$E:$E,$A62,Rooms!$B:$B,"Tower A")</f>
        <v/>
      </c>
      <c r="D62" s="17">
        <f>C62/COUNTIF(Rooms!$B:$B,"Tower A")</f>
        <v/>
      </c>
      <c r="E62" s="10">
        <f>COUNTIFS(Rooms!$E:$E,$A62,Rooms!$B:$B,"Tower B")</f>
        <v/>
      </c>
      <c r="F62" s="17">
        <f>E62/COUNTIF(Rooms!$B:$B,"Tower B")</f>
        <v/>
      </c>
      <c r="G62" s="10">
        <f>C62+E62</f>
        <v/>
      </c>
      <c r="H62" s="17">
        <f>G62/(COUNTA(Rooms!$A:$A)-1)</f>
        <v/>
      </c>
    </row>
    <row r="63" ht="15" customHeight="1" s="11">
      <c r="A63" s="18" t="inlineStr">
        <is>
          <t>TOTAL</t>
        </is>
      </c>
      <c r="C63" s="18">
        <f>SUM(C2:C62)</f>
        <v/>
      </c>
      <c r="E63" s="18">
        <f>SUM(E2:E62)</f>
        <v/>
      </c>
      <c r="G63" s="18">
        <f>SUM(G2:G62)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0" min="1" max="1"/>
    <col width="12" customWidth="1" style="10" min="2" max="2"/>
    <col width="45" customWidth="1" style="10" min="3" max="3"/>
    <col width="4" customWidth="1" style="10" min="4" max="4"/>
    <col width="22" customWidth="1" style="10" min="5" max="5"/>
    <col width="12" customWidth="1" style="10" min="6" max="6"/>
  </cols>
  <sheetData>
    <row r="1" ht="33.75" customHeight="1" s="11">
      <c r="A1" s="15" t="inlineStr">
        <is>
          <t>Status</t>
        </is>
      </c>
      <c r="B1" s="15" t="inlineStr">
        <is>
          <t>Colour</t>
        </is>
      </c>
      <c r="C1" s="15" t="inlineStr">
        <is>
          <t>Meaning</t>
        </is>
      </c>
      <c r="D1" s="15" t="n"/>
      <c r="E1" s="15" t="inlineStr">
        <is>
          <t>Clearance</t>
        </is>
      </c>
      <c r="F1" s="15" t="inlineStr">
        <is>
          <t>Colour</t>
        </is>
      </c>
    </row>
    <row r="2" ht="15" customHeight="1" s="11">
      <c r="A2" s="10" t="inlineStr">
        <is>
          <t>A - Approved</t>
        </is>
      </c>
      <c r="B2" s="10" t="inlineStr">
        <is>
          <t>green</t>
        </is>
      </c>
      <c r="C2" s="10" t="inlineStr">
        <is>
          <t>Code A</t>
        </is>
      </c>
      <c r="E2" s="10" t="inlineStr">
        <is>
          <t>Provided</t>
        </is>
      </c>
      <c r="F2" s="10" t="inlineStr">
        <is>
          <t>green</t>
        </is>
      </c>
    </row>
    <row r="3" ht="15" customHeight="1" s="11">
      <c r="A3" s="10" t="inlineStr">
        <is>
          <t>B - Approved as Noted</t>
        </is>
      </c>
      <c r="B3" s="10" t="inlineStr">
        <is>
          <t>green</t>
        </is>
      </c>
      <c r="C3" s="10" t="inlineStr">
        <is>
          <t>Code B</t>
        </is>
      </c>
      <c r="E3" s="10" t="inlineStr">
        <is>
          <t>Partially Provided</t>
        </is>
      </c>
      <c r="F3" s="10" t="inlineStr">
        <is>
          <t>amber</t>
        </is>
      </c>
    </row>
    <row r="4" ht="15" customHeight="1" s="11">
      <c r="A4" s="10" t="inlineStr">
        <is>
          <t>C - Revise &amp; Resubmit</t>
        </is>
      </c>
      <c r="B4" s="10" t="inlineStr">
        <is>
          <t>amber</t>
        </is>
      </c>
      <c r="C4" s="10" t="inlineStr">
        <is>
          <t>Code C</t>
        </is>
      </c>
      <c r="E4" s="10" t="inlineStr">
        <is>
          <t>Pending</t>
        </is>
      </c>
      <c r="F4" s="10" t="inlineStr">
        <is>
          <t>red</t>
        </is>
      </c>
    </row>
    <row r="5" ht="15" customHeight="1" s="11">
      <c r="A5" s="10" t="inlineStr">
        <is>
          <t>D - Rejected</t>
        </is>
      </c>
      <c r="B5" s="10" t="inlineStr">
        <is>
          <t>red</t>
        </is>
      </c>
      <c r="C5" s="10" t="inlineStr">
        <is>
          <t>Code D</t>
        </is>
      </c>
      <c r="E5" s="10" t="inlineStr">
        <is>
          <t>Not Requested</t>
        </is>
      </c>
      <c r="F5" s="10" t="inlineStr">
        <is>
          <t>grey</t>
        </is>
      </c>
    </row>
    <row r="6" ht="15" customHeight="1" s="11">
      <c r="A6" s="10" t="inlineStr">
        <is>
          <t>Under Review</t>
        </is>
      </c>
      <c r="B6" s="10" t="inlineStr">
        <is>
          <t>blue</t>
        </is>
      </c>
      <c r="C6" s="10" t="inlineStr">
        <is>
          <t>Submitted, awaiting consultant</t>
        </is>
      </c>
      <c r="E6" s="10" t="inlineStr">
        <is>
          <t>N/A</t>
        </is>
      </c>
      <c r="F6" s="10" t="inlineStr">
        <is>
          <t>grey</t>
        </is>
      </c>
    </row>
    <row r="7" ht="15" customHeight="1" s="11">
      <c r="A7" s="10" t="inlineStr">
        <is>
          <t>In Preparation</t>
        </is>
      </c>
      <c r="B7" s="10" t="inlineStr">
        <is>
          <t>grey</t>
        </is>
      </c>
      <c r="C7" s="10" t="inlineStr">
        <is>
          <t>Being prepared by BUJV / subcontractor</t>
        </is>
      </c>
    </row>
    <row r="8" ht="15" customHeight="1" s="11">
      <c r="A8" s="10" t="inlineStr">
        <is>
          <t>Not Submitted</t>
        </is>
      </c>
      <c r="B8" s="10" t="inlineStr">
        <is>
          <t>grey</t>
        </is>
      </c>
    </row>
    <row r="9" ht="15" customHeight="1" s="11">
      <c r="A9" s="10" t="inlineStr">
        <is>
          <t>N/A</t>
        </is>
      </c>
      <c r="B9" s="10" t="inlineStr">
        <is>
          <t>grey</t>
        </is>
      </c>
      <c r="C9" s="10" t="inlineStr">
        <is>
          <t>Not applicable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0" min="1" max="1"/>
    <col width="70" customWidth="1" style="10" min="2" max="2"/>
    <col width="60" customWidth="1" style="10" min="3" max="3"/>
  </cols>
  <sheetData>
    <row r="1" ht="33.75" customHeight="1" s="11">
      <c r="A1" s="15" t="inlineStr">
        <is>
          <t>Key</t>
        </is>
      </c>
      <c r="B1" s="15" t="inlineStr">
        <is>
          <t>Value</t>
        </is>
      </c>
      <c r="C1" s="15" t="inlineStr">
        <is>
          <t>Notes</t>
        </is>
      </c>
    </row>
    <row r="2" ht="15" customHeight="1" s="11">
      <c r="A2" s="19" t="inlineStr">
        <is>
          <t>Project</t>
        </is>
      </c>
      <c r="B2" s="19" t="inlineStr">
        <is>
          <t>Qiddiya Water Park Hotel (WPH)</t>
        </is>
      </c>
      <c r="C2" s="19" t="inlineStr">
        <is>
          <t>Shown in page header</t>
        </is>
      </c>
    </row>
    <row r="3" ht="15" customHeight="1" s="11">
      <c r="A3" s="19" t="inlineStr">
        <is>
          <t>Base URL</t>
        </is>
      </c>
      <c r="B3" s="19" t="inlineStr">
        <is>
          <t>https://wph-bujv.github.io/wph-rooms/</t>
        </is>
      </c>
      <c r="C3" s="19" t="inlineStr">
        <is>
          <t>Web address of the room page. QR content = Base URL + ?room=&lt;QR ID&gt;</t>
        </is>
      </c>
    </row>
    <row r="4" ht="15" customHeight="1" s="11">
      <c r="A4" s="19" t="inlineStr">
        <is>
          <t>Data last updated</t>
        </is>
      </c>
      <c r="B4" s="19" t="n"/>
      <c r="C4" s="19" t="inlineStr">
        <is>
          <t>Type the date you last updated this file – shown on every page</t>
        </is>
      </c>
    </row>
    <row r="5" ht="15" customHeight="1" s="11">
      <c r="A5" s="19" t="inlineStr">
        <is>
          <t>Updated by</t>
        </is>
      </c>
      <c r="B5" s="19" t="inlineStr">
        <is>
          <t>Technical Department - BUJV</t>
        </is>
      </c>
      <c r="C5" s="19" t="n"/>
    </row>
    <row r="6" ht="15" customHeight="1" s="11">
      <c r="A6" s="19" t="inlineStr">
        <is>
          <t>Footer note</t>
        </is>
      </c>
      <c r="B6" s="19" t="inlineStr">
        <is>
          <t>Live status from the WPH Room QR Status Register. For information only – refer to the latest approved documents.</t>
        </is>
      </c>
      <c r="C6" s="1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2026-10-09T10:34:06Z</dcterms:created>
  <dcterms:modified xmlns:dcterms="http://purl.org/dc/terms/" xmlns:xsi="http://www.w3.org/2001/XMLSchema-instance" xsi:type="dcterms:W3CDTF">2026-10-09T10:34:30Z</dcterms:modified>
  <cp:revision>0</cp:revision>
</cp:coreProperties>
</file>