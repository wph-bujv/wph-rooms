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rbacon-my.sharepoint.com/personal/e_khalaf_uccholding_com/Documents/0 Trackers/0 WPH/"/>
    </mc:Choice>
  </mc:AlternateContent>
  <xr:revisionPtr revIDLastSave="103" documentId="11_0937EC48111F13CF32DEE208582AB20A7BDC90D7" xr6:coauthVersionLast="47" xr6:coauthVersionMax="47" xr10:uidLastSave="{B7E41975-1C3B-4032-9BE1-5495F23247A1}"/>
  <bookViews>
    <workbookView xWindow="-120" yWindow="-120" windowWidth="29040" windowHeight="15720" firstSheet="2" activeTab="2" xr2:uid="{00000000-000D-0000-FFFF-FFFF00000000}"/>
  </bookViews>
  <sheets>
    <sheet name="README" sheetId="1" state="hidden" r:id="rId1"/>
    <sheet name="Clearances" sheetId="2" state="hidden" r:id="rId2"/>
    <sheet name="Shop Drawings" sheetId="3" r:id="rId3"/>
    <sheet name="FLS" sheetId="4" state="hidden" r:id="rId4"/>
    <sheet name="FLS Rooms" sheetId="5" state="hidden" r:id="rId5"/>
    <sheet name="Fields" sheetId="6" state="hidden" r:id="rId6"/>
    <sheet name="Summary" sheetId="7" state="hidden" r:id="rId7"/>
    <sheet name="Lists" sheetId="8" state="hidden" r:id="rId8"/>
    <sheet name="Config" sheetId="9" state="hidden" r:id="rId9"/>
  </sheets>
  <definedNames>
    <definedName name="_xlnm._FilterDatabase" localSheetId="1" hidden="1">Clearances!$A$1:$M$554</definedName>
    <definedName name="_xlnm._FilterDatabase" localSheetId="2" hidden="1">'Shop Drawings'!$A$1:$D$63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3" l="1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E62" i="7"/>
  <c r="F62" i="7" s="1"/>
  <c r="C62" i="7"/>
  <c r="E61" i="7"/>
  <c r="F61" i="7" s="1"/>
  <c r="C61" i="7"/>
  <c r="E60" i="7"/>
  <c r="F60" i="7" s="1"/>
  <c r="C60" i="7"/>
  <c r="E59" i="7"/>
  <c r="F59" i="7" s="1"/>
  <c r="C59" i="7"/>
  <c r="E58" i="7"/>
  <c r="F58" i="7" s="1"/>
  <c r="C58" i="7"/>
  <c r="E57" i="7"/>
  <c r="F57" i="7" s="1"/>
  <c r="C57" i="7"/>
  <c r="E56" i="7"/>
  <c r="F56" i="7" s="1"/>
  <c r="C56" i="7"/>
  <c r="E55" i="7"/>
  <c r="F55" i="7" s="1"/>
  <c r="C55" i="7"/>
  <c r="E54" i="7"/>
  <c r="F54" i="7" s="1"/>
  <c r="C54" i="7"/>
  <c r="E53" i="7"/>
  <c r="F53" i="7" s="1"/>
  <c r="C53" i="7"/>
  <c r="E52" i="7"/>
  <c r="F52" i="7" s="1"/>
  <c r="C52" i="7"/>
  <c r="E51" i="7"/>
  <c r="F51" i="7" s="1"/>
  <c r="C51" i="7"/>
  <c r="E50" i="7"/>
  <c r="F50" i="7" s="1"/>
  <c r="C50" i="7"/>
  <c r="E49" i="7"/>
  <c r="F49" i="7" s="1"/>
  <c r="C49" i="7"/>
  <c r="E48" i="7"/>
  <c r="F48" i="7" s="1"/>
  <c r="C48" i="7"/>
  <c r="E47" i="7"/>
  <c r="F47" i="7" s="1"/>
  <c r="C47" i="7"/>
  <c r="E46" i="7"/>
  <c r="F46" i="7" s="1"/>
  <c r="C46" i="7"/>
  <c r="E45" i="7"/>
  <c r="F45" i="7" s="1"/>
  <c r="C45" i="7"/>
  <c r="E44" i="7"/>
  <c r="F44" i="7" s="1"/>
  <c r="C44" i="7"/>
  <c r="E43" i="7"/>
  <c r="F43" i="7" s="1"/>
  <c r="C43" i="7"/>
  <c r="E42" i="7"/>
  <c r="F42" i="7" s="1"/>
  <c r="C42" i="7"/>
  <c r="E41" i="7"/>
  <c r="F41" i="7" s="1"/>
  <c r="C41" i="7"/>
  <c r="E40" i="7"/>
  <c r="F40" i="7" s="1"/>
  <c r="C40" i="7"/>
  <c r="E39" i="7"/>
  <c r="F39" i="7" s="1"/>
  <c r="C39" i="7"/>
  <c r="E38" i="7"/>
  <c r="F38" i="7" s="1"/>
  <c r="C38" i="7"/>
  <c r="E37" i="7"/>
  <c r="F37" i="7" s="1"/>
  <c r="C37" i="7"/>
  <c r="E36" i="7"/>
  <c r="F36" i="7" s="1"/>
  <c r="C36" i="7"/>
  <c r="E35" i="7"/>
  <c r="F35" i="7" s="1"/>
  <c r="C35" i="7"/>
  <c r="E34" i="7"/>
  <c r="F34" i="7" s="1"/>
  <c r="C34" i="7"/>
  <c r="E33" i="7"/>
  <c r="F33" i="7" s="1"/>
  <c r="C33" i="7"/>
  <c r="E32" i="7"/>
  <c r="F32" i="7" s="1"/>
  <c r="C32" i="7"/>
  <c r="E31" i="7"/>
  <c r="F31" i="7" s="1"/>
  <c r="C31" i="7"/>
  <c r="E30" i="7"/>
  <c r="F30" i="7" s="1"/>
  <c r="C30" i="7"/>
  <c r="E29" i="7"/>
  <c r="F29" i="7" s="1"/>
  <c r="C29" i="7"/>
  <c r="E28" i="7"/>
  <c r="F28" i="7" s="1"/>
  <c r="C28" i="7"/>
  <c r="E27" i="7"/>
  <c r="F27" i="7" s="1"/>
  <c r="C27" i="7"/>
  <c r="E26" i="7"/>
  <c r="F26" i="7" s="1"/>
  <c r="C26" i="7"/>
  <c r="E25" i="7"/>
  <c r="D25" i="7"/>
  <c r="C25" i="7"/>
  <c r="E24" i="7"/>
  <c r="F24" i="7" s="1"/>
  <c r="C24" i="7"/>
  <c r="E23" i="7"/>
  <c r="F23" i="7" s="1"/>
  <c r="C23" i="7"/>
  <c r="E22" i="7"/>
  <c r="F22" i="7" s="1"/>
  <c r="C22" i="7"/>
  <c r="E21" i="7"/>
  <c r="F21" i="7" s="1"/>
  <c r="C21" i="7"/>
  <c r="E20" i="7"/>
  <c r="F20" i="7" s="1"/>
  <c r="C20" i="7"/>
  <c r="E19" i="7"/>
  <c r="F19" i="7" s="1"/>
  <c r="C19" i="7"/>
  <c r="E18" i="7"/>
  <c r="F18" i="7" s="1"/>
  <c r="C18" i="7"/>
  <c r="E17" i="7"/>
  <c r="F17" i="7" s="1"/>
  <c r="C17" i="7"/>
  <c r="E16" i="7"/>
  <c r="F16" i="7" s="1"/>
  <c r="C16" i="7"/>
  <c r="E15" i="7"/>
  <c r="F15" i="7" s="1"/>
  <c r="C15" i="7"/>
  <c r="E14" i="7"/>
  <c r="F14" i="7" s="1"/>
  <c r="C14" i="7"/>
  <c r="E13" i="7"/>
  <c r="F13" i="7" s="1"/>
  <c r="C13" i="7"/>
  <c r="E12" i="7"/>
  <c r="C12" i="7"/>
  <c r="D12" i="7" s="1"/>
  <c r="E11" i="7"/>
  <c r="F11" i="7" s="1"/>
  <c r="C11" i="7"/>
  <c r="E10" i="7"/>
  <c r="F10" i="7" s="1"/>
  <c r="C10" i="7"/>
  <c r="E9" i="7"/>
  <c r="F9" i="7" s="1"/>
  <c r="C9" i="7"/>
  <c r="E8" i="7"/>
  <c r="F8" i="7" s="1"/>
  <c r="C8" i="7"/>
  <c r="E7" i="7"/>
  <c r="F7" i="7" s="1"/>
  <c r="C7" i="7"/>
  <c r="E6" i="7"/>
  <c r="F6" i="7" s="1"/>
  <c r="C6" i="7"/>
  <c r="E5" i="7"/>
  <c r="F5" i="7" s="1"/>
  <c r="C5" i="7"/>
  <c r="E4" i="7"/>
  <c r="F4" i="7" s="1"/>
  <c r="C4" i="7"/>
  <c r="E3" i="7"/>
  <c r="F3" i="7" s="1"/>
  <c r="C3" i="7"/>
  <c r="E2" i="7"/>
  <c r="C2" i="7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G62" i="7" l="1"/>
  <c r="H62" i="7" s="1"/>
  <c r="D62" i="7"/>
  <c r="G61" i="7"/>
  <c r="H61" i="7" s="1"/>
  <c r="D61" i="7"/>
  <c r="D60" i="7"/>
  <c r="G60" i="7"/>
  <c r="H60" i="7" s="1"/>
  <c r="D59" i="7"/>
  <c r="G59" i="7"/>
  <c r="H59" i="7" s="1"/>
  <c r="G58" i="7"/>
  <c r="H58" i="7" s="1"/>
  <c r="D58" i="7"/>
  <c r="D57" i="7"/>
  <c r="G57" i="7"/>
  <c r="H57" i="7" s="1"/>
  <c r="D56" i="7"/>
  <c r="G56" i="7"/>
  <c r="H56" i="7" s="1"/>
  <c r="D55" i="7"/>
  <c r="G55" i="7"/>
  <c r="H55" i="7" s="1"/>
  <c r="D54" i="7"/>
  <c r="G54" i="7"/>
  <c r="H54" i="7" s="1"/>
  <c r="G53" i="7"/>
  <c r="H53" i="7" s="1"/>
  <c r="D53" i="7"/>
  <c r="D52" i="7"/>
  <c r="G52" i="7"/>
  <c r="H52" i="7" s="1"/>
  <c r="G51" i="7"/>
  <c r="H51" i="7" s="1"/>
  <c r="D51" i="7"/>
  <c r="D50" i="7"/>
  <c r="G50" i="7"/>
  <c r="H50" i="7" s="1"/>
  <c r="G49" i="7"/>
  <c r="H49" i="7" s="1"/>
  <c r="D49" i="7"/>
  <c r="G48" i="7"/>
  <c r="H48" i="7" s="1"/>
  <c r="D48" i="7"/>
  <c r="G47" i="7"/>
  <c r="H47" i="7" s="1"/>
  <c r="D47" i="7"/>
  <c r="D46" i="7"/>
  <c r="G46" i="7"/>
  <c r="H46" i="7" s="1"/>
  <c r="G45" i="7"/>
  <c r="H45" i="7" s="1"/>
  <c r="D45" i="7"/>
  <c r="G44" i="7"/>
  <c r="H44" i="7" s="1"/>
  <c r="D44" i="7"/>
  <c r="D43" i="7"/>
  <c r="G43" i="7"/>
  <c r="H43" i="7" s="1"/>
  <c r="G42" i="7"/>
  <c r="H42" i="7" s="1"/>
  <c r="D42" i="7"/>
  <c r="D41" i="7"/>
  <c r="G41" i="7"/>
  <c r="H41" i="7" s="1"/>
  <c r="G40" i="7"/>
  <c r="H40" i="7" s="1"/>
  <c r="D40" i="7"/>
  <c r="D39" i="7"/>
  <c r="G39" i="7"/>
  <c r="H39" i="7" s="1"/>
  <c r="G38" i="7"/>
  <c r="H38" i="7" s="1"/>
  <c r="D38" i="7"/>
  <c r="G37" i="7"/>
  <c r="H37" i="7" s="1"/>
  <c r="D37" i="7"/>
  <c r="G36" i="7"/>
  <c r="H36" i="7" s="1"/>
  <c r="D36" i="7"/>
  <c r="G35" i="7"/>
  <c r="H35" i="7" s="1"/>
  <c r="D35" i="7"/>
  <c r="G34" i="7"/>
  <c r="H34" i="7" s="1"/>
  <c r="D34" i="7"/>
  <c r="G33" i="7"/>
  <c r="H33" i="7" s="1"/>
  <c r="D33" i="7"/>
  <c r="D32" i="7"/>
  <c r="G32" i="7"/>
  <c r="H32" i="7" s="1"/>
  <c r="G31" i="7"/>
  <c r="H31" i="7" s="1"/>
  <c r="D31" i="7"/>
  <c r="G30" i="7"/>
  <c r="H30" i="7" s="1"/>
  <c r="D30" i="7"/>
  <c r="G29" i="7"/>
  <c r="H29" i="7" s="1"/>
  <c r="D29" i="7"/>
  <c r="G28" i="7"/>
  <c r="H28" i="7" s="1"/>
  <c r="D28" i="7"/>
  <c r="G27" i="7"/>
  <c r="H27" i="7" s="1"/>
  <c r="D27" i="7"/>
  <c r="D26" i="7"/>
  <c r="G26" i="7"/>
  <c r="H26" i="7" s="1"/>
  <c r="G25" i="7"/>
  <c r="H25" i="7" s="1"/>
  <c r="F25" i="7"/>
  <c r="D24" i="7"/>
  <c r="G24" i="7"/>
  <c r="H24" i="7" s="1"/>
  <c r="G23" i="7"/>
  <c r="H23" i="7" s="1"/>
  <c r="D23" i="7"/>
  <c r="G22" i="7"/>
  <c r="H22" i="7" s="1"/>
  <c r="D22" i="7"/>
  <c r="G21" i="7"/>
  <c r="H21" i="7" s="1"/>
  <c r="D21" i="7"/>
  <c r="D20" i="7"/>
  <c r="G20" i="7"/>
  <c r="H20" i="7" s="1"/>
  <c r="D19" i="7"/>
  <c r="G19" i="7"/>
  <c r="H19" i="7" s="1"/>
  <c r="D18" i="7"/>
  <c r="G18" i="7"/>
  <c r="H18" i="7" s="1"/>
  <c r="D17" i="7"/>
  <c r="G17" i="7"/>
  <c r="H17" i="7" s="1"/>
  <c r="G16" i="7"/>
  <c r="H16" i="7" s="1"/>
  <c r="D16" i="7"/>
  <c r="D15" i="7"/>
  <c r="G15" i="7"/>
  <c r="H15" i="7" s="1"/>
  <c r="G14" i="7"/>
  <c r="H14" i="7" s="1"/>
  <c r="D14" i="7"/>
  <c r="D13" i="7"/>
  <c r="G13" i="7"/>
  <c r="H13" i="7" s="1"/>
  <c r="F12" i="7"/>
  <c r="G12" i="7"/>
  <c r="H12" i="7" s="1"/>
  <c r="D11" i="7"/>
  <c r="G11" i="7"/>
  <c r="H11" i="7" s="1"/>
  <c r="D10" i="7"/>
  <c r="G10" i="7"/>
  <c r="H10" i="7" s="1"/>
  <c r="D9" i="7"/>
  <c r="G9" i="7"/>
  <c r="H9" i="7" s="1"/>
  <c r="D8" i="7"/>
  <c r="G8" i="7"/>
  <c r="H8" i="7" s="1"/>
  <c r="D7" i="7"/>
  <c r="G7" i="7"/>
  <c r="H7" i="7" s="1"/>
  <c r="G6" i="7"/>
  <c r="H6" i="7" s="1"/>
  <c r="D6" i="7"/>
  <c r="G5" i="7"/>
  <c r="H5" i="7" s="1"/>
  <c r="D5" i="7"/>
  <c r="G4" i="7"/>
  <c r="H4" i="7" s="1"/>
  <c r="D4" i="7"/>
  <c r="G3" i="7"/>
  <c r="H3" i="7" s="1"/>
  <c r="D3" i="7"/>
  <c r="E63" i="7"/>
  <c r="F2" i="7"/>
  <c r="C63" i="7"/>
  <c r="G2" i="7"/>
  <c r="D2" i="7"/>
  <c r="H2" i="7" l="1"/>
  <c r="G63" i="7"/>
</calcChain>
</file>

<file path=xl/sharedStrings.xml><?xml version="1.0" encoding="utf-8"?>
<sst xmlns="http://schemas.openxmlformats.org/spreadsheetml/2006/main" count="13013" uniqueCount="1715">
  <si>
    <t>WPH – Room QR Status Register</t>
  </si>
  <si>
    <t>This workbook is the single data source for the room QR codes. Each QR code opens a web page that reads THIS file, so whatever is saved here is what people see when they scan.</t>
  </si>
  <si>
    <t>HOW TO UPDATE</t>
  </si>
  <si>
    <t>1. Edit the Clearances sheet (per-room data: clearances, remarks) or the Shop Drawings sheet (per-typology data: shop drawing status). Use the drop-down lists.</t>
  </si>
  <si>
    <t>2. Save the file (keep the same file name: WPH_Room_Register.xlsx).</t>
  </si>
  <si>
    <t>3. Upload it to the GitHub repository (Add file &gt; Upload files, replace the old one). The QR pages update within a few minutes.</t>
  </si>
  <si>
    <t>HOW VALUES ARE RESOLVED</t>
  </si>
  <si>
    <t>• Shop Drawings sheet = default per room type (e.g. ID shop drawing status of K01C applies to every K01C room).</t>
  </si>
  <si>
    <t>• Clearances sheet = per room. If a column with the same header exists in Clearances and is filled, it overrides the Shop Drawings value for that room only.</t>
  </si>
  <si>
    <t>• Room counts and percentages are calculated automatically by the page from the Clearances sheet. Do not type them.</t>
  </si>
  <si>
    <t>HOW TO ADD NEW INFORMATION (no code changes)</t>
  </si>
  <si>
    <t>1. Add a new column to Clearances (per room) or Shop Drawings (per type) with a clear header, e.g. "Snagging Status".</t>
  </si>
  <si>
    <t>2. Add one row to the Fields sheet: Column = exact header, Label = text shown on the phone, Section = group heading, Order = position, Show = Y, Format = status / date / text.</t>
  </si>
  <si>
    <t xml:space="preserve">   If you skip step 2 the new column still appears on the page, under "Other information".</t>
  </si>
  <si>
    <t>3. New status words can be added to the Lists sheet with a colour (green / amber / red / blue / grey).</t>
  </si>
  <si>
    <t>ROOM IDENTIFICATION</t>
  </si>
  <si>
    <t>QR ID = Tower - Level - Room Type, as per the Room Typology drawings and Room Matrix, e.g. A-L02-F03 = Tower A, Level 02, Family room type F03.</t>
  </si>
  <si>
    <t>Where the same room type appears more than once on a level, a sequence number is added (-01, -02 ...) numbered in DSA room-tag order, e.g. A-L02-Q01C-01, A-L02-Q01C-02, A-L02-Q01C-03.</t>
  </si>
  <si>
    <t>The design room tag from the DSA typology drawings (e.g. AL02G03) is kept in the column "Design Room Tag" for cross-reference.</t>
  </si>
  <si>
    <t>5 rooms have no room tag on the typology drawings; their tag was inferred from the same position on the adjacent floor (column "ID Source"): AL07G03 (S08), BL08G88 &amp; BL09G88 (F02), BL08G75 &amp; BL09G75 (PS03).</t>
  </si>
  <si>
    <t>DRAWING vs. MATRIX CHECK</t>
  </si>
  <si>
    <t xml:space="preserve">Total rooms on the typology drawings = 553 (Tower A 279, Tower B 274) – matches the Guest Room Matrix total. Room-type counts per tower and level checked against the Room Matrix. Differences: </t>
  </si>
  <si>
    <t xml:space="preserve">   None - all 553 rooms now follow the Room Matrix. Where the drawings differed (7 rooms) the Room Matrix type was used: AL05G04 &amp; AL06G04 F03B (drawing F03A), BL07G72 &amp; BL07G80 K01C1 (drawing K01C), BL08G85 &amp; BL09G85 Q02E (drawing Q02C), AL02G04 BS (drawing BS01).</t>
  </si>
  <si>
    <t>SHEET PROTECTION</t>
  </si>
  <si>
    <t>Fixed information is locked. Cells you can update are shaded light yellow: Clearances (clearances, dates, remarks), Shop Drawings (drawing ref, revision, statuses, dates), Config (data last updated, updated by). Spare columns to the right of Clearances/Shop Drawings and spare rows below Fields/Lists are open for adding new information. Filtering and sorting are allowed on Clearances and Shop Drawings. To change locked cells: Review &gt; Unprotect Sheet (password held by the Technical Department).</t>
  </si>
  <si>
    <t>COORDINATION SKETCH</t>
  </si>
  <si>
    <t>Shop Drawings sheet, columns R-S: set "Provided" (with date) when the MEP/ELV-ID coordination sketch for that room type is issued. While the official MEP/ELV shop drawing is not yet approved, the sketch is treated as mitigating it: the QR page shows that item in LIGHT GREEN ("Sketch provided"). Once the official shop drawing is A/B approved it shows in DARK GREEN ("Approved"), regardless of the sketch.</t>
  </si>
  <si>
    <t>STATUS CODES (Shop Drawings sheet)</t>
  </si>
  <si>
    <t>A / B = Approved / Approved as Noted (dark green)  |  UR = Under Review (amber)  |  C = Revise &amp; Resubmit (red)  |  TBS = To Be Submitted (grey). Codes, colours and meanings are defined in the Lists sheet and are used by both Excel and the QR pages. When the Coordination Sketch is "Provided", every MEP/ELV item that is not A/B is shown as "Coordinated" (light green); A/B approvals always show dark green.</t>
  </si>
  <si>
    <t>FLS – FIRE LIFE &amp; SAFETY (FLS sheet)</t>
  </si>
  <si>
    <t>FLS sheet – one row per tower/level. Each item has a Material status, then WIR statuses (codes A / B / UR / C / TBS) with dates. Civil (Steel Doors, Wooden Doors, Fire Sealant, Hardware): Material, Rooms WIR, Corridor WIR. MEP (Fire Sealant, Fire Alarm, Fire Fighting): Material, Rooms WIR, Corridor WIR, Elec. Room WIR, BOH WIR. Shown on the level QR page. FLS Rooms sheet – one row per room: a WIR status and date for each item (Steel Doors are level-only). Each room QR page shows the level Material status plus that room's own WIR.</t>
  </si>
  <si>
    <t>QR ID</t>
  </si>
  <si>
    <t>Tower</t>
  </si>
  <si>
    <t>Level</t>
  </si>
  <si>
    <t>Design Room Tag</t>
  </si>
  <si>
    <t>Room Type</t>
  </si>
  <si>
    <t>Room Category</t>
  </si>
  <si>
    <t>MEP Clearance</t>
  </si>
  <si>
    <t>MEP Clearance Date</t>
  </si>
  <si>
    <t>ELV Clearance</t>
  </si>
  <si>
    <t>ELV Clearance Date</t>
  </si>
  <si>
    <t>Remarks</t>
  </si>
  <si>
    <t>ID Source</t>
  </si>
  <si>
    <t>QR URL</t>
  </si>
  <si>
    <t>A-L02-BS</t>
  </si>
  <si>
    <t>Tower A</t>
  </si>
  <si>
    <t>L02</t>
  </si>
  <si>
    <t>AL02G04</t>
  </si>
  <si>
    <t>BS</t>
  </si>
  <si>
    <t>Suite</t>
  </si>
  <si>
    <t>Type per Room Matrix (drawing shows BS01)</t>
  </si>
  <si>
    <t>A-L02-F03</t>
  </si>
  <si>
    <t>AL02G03</t>
  </si>
  <si>
    <t>F03</t>
  </si>
  <si>
    <t>Family</t>
  </si>
  <si>
    <t>Provided</t>
  </si>
  <si>
    <t>Typology drawing R01</t>
  </si>
  <si>
    <t>A-L02-F04</t>
  </si>
  <si>
    <t>AL02G11</t>
  </si>
  <si>
    <t>F04</t>
  </si>
  <si>
    <t>A-L02-FADA</t>
  </si>
  <si>
    <t>AL02G46</t>
  </si>
  <si>
    <t>FADA</t>
  </si>
  <si>
    <t>Family ADA</t>
  </si>
  <si>
    <t>A-L02-K01-01</t>
  </si>
  <si>
    <t>AL02G19</t>
  </si>
  <si>
    <t>K01</t>
  </si>
  <si>
    <t>King</t>
  </si>
  <si>
    <t>A-L02-K01-02</t>
  </si>
  <si>
    <t>AL02G23</t>
  </si>
  <si>
    <t>A-L02-K01-03</t>
  </si>
  <si>
    <t>AL02G27</t>
  </si>
  <si>
    <t>A-L02-K01B-01</t>
  </si>
  <si>
    <t>AL02G26</t>
  </si>
  <si>
    <t>K01B</t>
  </si>
  <si>
    <t>A-L02-K01B-02</t>
  </si>
  <si>
    <t>AL02G30</t>
  </si>
  <si>
    <t>A-L02-K01C-01</t>
  </si>
  <si>
    <t>AL02G07</t>
  </si>
  <si>
    <t>K01C</t>
  </si>
  <si>
    <t>A-L02-K01C-02</t>
  </si>
  <si>
    <t>AL02G31</t>
  </si>
  <si>
    <t>A-L02-K01C-03</t>
  </si>
  <si>
    <t>AL02G35</t>
  </si>
  <si>
    <t>A-L02-K01D</t>
  </si>
  <si>
    <t>AL02G39</t>
  </si>
  <si>
    <t>K01D</t>
  </si>
  <si>
    <t>A-L02-K02-01</t>
  </si>
  <si>
    <t>AL02G25</t>
  </si>
  <si>
    <t>K02</t>
  </si>
  <si>
    <t>A-L02-K02-02</t>
  </si>
  <si>
    <t>AL02G29</t>
  </si>
  <si>
    <t>A-L02-K02B-01</t>
  </si>
  <si>
    <t>AL02G24</t>
  </si>
  <si>
    <t>K02B</t>
  </si>
  <si>
    <t>A-L02-K02B-02</t>
  </si>
  <si>
    <t>AL02G28</t>
  </si>
  <si>
    <t>A-L02-K02B-03</t>
  </si>
  <si>
    <t>AL02G36</t>
  </si>
  <si>
    <t>A-L02-K02C2-01</t>
  </si>
  <si>
    <t>AL02G20</t>
  </si>
  <si>
    <t>K02C2</t>
  </si>
  <si>
    <t>A-L02-K02C2-02</t>
  </si>
  <si>
    <t>AL02G32</t>
  </si>
  <si>
    <t>A-L02-K02D1</t>
  </si>
  <si>
    <t>AL02G12</t>
  </si>
  <si>
    <t>K02D1</t>
  </si>
  <si>
    <t>A-L02-Q01</t>
  </si>
  <si>
    <t>AL02G21</t>
  </si>
  <si>
    <t>Q01</t>
  </si>
  <si>
    <t>Queen</t>
  </si>
  <si>
    <t>A-L02-Q01C-01</t>
  </si>
  <si>
    <t>AL02G05</t>
  </si>
  <si>
    <t>Q01C</t>
  </si>
  <si>
    <t>A-L02-Q01C-02</t>
  </si>
  <si>
    <t>AL02G09</t>
  </si>
  <si>
    <t>A-L02-Q01C-03</t>
  </si>
  <si>
    <t>AL02G33</t>
  </si>
  <si>
    <t>A-L02-Q01C1</t>
  </si>
  <si>
    <t>AL02G14</t>
  </si>
  <si>
    <t>Q01C1</t>
  </si>
  <si>
    <t>A-L02-Q02A</t>
  </si>
  <si>
    <t>AL02G10</t>
  </si>
  <si>
    <t>Q02A</t>
  </si>
  <si>
    <t>A-L02-Q02C2-01</t>
  </si>
  <si>
    <t>AL02G22</t>
  </si>
  <si>
    <t>Q02C2</t>
  </si>
  <si>
    <t>A-L02-Q02C2-02</t>
  </si>
  <si>
    <t>AL02G34</t>
  </si>
  <si>
    <t>A-L02-Q02E</t>
  </si>
  <si>
    <t>AL02G41</t>
  </si>
  <si>
    <t>Q02E</t>
  </si>
  <si>
    <t>A-L02-Q03</t>
  </si>
  <si>
    <t>AL02G08</t>
  </si>
  <si>
    <t>Q03</t>
  </si>
  <si>
    <t>A-L02-QADA1</t>
  </si>
  <si>
    <t>AL02G37</t>
  </si>
  <si>
    <t>QADA1</t>
  </si>
  <si>
    <t>Queen ADA</t>
  </si>
  <si>
    <t>A-L02-S05</t>
  </si>
  <si>
    <t>AL02G16</t>
  </si>
  <si>
    <t>S05</t>
  </si>
  <si>
    <t>A-L02-S06</t>
  </si>
  <si>
    <t>AL02G43</t>
  </si>
  <si>
    <t>S06</t>
  </si>
  <si>
    <t>A-L03-F03</t>
  </si>
  <si>
    <t>L03</t>
  </si>
  <si>
    <t>AL03G03</t>
  </si>
  <si>
    <t>A-L03-F03A</t>
  </si>
  <si>
    <t>AL03G04</t>
  </si>
  <si>
    <t>F03A</t>
  </si>
  <si>
    <t>A-L03-F04</t>
  </si>
  <si>
    <t>AL03G11</t>
  </si>
  <si>
    <t>A-L03-F05</t>
  </si>
  <si>
    <t>AL03G46</t>
  </si>
  <si>
    <t>F05</t>
  </si>
  <si>
    <t>A-L03-K01-01</t>
  </si>
  <si>
    <t>AL03G19</t>
  </si>
  <si>
    <t>A-L03-K01-02</t>
  </si>
  <si>
    <t>AL03G23</t>
  </si>
  <si>
    <t>A-L03-K01-03</t>
  </si>
  <si>
    <t>AL03G27</t>
  </si>
  <si>
    <t>A-L03-K01B-01</t>
  </si>
  <si>
    <t>AL03G26</t>
  </si>
  <si>
    <t>A-L03-K01B-02</t>
  </si>
  <si>
    <t>AL03G30</t>
  </si>
  <si>
    <t>A-L03-K01C-01</t>
  </si>
  <si>
    <t>AL03G07</t>
  </si>
  <si>
    <t>A-L03-K01C-02</t>
  </si>
  <si>
    <t>AL03G31</t>
  </si>
  <si>
    <t>A-L03-K01C-03</t>
  </si>
  <si>
    <t>AL03G35</t>
  </si>
  <si>
    <t>A-L03-K01D</t>
  </si>
  <si>
    <t>AL03G39</t>
  </si>
  <si>
    <t>A-L03-K02-01</t>
  </si>
  <si>
    <t>AL03G25</t>
  </si>
  <si>
    <t>A-L03-K02-02</t>
  </si>
  <si>
    <t>AL03G29</t>
  </si>
  <si>
    <t>A-L03-K02B-01</t>
  </si>
  <si>
    <t>AL03G24</t>
  </si>
  <si>
    <t>A-L03-K02B-02</t>
  </si>
  <si>
    <t>AL03G28</t>
  </si>
  <si>
    <t>A-L03-K02B-03</t>
  </si>
  <si>
    <t>AL03G36</t>
  </si>
  <si>
    <t>A-L03-K02C1</t>
  </si>
  <si>
    <t>AL03G08</t>
  </si>
  <si>
    <t>K02C1</t>
  </si>
  <si>
    <t>A-L03-K02C2-01</t>
  </si>
  <si>
    <t>AL03G20</t>
  </si>
  <si>
    <t>A-L03-K02C2-02</t>
  </si>
  <si>
    <t>AL03G32</t>
  </si>
  <si>
    <t>A-L03-K02D1</t>
  </si>
  <si>
    <t>AL03G12</t>
  </si>
  <si>
    <t>A-L03-Q01</t>
  </si>
  <si>
    <t>AL03G21</t>
  </si>
  <si>
    <t>A-L03-Q01C-01</t>
  </si>
  <si>
    <t>AL03G05</t>
  </si>
  <si>
    <t>A-L03-Q01C-02</t>
  </si>
  <si>
    <t>AL03G09</t>
  </si>
  <si>
    <t>A-L03-Q01C-03</t>
  </si>
  <si>
    <t>AL03G33</t>
  </si>
  <si>
    <t>A-L03-Q01C1</t>
  </si>
  <si>
    <t>AL03G14</t>
  </si>
  <si>
    <t>A-L03-Q02C1-01</t>
  </si>
  <si>
    <t>AL03G06</t>
  </si>
  <si>
    <t>Q02C1</t>
  </si>
  <si>
    <t>A-L03-Q02C1-02</t>
  </si>
  <si>
    <t>AL03G10</t>
  </si>
  <si>
    <t>A-L03-Q02C2-01</t>
  </si>
  <si>
    <t>AL03G22</t>
  </si>
  <si>
    <t>A-L03-Q02C2-02</t>
  </si>
  <si>
    <t>AL03G34</t>
  </si>
  <si>
    <t>A-L03-Q02E</t>
  </si>
  <si>
    <t>AL03G41</t>
  </si>
  <si>
    <t>A-L03-QADA1</t>
  </si>
  <si>
    <t>AL03G37</t>
  </si>
  <si>
    <t>A-L03-S05</t>
  </si>
  <si>
    <t>AL03G16</t>
  </si>
  <si>
    <t>A-L03-S06</t>
  </si>
  <si>
    <t>AL03G43</t>
  </si>
  <si>
    <t>A-L04-F03</t>
  </si>
  <si>
    <t>L04</t>
  </si>
  <si>
    <t>AL04G03</t>
  </si>
  <si>
    <t>A-L04-F03A</t>
  </si>
  <si>
    <t>AL04G04</t>
  </si>
  <si>
    <t>A-L04-F04</t>
  </si>
  <si>
    <t>AL04G11</t>
  </si>
  <si>
    <t>A-L04-F05</t>
  </si>
  <si>
    <t>AL04G46</t>
  </si>
  <si>
    <t>A-L04-K01-01</t>
  </si>
  <si>
    <t>AL04G19</t>
  </si>
  <si>
    <t>A-L04-K01-02</t>
  </si>
  <si>
    <t>AL04G23</t>
  </si>
  <si>
    <t>A-L04-K01-03</t>
  </si>
  <si>
    <t>AL04G27</t>
  </si>
  <si>
    <t>A-L04-K01B-01</t>
  </si>
  <si>
    <t>AL04G26</t>
  </si>
  <si>
    <t>A-L04-K01B-02</t>
  </si>
  <si>
    <t>AL04G30</t>
  </si>
  <si>
    <t>A-L04-K01C-01</t>
  </si>
  <si>
    <t>AL04G07</t>
  </si>
  <si>
    <t>A-L04-K01C-02</t>
  </si>
  <si>
    <t>AL04G31</t>
  </si>
  <si>
    <t>A-L04-K01C-03</t>
  </si>
  <si>
    <t>AL04G35</t>
  </si>
  <si>
    <t>A-L04-K01D</t>
  </si>
  <si>
    <t>AL04G39</t>
  </si>
  <si>
    <t>A-L04-K02-01</t>
  </si>
  <si>
    <t>AL04G25</t>
  </si>
  <si>
    <t>A-L04-K02-02</t>
  </si>
  <si>
    <t>AL04G29</t>
  </si>
  <si>
    <t>A-L04-K02B-01</t>
  </si>
  <si>
    <t>AL04G24</t>
  </si>
  <si>
    <t>A-L04-K02B-02</t>
  </si>
  <si>
    <t>AL04G28</t>
  </si>
  <si>
    <t>A-L04-K02B-03</t>
  </si>
  <si>
    <t>AL04G36</t>
  </si>
  <si>
    <t>A-L04-K02C1</t>
  </si>
  <si>
    <t>AL04G08</t>
  </si>
  <si>
    <t>A-L04-K02C2-01</t>
  </si>
  <si>
    <t>AL04G20</t>
  </si>
  <si>
    <t>A-L04-K02C2-02</t>
  </si>
  <si>
    <t>AL04G32</t>
  </si>
  <si>
    <t>A-L04-K02D1</t>
  </si>
  <si>
    <t>AL04G12</t>
  </si>
  <si>
    <t>A-L04-Q01</t>
  </si>
  <si>
    <t>AL04G21</t>
  </si>
  <si>
    <t>A-L04-Q01C-01</t>
  </si>
  <si>
    <t>AL04G05</t>
  </si>
  <si>
    <t>A-L04-Q01C-02</t>
  </si>
  <si>
    <t>AL04G09</t>
  </si>
  <si>
    <t>A-L04-Q01C-03</t>
  </si>
  <si>
    <t>AL04G33</t>
  </si>
  <si>
    <t>A-L04-Q01C1</t>
  </si>
  <si>
    <t>AL04G14</t>
  </si>
  <si>
    <t>A-L04-Q02C1-01</t>
  </si>
  <si>
    <t>AL04G06</t>
  </si>
  <si>
    <t>A-L04-Q02C1-02</t>
  </si>
  <si>
    <t>AL04G10</t>
  </si>
  <si>
    <t>A-L04-Q02C2-01</t>
  </si>
  <si>
    <t>AL04G22</t>
  </si>
  <si>
    <t>A-L04-Q02C2-02</t>
  </si>
  <si>
    <t>AL04G34</t>
  </si>
  <si>
    <t>A-L04-Q02E</t>
  </si>
  <si>
    <t>AL04G41</t>
  </si>
  <si>
    <t>A-L04-QADA2</t>
  </si>
  <si>
    <t>AL04G37</t>
  </si>
  <si>
    <t>QADA2</t>
  </si>
  <si>
    <t>A-L04-S05</t>
  </si>
  <si>
    <t>AL04G16</t>
  </si>
  <si>
    <t>A-L04-S06</t>
  </si>
  <si>
    <t>AL04G43</t>
  </si>
  <si>
    <t>A-L05-F03</t>
  </si>
  <si>
    <t>L05</t>
  </si>
  <si>
    <t>AL05G03</t>
  </si>
  <si>
    <t>A-L05-F03B</t>
  </si>
  <si>
    <t>AL05G04</t>
  </si>
  <si>
    <t>F03B</t>
  </si>
  <si>
    <t>Type per Room Matrix (drawing shows F03A)</t>
  </si>
  <si>
    <t>A-L05-F04</t>
  </si>
  <si>
    <t>AL05G11</t>
  </si>
  <si>
    <t>A-L05-F05</t>
  </si>
  <si>
    <t>AL05G46</t>
  </si>
  <si>
    <t>A-L05-K01-01</t>
  </si>
  <si>
    <t>AL05G19</t>
  </si>
  <si>
    <t>A-L05-K01-02</t>
  </si>
  <si>
    <t>AL05G23</t>
  </si>
  <si>
    <t>A-L05-K01-03</t>
  </si>
  <si>
    <t>AL05G27</t>
  </si>
  <si>
    <t>A-L05-K01B-01</t>
  </si>
  <si>
    <t>AL05G26</t>
  </si>
  <si>
    <t>A-L05-K01B-02</t>
  </si>
  <si>
    <t>AL05G30</t>
  </si>
  <si>
    <t>A-L05-K01C-01</t>
  </si>
  <si>
    <t>AL05G07</t>
  </si>
  <si>
    <t>A-L05-K01C-02</t>
  </si>
  <si>
    <t>AL05G31</t>
  </si>
  <si>
    <t>A-L05-K01C-03</t>
  </si>
  <si>
    <t>AL05G35</t>
  </si>
  <si>
    <t>A-L05-K01D</t>
  </si>
  <si>
    <t>AL05G39</t>
  </si>
  <si>
    <t>A-L05-K02-01</t>
  </si>
  <si>
    <t>AL05G25</t>
  </si>
  <si>
    <t>A-L05-K02-02</t>
  </si>
  <si>
    <t>AL05G29</t>
  </si>
  <si>
    <t>A-L05-K02B-01</t>
  </si>
  <si>
    <t>AL05G24</t>
  </si>
  <si>
    <t>A-L05-K02B-02</t>
  </si>
  <si>
    <t>AL05G28</t>
  </si>
  <si>
    <t>A-L05-K02B-03</t>
  </si>
  <si>
    <t>AL05G36</t>
  </si>
  <si>
    <t>A-L05-K02C1</t>
  </si>
  <si>
    <t>AL05G08</t>
  </si>
  <si>
    <t>A-L05-K02C2-01</t>
  </si>
  <si>
    <t>AL05G20</t>
  </si>
  <si>
    <t>A-L05-K02C2-02</t>
  </si>
  <si>
    <t>AL05G32</t>
  </si>
  <si>
    <t>A-L05-K02D1</t>
  </si>
  <si>
    <t>AL05G12</t>
  </si>
  <si>
    <t>A-L05-Q01</t>
  </si>
  <si>
    <t>AL05G21</t>
  </si>
  <si>
    <t>A-L05-Q01C-01</t>
  </si>
  <si>
    <t>AL05G05</t>
  </si>
  <si>
    <t>A-L05-Q01C-02</t>
  </si>
  <si>
    <t>AL05G09</t>
  </si>
  <si>
    <t>A-L05-Q01C-03</t>
  </si>
  <si>
    <t>AL05G33</t>
  </si>
  <si>
    <t>A-L05-Q01C1</t>
  </si>
  <si>
    <t>AL05G14</t>
  </si>
  <si>
    <t>A-L05-Q02C1-01</t>
  </si>
  <si>
    <t>AL05G06</t>
  </si>
  <si>
    <t>A-L05-Q02C1-02</t>
  </si>
  <si>
    <t>AL05G10</t>
  </si>
  <si>
    <t>A-L05-Q02C2-01</t>
  </si>
  <si>
    <t>AL05G22</t>
  </si>
  <si>
    <t>A-L05-Q02C2-02</t>
  </si>
  <si>
    <t>AL05G34</t>
  </si>
  <si>
    <t>A-L05-Q02E</t>
  </si>
  <si>
    <t>AL05G41</t>
  </si>
  <si>
    <t>A-L05-QADA2</t>
  </si>
  <si>
    <t>AL05G37</t>
  </si>
  <si>
    <t>A-L05-S05</t>
  </si>
  <si>
    <t>AL05G16</t>
  </si>
  <si>
    <t>A-L05-S06</t>
  </si>
  <si>
    <t>AL05G43</t>
  </si>
  <si>
    <t>A-L06-F03</t>
  </si>
  <si>
    <t>L06</t>
  </si>
  <si>
    <t>AL06G03</t>
  </si>
  <si>
    <t>A-L06-F03B</t>
  </si>
  <si>
    <t>AL06G04</t>
  </si>
  <si>
    <t>A-L06-F04</t>
  </si>
  <si>
    <t>AL06G11</t>
  </si>
  <si>
    <t>A-L06-F05</t>
  </si>
  <si>
    <t>AL06G46</t>
  </si>
  <si>
    <t>A-L06-K01-01</t>
  </si>
  <si>
    <t>AL06G19</t>
  </si>
  <si>
    <t>A-L06-K01-02</t>
  </si>
  <si>
    <t>AL06G23</t>
  </si>
  <si>
    <t>A-L06-K01-03</t>
  </si>
  <si>
    <t>AL06G27</t>
  </si>
  <si>
    <t>A-L06-K01B-01</t>
  </si>
  <si>
    <t>AL06G26</t>
  </si>
  <si>
    <t>A-L06-K01B-02</t>
  </si>
  <si>
    <t>AL06G30</t>
  </si>
  <si>
    <t>A-L06-K01C-01</t>
  </si>
  <si>
    <t>AL06G07</t>
  </si>
  <si>
    <t>A-L06-K01C-02</t>
  </si>
  <si>
    <t>AL06G31</t>
  </si>
  <si>
    <t>A-L06-K01C-03</t>
  </si>
  <si>
    <t>AL06G35</t>
  </si>
  <si>
    <t>A-L06-K01D</t>
  </si>
  <si>
    <t>AL06G39</t>
  </si>
  <si>
    <t>A-L06-K02-01</t>
  </si>
  <si>
    <t>AL06G25</t>
  </si>
  <si>
    <t>A-L06-K02-02</t>
  </si>
  <si>
    <t>AL06G29</t>
  </si>
  <si>
    <t>A-L06-K02B-01</t>
  </si>
  <si>
    <t>AL06G24</t>
  </si>
  <si>
    <t>A-L06-K02B-02</t>
  </si>
  <si>
    <t>AL06G28</t>
  </si>
  <si>
    <t>A-L06-K02B-03</t>
  </si>
  <si>
    <t>AL06G36</t>
  </si>
  <si>
    <t>A-L06-K02C1</t>
  </si>
  <si>
    <t>AL06G08</t>
  </si>
  <si>
    <t>A-L06-K02C2-01</t>
  </si>
  <si>
    <t>AL06G20</t>
  </si>
  <si>
    <t>A-L06-K02C2-02</t>
  </si>
  <si>
    <t>AL06G32</t>
  </si>
  <si>
    <t>A-L06-K02D1</t>
  </si>
  <si>
    <t>AL06G12</t>
  </si>
  <si>
    <t>A-L06-Q01</t>
  </si>
  <si>
    <t>AL06G21</t>
  </si>
  <si>
    <t>A-L06-Q01C-01</t>
  </si>
  <si>
    <t>AL06G05</t>
  </si>
  <si>
    <t>A-L06-Q01C-02</t>
  </si>
  <si>
    <t>AL06G09</t>
  </si>
  <si>
    <t>A-L06-Q01C-03</t>
  </si>
  <si>
    <t>AL06G33</t>
  </si>
  <si>
    <t>A-L06-Q01C1</t>
  </si>
  <si>
    <t>AL06G14</t>
  </si>
  <si>
    <t>A-L06-Q02C1-01</t>
  </si>
  <si>
    <t>AL06G06</t>
  </si>
  <si>
    <t>A-L06-Q02C1-02</t>
  </si>
  <si>
    <t>AL06G10</t>
  </si>
  <si>
    <t>A-L06-Q02C2-01</t>
  </si>
  <si>
    <t>AL06G22</t>
  </si>
  <si>
    <t>A-L06-Q02C2-02</t>
  </si>
  <si>
    <t>AL06G34</t>
  </si>
  <si>
    <t>A-L06-Q02E</t>
  </si>
  <si>
    <t>AL06G41</t>
  </si>
  <si>
    <t>A-L06-QADA2</t>
  </si>
  <si>
    <t>AL06G37</t>
  </si>
  <si>
    <t>A-L06-S05</t>
  </si>
  <si>
    <t>AL06G16</t>
  </si>
  <si>
    <t>A-L06-S06</t>
  </si>
  <si>
    <t>AL06G43</t>
  </si>
  <si>
    <t>A-L07-F04</t>
  </si>
  <si>
    <t>L07</t>
  </si>
  <si>
    <t>AL07G11</t>
  </si>
  <si>
    <t>A-L07-F05</t>
  </si>
  <si>
    <t>AL07G46</t>
  </si>
  <si>
    <t>A-L07-K01-01</t>
  </si>
  <si>
    <t>AL07G19</t>
  </si>
  <si>
    <t>A-L07-K01-02</t>
  </si>
  <si>
    <t>AL07G23</t>
  </si>
  <si>
    <t>A-L07-K01-03</t>
  </si>
  <si>
    <t>AL07G27</t>
  </si>
  <si>
    <t>A-L07-K01B-01</t>
  </si>
  <si>
    <t>AL07G26</t>
  </si>
  <si>
    <t>A-L07-K01B-02</t>
  </si>
  <si>
    <t>AL07G30</t>
  </si>
  <si>
    <t>A-L07-K01C-01</t>
  </si>
  <si>
    <t>AL07G07</t>
  </si>
  <si>
    <t>A-L07-K01C-02</t>
  </si>
  <si>
    <t>AL07G31</t>
  </si>
  <si>
    <t>A-L07-K01C-03</t>
  </si>
  <si>
    <t>AL07G35</t>
  </si>
  <si>
    <t>A-L07-K01D</t>
  </si>
  <si>
    <t>AL07G39</t>
  </si>
  <si>
    <t>A-L07-K02-01</t>
  </si>
  <si>
    <t>AL07G25</t>
  </si>
  <si>
    <t>A-L07-K02-02</t>
  </si>
  <si>
    <t>AL07G29</t>
  </si>
  <si>
    <t>A-L07-K02B-01</t>
  </si>
  <si>
    <t>AL07G24</t>
  </si>
  <si>
    <t>A-L07-K02B-02</t>
  </si>
  <si>
    <t>AL07G28</t>
  </si>
  <si>
    <t>A-L07-K02B-03</t>
  </si>
  <si>
    <t>AL07G36</t>
  </si>
  <si>
    <t>A-L07-K02C1</t>
  </si>
  <si>
    <t>AL07G08</t>
  </si>
  <si>
    <t>A-L07-K02C2-01</t>
  </si>
  <si>
    <t>AL07G20</t>
  </si>
  <si>
    <t>A-L07-K02C2-02</t>
  </si>
  <si>
    <t>AL07G32</t>
  </si>
  <si>
    <t>A-L07-K02D1</t>
  </si>
  <si>
    <t>AL07G12</t>
  </si>
  <si>
    <t>A-L07-Q01</t>
  </si>
  <si>
    <t>AL07G21</t>
  </si>
  <si>
    <t>A-L07-Q01C-01</t>
  </si>
  <si>
    <t>AL07G05</t>
  </si>
  <si>
    <t>A-L07-Q01C-02</t>
  </si>
  <si>
    <t>AL07G09</t>
  </si>
  <si>
    <t>A-L07-Q01C-03</t>
  </si>
  <si>
    <t>AL07G33</t>
  </si>
  <si>
    <t>A-L07-Q01C1</t>
  </si>
  <si>
    <t>AL07G14</t>
  </si>
  <si>
    <t>A-L07-Q02C1-01</t>
  </si>
  <si>
    <t>AL07G06</t>
  </si>
  <si>
    <t>A-L07-Q02C1-02</t>
  </si>
  <si>
    <t>AL07G10</t>
  </si>
  <si>
    <t>A-L07-Q02C2-01</t>
  </si>
  <si>
    <t>AL07G22</t>
  </si>
  <si>
    <t>A-L07-Q02C2-02</t>
  </si>
  <si>
    <t>AL07G34</t>
  </si>
  <si>
    <t>A-L07-Q02E</t>
  </si>
  <si>
    <t>AL07G41</t>
  </si>
  <si>
    <t>A-L07-QADA2</t>
  </si>
  <si>
    <t>AL07G37</t>
  </si>
  <si>
    <t>A-L07-S05</t>
  </si>
  <si>
    <t>AL07G16</t>
  </si>
  <si>
    <t>A-L07-S06</t>
  </si>
  <si>
    <t>AL07G43</t>
  </si>
  <si>
    <t>A-L07-S08</t>
  </si>
  <si>
    <t>AL07G03</t>
  </si>
  <si>
    <t>S08</t>
  </si>
  <si>
    <t>Inferred – verify</t>
  </si>
  <si>
    <t>A-L07-S08A</t>
  </si>
  <si>
    <t>AL07G04</t>
  </si>
  <si>
    <t>S08A</t>
  </si>
  <si>
    <t>A-L08-F04</t>
  </si>
  <si>
    <t>L08</t>
  </si>
  <si>
    <t>AL08G11</t>
  </si>
  <si>
    <t>A-L08-F05</t>
  </si>
  <si>
    <t>AL08G46</t>
  </si>
  <si>
    <t>A-L08-K01-01</t>
  </si>
  <si>
    <t>AL08G19</t>
  </si>
  <si>
    <t>A-L08-K01-02</t>
  </si>
  <si>
    <t>AL08G23</t>
  </si>
  <si>
    <t>A-L08-K01-03</t>
  </si>
  <si>
    <t>AL08G27</t>
  </si>
  <si>
    <t>A-L08-K01B-01</t>
  </si>
  <si>
    <t>AL08G26</t>
  </si>
  <si>
    <t>A-L08-K01B-02</t>
  </si>
  <si>
    <t>AL08G30</t>
  </si>
  <si>
    <t>A-L08-K01C-01</t>
  </si>
  <si>
    <t>AL08G07</t>
  </si>
  <si>
    <t>A-L08-K01C-02</t>
  </si>
  <si>
    <t>AL08G31</t>
  </si>
  <si>
    <t>A-L08-K01C-03</t>
  </si>
  <si>
    <t>AL08G35</t>
  </si>
  <si>
    <t>A-L08-K01D</t>
  </si>
  <si>
    <t>AL08G39</t>
  </si>
  <si>
    <t>A-L08-K02-01</t>
  </si>
  <si>
    <t>AL08G25</t>
  </si>
  <si>
    <t>A-L08-K02-02</t>
  </si>
  <si>
    <t>AL08G29</t>
  </si>
  <si>
    <t>A-L08-K02B-01</t>
  </si>
  <si>
    <t>AL08G24</t>
  </si>
  <si>
    <t>A-L08-K02B-02</t>
  </si>
  <si>
    <t>AL08G28</t>
  </si>
  <si>
    <t>A-L08-K02B-03</t>
  </si>
  <si>
    <t>AL08G36</t>
  </si>
  <si>
    <t>A-L08-K02C1</t>
  </si>
  <si>
    <t>AL08G08</t>
  </si>
  <si>
    <t>A-L08-K02C2-01</t>
  </si>
  <si>
    <t>AL08G20</t>
  </si>
  <si>
    <t>A-L08-K02C2-02</t>
  </si>
  <si>
    <t>AL08G32</t>
  </si>
  <si>
    <t>A-L08-K02D1</t>
  </si>
  <si>
    <t>AL08G12</t>
  </si>
  <si>
    <t>A-L08-Q01</t>
  </si>
  <si>
    <t>AL08G21</t>
  </si>
  <si>
    <t>A-L08-Q01C-01</t>
  </si>
  <si>
    <t>AL08G05</t>
  </si>
  <si>
    <t>A-L08-Q01C-02</t>
  </si>
  <si>
    <t>AL08G09</t>
  </si>
  <si>
    <t>A-L08-Q01C-03</t>
  </si>
  <si>
    <t>AL08G33</t>
  </si>
  <si>
    <t>A-L08-Q01C-04</t>
  </si>
  <si>
    <t>AL08G37</t>
  </si>
  <si>
    <t>A-L08-Q01C1</t>
  </si>
  <si>
    <t>AL08G14</t>
  </si>
  <si>
    <t>A-L08-Q02C1-01</t>
  </si>
  <si>
    <t>AL08G06</t>
  </si>
  <si>
    <t>A-L08-Q02C1-02</t>
  </si>
  <si>
    <t>AL08G10</t>
  </si>
  <si>
    <t>A-L08-Q02C2-01</t>
  </si>
  <si>
    <t>AL08G22</t>
  </si>
  <si>
    <t>A-L08-Q02C2-02</t>
  </si>
  <si>
    <t>AL08G34</t>
  </si>
  <si>
    <t>A-L08-Q02E</t>
  </si>
  <si>
    <t>AL08G41</t>
  </si>
  <si>
    <t>A-L08-S05</t>
  </si>
  <si>
    <t>AL08G16</t>
  </si>
  <si>
    <t>A-L08-S06</t>
  </si>
  <si>
    <t>AL08G43</t>
  </si>
  <si>
    <t>A-L08-S08</t>
  </si>
  <si>
    <t>AL08G03</t>
  </si>
  <si>
    <t>A-L08-S08A</t>
  </si>
  <si>
    <t>AL08G04</t>
  </si>
  <si>
    <t>A-L09-F04</t>
  </si>
  <si>
    <t>L09</t>
  </si>
  <si>
    <t>AL09G11</t>
  </si>
  <si>
    <t>A-L09-F05</t>
  </si>
  <si>
    <t>AL09G46</t>
  </si>
  <si>
    <t>A-L09-K01-01</t>
  </si>
  <si>
    <t>AL09G19</t>
  </si>
  <si>
    <t>A-L09-K01-02</t>
  </si>
  <si>
    <t>AL09G23</t>
  </si>
  <si>
    <t>A-L09-K01-03</t>
  </si>
  <si>
    <t>AL09G27</t>
  </si>
  <si>
    <t>A-L09-K01B-01</t>
  </si>
  <si>
    <t>AL09G26</t>
  </si>
  <si>
    <t>A-L09-K01B-02</t>
  </si>
  <si>
    <t>AL09G30</t>
  </si>
  <si>
    <t>A-L09-K01C-01</t>
  </si>
  <si>
    <t>AL09G07</t>
  </si>
  <si>
    <t>A-L09-K01C-02</t>
  </si>
  <si>
    <t>AL09G31</t>
  </si>
  <si>
    <t>A-L09-K01C-03</t>
  </si>
  <si>
    <t>AL09G35</t>
  </si>
  <si>
    <t>A-L09-K01D</t>
  </si>
  <si>
    <t>AL09G39</t>
  </si>
  <si>
    <t>A-L09-K02-01</t>
  </si>
  <si>
    <t>AL09G25</t>
  </si>
  <si>
    <t>A-L09-K02-02</t>
  </si>
  <si>
    <t>AL09G29</t>
  </si>
  <si>
    <t>A-L09-K02B-01</t>
  </si>
  <si>
    <t>AL09G24</t>
  </si>
  <si>
    <t>A-L09-K02B-02</t>
  </si>
  <si>
    <t>AL09G28</t>
  </si>
  <si>
    <t>A-L09-K02B-03</t>
  </si>
  <si>
    <t>AL09G36</t>
  </si>
  <si>
    <t>A-L09-K02C1</t>
  </si>
  <si>
    <t>AL09G08</t>
  </si>
  <si>
    <t>A-L09-K02C2-01</t>
  </si>
  <si>
    <t>AL09G20</t>
  </si>
  <si>
    <t>A-L09-K02C2-02</t>
  </si>
  <si>
    <t>AL09G32</t>
  </si>
  <si>
    <t>A-L09-K02D1</t>
  </si>
  <si>
    <t>AL09G12</t>
  </si>
  <si>
    <t>A-L09-Q01</t>
  </si>
  <si>
    <t>AL09G21</t>
  </si>
  <si>
    <t>A-L09-Q01C-01</t>
  </si>
  <si>
    <t>AL09G05</t>
  </si>
  <si>
    <t>A-L09-Q01C-02</t>
  </si>
  <si>
    <t>AL09G09</t>
  </si>
  <si>
    <t>A-L09-Q01C-03</t>
  </si>
  <si>
    <t>AL09G33</t>
  </si>
  <si>
    <t>A-L09-Q01C-04</t>
  </si>
  <si>
    <t>AL09G37</t>
  </si>
  <si>
    <t>A-L09-Q01C1</t>
  </si>
  <si>
    <t>AL09G14</t>
  </si>
  <si>
    <t>A-L09-Q02C1-01</t>
  </si>
  <si>
    <t>AL09G06</t>
  </si>
  <si>
    <t>A-L09-Q02C1-02</t>
  </si>
  <si>
    <t>AL09G10</t>
  </si>
  <si>
    <t>A-L09-Q02C2-01</t>
  </si>
  <si>
    <t>AL09G22</t>
  </si>
  <si>
    <t>A-L09-Q02C2-02</t>
  </si>
  <si>
    <t>AL09G34</t>
  </si>
  <si>
    <t>A-L09-Q02E</t>
  </si>
  <si>
    <t>AL09G41</t>
  </si>
  <si>
    <t>A-L09-S05</t>
  </si>
  <si>
    <t>AL09G16</t>
  </si>
  <si>
    <t>A-L09-S06</t>
  </si>
  <si>
    <t>AL09G43</t>
  </si>
  <si>
    <t>A-L09-S08</t>
  </si>
  <si>
    <t>AL09G03</t>
  </si>
  <si>
    <t>A-L09-S08A</t>
  </si>
  <si>
    <t>AL09G04</t>
  </si>
  <si>
    <t>B-L01-F01</t>
  </si>
  <si>
    <t>Tower B</t>
  </si>
  <si>
    <t>L01</t>
  </si>
  <si>
    <t>BL01G63</t>
  </si>
  <si>
    <t>F01</t>
  </si>
  <si>
    <t>B-L01-F02</t>
  </si>
  <si>
    <t>BL01G90</t>
  </si>
  <si>
    <t>F02</t>
  </si>
  <si>
    <t>B-L01-K01A-01</t>
  </si>
  <si>
    <t>BL01G58</t>
  </si>
  <si>
    <t>K01A</t>
  </si>
  <si>
    <t>B-L01-K01A-02</t>
  </si>
  <si>
    <t>BL01G84</t>
  </si>
  <si>
    <t>B-L01-K01C1-01</t>
  </si>
  <si>
    <t>BL01G72</t>
  </si>
  <si>
    <t>K01C1</t>
  </si>
  <si>
    <t>B-L01-K01C1-02</t>
  </si>
  <si>
    <t>BL01G76</t>
  </si>
  <si>
    <t>B-L01-K01C1-03</t>
  </si>
  <si>
    <t>BL01G80</t>
  </si>
  <si>
    <t>B-L01-K02A</t>
  </si>
  <si>
    <t>BL01G82</t>
  </si>
  <si>
    <t>K02A</t>
  </si>
  <si>
    <t>B-L01-K02C1</t>
  </si>
  <si>
    <t>BL01G74</t>
  </si>
  <si>
    <t>B-L01-K03</t>
  </si>
  <si>
    <t>BL01G89</t>
  </si>
  <si>
    <t>K03</t>
  </si>
  <si>
    <t>B-L01-KADA1</t>
  </si>
  <si>
    <t>BL01G60</t>
  </si>
  <si>
    <t>KADA1</t>
  </si>
  <si>
    <t>King ADA</t>
  </si>
  <si>
    <t>B-L01-PS01-01</t>
  </si>
  <si>
    <t>BL01G59</t>
  </si>
  <si>
    <t>PS01</t>
  </si>
  <si>
    <t>Premium Suite</t>
  </si>
  <si>
    <t>B-L01-PS01-02</t>
  </si>
  <si>
    <t>BL01G75</t>
  </si>
  <si>
    <t>B-L01-Q01C</t>
  </si>
  <si>
    <t>BL01G83</t>
  </si>
  <si>
    <t>B-L01-Q01C1-01</t>
  </si>
  <si>
    <t>BL01G64</t>
  </si>
  <si>
    <t>B-L01-Q01C1-02</t>
  </si>
  <si>
    <t>BL01G70</t>
  </si>
  <si>
    <t>B-L01-Q01C1-03</t>
  </si>
  <si>
    <t>BL01G78</t>
  </si>
  <si>
    <t>B-L01-Q02C</t>
  </si>
  <si>
    <t>BL01G87</t>
  </si>
  <si>
    <t>Q02C</t>
  </si>
  <si>
    <t>B-L01-Q02C1</t>
  </si>
  <si>
    <t>BL01G62</t>
  </si>
  <si>
    <t>B-L01-Q02D</t>
  </si>
  <si>
    <t>BL01G85</t>
  </si>
  <si>
    <t>Q02D</t>
  </si>
  <si>
    <t>B-L01-Q04*</t>
  </si>
  <si>
    <t>BL01G71</t>
  </si>
  <si>
    <t>Q04*</t>
  </si>
  <si>
    <t>B-L01-Q06</t>
  </si>
  <si>
    <t>BL01G86</t>
  </si>
  <si>
    <t>Q06</t>
  </si>
  <si>
    <t>B-L01-Q07*-01</t>
  </si>
  <si>
    <t>BL01G61</t>
  </si>
  <si>
    <t>Q07*</t>
  </si>
  <si>
    <t>B-L01-Q07*-02</t>
  </si>
  <si>
    <t>BL01G77</t>
  </si>
  <si>
    <t>B-L01-S01</t>
  </si>
  <si>
    <t>BL01G49</t>
  </si>
  <si>
    <t>S01</t>
  </si>
  <si>
    <t>B-L01-S02</t>
  </si>
  <si>
    <t>BL01G51</t>
  </si>
  <si>
    <t>S02</t>
  </si>
  <si>
    <t>B-L01-S03</t>
  </si>
  <si>
    <t>BL01G66</t>
  </si>
  <si>
    <t>S03</t>
  </si>
  <si>
    <t>B-L01-S04</t>
  </si>
  <si>
    <t>BL01G81</t>
  </si>
  <si>
    <t>S04</t>
  </si>
  <si>
    <t>B-L02-F02</t>
  </si>
  <si>
    <t>BL02G90</t>
  </si>
  <si>
    <t>B-L02-F06</t>
  </si>
  <si>
    <t>BL02G63</t>
  </si>
  <si>
    <t>F06</t>
  </si>
  <si>
    <t>B-L02-K01-01</t>
  </si>
  <si>
    <t>BL02G53</t>
  </si>
  <si>
    <t>B-L02-K01-02</t>
  </si>
  <si>
    <t>BL02G77</t>
  </si>
  <si>
    <t>B-L02-K01A-01</t>
  </si>
  <si>
    <t>BL02G58</t>
  </si>
  <si>
    <t>B-L02-K01A-02</t>
  </si>
  <si>
    <t>BL02G76</t>
  </si>
  <si>
    <t>B-L02-K01A-03</t>
  </si>
  <si>
    <t>BL02G84</t>
  </si>
  <si>
    <t>B-L02-K01C</t>
  </si>
  <si>
    <t>BL02G81</t>
  </si>
  <si>
    <t>B-L02-K01C1-01</t>
  </si>
  <si>
    <t>BL02G72</t>
  </si>
  <si>
    <t>B-L02-K01C1-02</t>
  </si>
  <si>
    <t>BL02G80</t>
  </si>
  <si>
    <t>B-L02-K01D</t>
  </si>
  <si>
    <t>BL02G61</t>
  </si>
  <si>
    <t>B-L02-K02-01</t>
  </si>
  <si>
    <t>BL02G55</t>
  </si>
  <si>
    <t>B-L02-K02-02</t>
  </si>
  <si>
    <t>BL02G71</t>
  </si>
  <si>
    <t>B-L02-K02-03</t>
  </si>
  <si>
    <t>BL02G79</t>
  </si>
  <si>
    <t>B-L02-K02A-01</t>
  </si>
  <si>
    <t>BL02G74</t>
  </si>
  <si>
    <t>B-L02-K02A-02</t>
  </si>
  <si>
    <t>BL02G82</t>
  </si>
  <si>
    <t>B-L02-K02C-01</t>
  </si>
  <si>
    <t>BL02G59</t>
  </si>
  <si>
    <t>K02C</t>
  </si>
  <si>
    <t>B-L02-K02C-02</t>
  </si>
  <si>
    <t>BL02G75</t>
  </si>
  <si>
    <t>B-L02-K03</t>
  </si>
  <si>
    <t>BL02G89</t>
  </si>
  <si>
    <t>B-L02-KADA1</t>
  </si>
  <si>
    <t>BL02G60</t>
  </si>
  <si>
    <t>B-L02-Q01C</t>
  </si>
  <si>
    <t>BL02G83</t>
  </si>
  <si>
    <t>B-L02-Q01C1-01</t>
  </si>
  <si>
    <t>BL02G64</t>
  </si>
  <si>
    <t>B-L02-Q01C1-02</t>
  </si>
  <si>
    <t>BL02G70</t>
  </si>
  <si>
    <t>B-L02-Q01C1-03</t>
  </si>
  <si>
    <t>BL02G78</t>
  </si>
  <si>
    <t>B-L02-Q02C-01</t>
  </si>
  <si>
    <t>BL02G57</t>
  </si>
  <si>
    <t>B-L02-Q02C-02</t>
  </si>
  <si>
    <t>BL02G73</t>
  </si>
  <si>
    <t>B-L02-Q02C-03</t>
  </si>
  <si>
    <t>BL02G87</t>
  </si>
  <si>
    <t>B-L02-Q02C1</t>
  </si>
  <si>
    <t>BL02G62</t>
  </si>
  <si>
    <t>B-L02-Q02D</t>
  </si>
  <si>
    <t>BL02G85</t>
  </si>
  <si>
    <t>B-L02-Q04</t>
  </si>
  <si>
    <t>BL02G69</t>
  </si>
  <si>
    <t>Q04</t>
  </si>
  <si>
    <t>B-L02-Q05</t>
  </si>
  <si>
    <t>BL02G51</t>
  </si>
  <si>
    <t>Q05</t>
  </si>
  <si>
    <t>B-L02-Q06</t>
  </si>
  <si>
    <t>BL02G86</t>
  </si>
  <si>
    <t>B-L02-S07</t>
  </si>
  <si>
    <t>BL02G49</t>
  </si>
  <si>
    <t>S07</t>
  </si>
  <si>
    <t>B-L02-SADA</t>
  </si>
  <si>
    <t>BL02G66</t>
  </si>
  <si>
    <t>SADA</t>
  </si>
  <si>
    <t>Suite ADA</t>
  </si>
  <si>
    <t>B-L03-F02</t>
  </si>
  <si>
    <t>BL03G90</t>
  </si>
  <si>
    <t>B-L03-F06</t>
  </si>
  <si>
    <t>BL03G63</t>
  </si>
  <si>
    <t>B-L03-K01-01</t>
  </si>
  <si>
    <t>BL03G53</t>
  </si>
  <si>
    <t>B-L03-K01-02</t>
  </si>
  <si>
    <t>BL03G77</t>
  </si>
  <si>
    <t>B-L03-K01A-01</t>
  </si>
  <si>
    <t>BL03G58</t>
  </si>
  <si>
    <t>B-L03-K01A-02</t>
  </si>
  <si>
    <t>BL03G76</t>
  </si>
  <si>
    <t>B-L03-K01A-03</t>
  </si>
  <si>
    <t>BL03G84</t>
  </si>
  <si>
    <t>B-L03-K01C</t>
  </si>
  <si>
    <t>BL03G81</t>
  </si>
  <si>
    <t>B-L03-K01C1-01</t>
  </si>
  <si>
    <t>BL03G72</t>
  </si>
  <si>
    <t>B-L03-K01C1-02</t>
  </si>
  <si>
    <t>BL03G80</t>
  </si>
  <si>
    <t>B-L03-K01D</t>
  </si>
  <si>
    <t>BL03G61</t>
  </si>
  <si>
    <t>B-L03-K02-01</t>
  </si>
  <si>
    <t>BL03G55</t>
  </si>
  <si>
    <t>B-L03-K02-02</t>
  </si>
  <si>
    <t>BL03G71</t>
  </si>
  <si>
    <t>B-L03-K02-03</t>
  </si>
  <si>
    <t>BL03G79</t>
  </si>
  <si>
    <t>B-L03-K02A-01</t>
  </si>
  <si>
    <t>BL03G74</t>
  </si>
  <si>
    <t>B-L03-K02A-02</t>
  </si>
  <si>
    <t>BL03G82</t>
  </si>
  <si>
    <t>B-L03-K02C-01</t>
  </si>
  <si>
    <t>BL03G59</t>
  </si>
  <si>
    <t>B-L03-K02C-02</t>
  </si>
  <si>
    <t>BL03G75</t>
  </si>
  <si>
    <t>B-L03-K03</t>
  </si>
  <si>
    <t>BL03G89</t>
  </si>
  <si>
    <t>B-L03-KADA1</t>
  </si>
  <si>
    <t>BL03G60</t>
  </si>
  <si>
    <t>B-L03-Q01C</t>
  </si>
  <si>
    <t>BL03G83</t>
  </si>
  <si>
    <t>B-L03-Q01C1-01</t>
  </si>
  <si>
    <t>BL03G64</t>
  </si>
  <si>
    <t>B-L03-Q01C1-02</t>
  </si>
  <si>
    <t>BL03G70</t>
  </si>
  <si>
    <t>B-L03-Q01C1-03</t>
  </si>
  <si>
    <t>BL03G78</t>
  </si>
  <si>
    <t>B-L03-Q02C-01</t>
  </si>
  <si>
    <t>BL03G57</t>
  </si>
  <si>
    <t>B-L03-Q02C-02</t>
  </si>
  <si>
    <t>BL03G73</t>
  </si>
  <si>
    <t>B-L03-Q02C-03</t>
  </si>
  <si>
    <t>BL03G87</t>
  </si>
  <si>
    <t>B-L03-Q02C1</t>
  </si>
  <si>
    <t>BL03G62</t>
  </si>
  <si>
    <t>B-L03-Q02D</t>
  </si>
  <si>
    <t>BL03G85</t>
  </si>
  <si>
    <t>B-L03-Q04</t>
  </si>
  <si>
    <t>BL03G69</t>
  </si>
  <si>
    <t>B-L03-Q05</t>
  </si>
  <si>
    <t>BL03G51</t>
  </si>
  <si>
    <t>B-L03-Q06</t>
  </si>
  <si>
    <t>BL03G86</t>
  </si>
  <si>
    <t>B-L03-S03</t>
  </si>
  <si>
    <t>BL03G66</t>
  </si>
  <si>
    <t>B-L03-S07</t>
  </si>
  <si>
    <t>BL03G49</t>
  </si>
  <si>
    <t>B-L04-F02</t>
  </si>
  <si>
    <t>BL04G90</t>
  </si>
  <si>
    <t>B-L04-F06</t>
  </si>
  <si>
    <t>BL04G63</t>
  </si>
  <si>
    <t>B-L04-K01-01</t>
  </si>
  <si>
    <t>BL04G53</t>
  </si>
  <si>
    <t>B-L04-K01-02</t>
  </si>
  <si>
    <t>BL04G77</t>
  </si>
  <si>
    <t>B-L04-K01A-01</t>
  </si>
  <si>
    <t>BL04G58</t>
  </si>
  <si>
    <t>B-L04-K01A-02</t>
  </si>
  <si>
    <t>BL04G76</t>
  </si>
  <si>
    <t>B-L04-K01A-03</t>
  </si>
  <si>
    <t>BL04G84</t>
  </si>
  <si>
    <t>B-L04-K01C</t>
  </si>
  <si>
    <t>BL04G81</t>
  </si>
  <si>
    <t>B-L04-K01C1-01</t>
  </si>
  <si>
    <t>BL04G72</t>
  </si>
  <si>
    <t>B-L04-K01C1-02</t>
  </si>
  <si>
    <t>BL04G80</t>
  </si>
  <si>
    <t>B-L04-K01D</t>
  </si>
  <si>
    <t>BL04G61</t>
  </si>
  <si>
    <t>B-L04-K02-01</t>
  </si>
  <si>
    <t>BL04G55</t>
  </si>
  <si>
    <t>B-L04-K02-02</t>
  </si>
  <si>
    <t>BL04G71</t>
  </si>
  <si>
    <t>B-L04-K02-03</t>
  </si>
  <si>
    <t>BL04G79</t>
  </si>
  <si>
    <t>B-L04-K02A-01</t>
  </si>
  <si>
    <t>BL04G74</t>
  </si>
  <si>
    <t>B-L04-K02A-02</t>
  </si>
  <si>
    <t>BL04G82</t>
  </si>
  <si>
    <t>B-L04-K02C-01</t>
  </si>
  <si>
    <t>BL04G59</t>
  </si>
  <si>
    <t>B-L04-K02C-02</t>
  </si>
  <si>
    <t>BL04G75</t>
  </si>
  <si>
    <t>B-L04-K03</t>
  </si>
  <si>
    <t>BL04G89</t>
  </si>
  <si>
    <t>B-L04-KADA2</t>
  </si>
  <si>
    <t>BL04G60</t>
  </si>
  <si>
    <t>KADA2</t>
  </si>
  <si>
    <t>B-L04-Q01C</t>
  </si>
  <si>
    <t>BL04G83</t>
  </si>
  <si>
    <t>B-L04-Q01C1-01</t>
  </si>
  <si>
    <t>BL04G64</t>
  </si>
  <si>
    <t>B-L04-Q01C1-02</t>
  </si>
  <si>
    <t>BL04G70</t>
  </si>
  <si>
    <t>B-L04-Q01C1-03</t>
  </si>
  <si>
    <t>BL04G78</t>
  </si>
  <si>
    <t>B-L04-Q02C-01</t>
  </si>
  <si>
    <t>BL04G57</t>
  </si>
  <si>
    <t>B-L04-Q02C-02</t>
  </si>
  <si>
    <t>BL04G73</t>
  </si>
  <si>
    <t>B-L04-Q02C-03</t>
  </si>
  <si>
    <t>BL04G87</t>
  </si>
  <si>
    <t>B-L04-Q02C1</t>
  </si>
  <si>
    <t>BL04G62</t>
  </si>
  <si>
    <t>B-L04-Q02D</t>
  </si>
  <si>
    <t>BL04G85</t>
  </si>
  <si>
    <t>B-L04-Q04</t>
  </si>
  <si>
    <t>BL04G69</t>
  </si>
  <si>
    <t>B-L04-Q05</t>
  </si>
  <si>
    <t>BL04G51</t>
  </si>
  <si>
    <t>B-L04-Q06</t>
  </si>
  <si>
    <t>BL04G86</t>
  </si>
  <si>
    <t>B-L04-S03</t>
  </si>
  <si>
    <t>BL04G66</t>
  </si>
  <si>
    <t>B-L04-S07</t>
  </si>
  <si>
    <t>BL04G49</t>
  </si>
  <si>
    <t>B-L05-F02</t>
  </si>
  <si>
    <t>BL05G90</t>
  </si>
  <si>
    <t>B-L05-F06</t>
  </si>
  <si>
    <t>BL05G63</t>
  </si>
  <si>
    <t>B-L05-K01-01</t>
  </si>
  <si>
    <t>BL05G53</t>
  </si>
  <si>
    <t>B-L05-K01-02</t>
  </si>
  <si>
    <t>BL05G77</t>
  </si>
  <si>
    <t>B-L05-K01A-01</t>
  </si>
  <si>
    <t>BL05G58</t>
  </si>
  <si>
    <t>B-L05-K01A-02</t>
  </si>
  <si>
    <t>BL05G76</t>
  </si>
  <si>
    <t>B-L05-K01A-03</t>
  </si>
  <si>
    <t>BL05G84</t>
  </si>
  <si>
    <t>B-L05-K01C</t>
  </si>
  <si>
    <t>BL05G81</t>
  </si>
  <si>
    <t>B-L05-K01C1-01</t>
  </si>
  <si>
    <t>BL05G72</t>
  </si>
  <si>
    <t>B-L05-K01C1-02</t>
  </si>
  <si>
    <t>BL05G80</t>
  </si>
  <si>
    <t>B-L05-K01D</t>
  </si>
  <si>
    <t>BL05G61</t>
  </si>
  <si>
    <t>B-L05-K02-01</t>
  </si>
  <si>
    <t>BL05G55</t>
  </si>
  <si>
    <t>B-L05-K02-02</t>
  </si>
  <si>
    <t>BL05G71</t>
  </si>
  <si>
    <t>B-L05-K02-03</t>
  </si>
  <si>
    <t>BL05G79</t>
  </si>
  <si>
    <t>B-L05-K02A-01</t>
  </si>
  <si>
    <t>BL05G74</t>
  </si>
  <si>
    <t>B-L05-K02A-02</t>
  </si>
  <si>
    <t>BL05G82</t>
  </si>
  <si>
    <t>B-L05-K02C-01</t>
  </si>
  <si>
    <t>BL05G59</t>
  </si>
  <si>
    <t>B-L05-K02C-02</t>
  </si>
  <si>
    <t>BL05G75</t>
  </si>
  <si>
    <t>B-L05-K03</t>
  </si>
  <si>
    <t>BL05G89</t>
  </si>
  <si>
    <t>B-L05-KADA2</t>
  </si>
  <si>
    <t>BL05G60</t>
  </si>
  <si>
    <t>B-L05-Q01C</t>
  </si>
  <si>
    <t>BL05G83</t>
  </si>
  <si>
    <t>B-L05-Q01C1-01</t>
  </si>
  <si>
    <t>BL05G64</t>
  </si>
  <si>
    <t>B-L05-Q01C1-02</t>
  </si>
  <si>
    <t>BL05G70</t>
  </si>
  <si>
    <t>B-L05-Q01C1-03</t>
  </si>
  <si>
    <t>BL05G78</t>
  </si>
  <si>
    <t>B-L05-Q02C-01</t>
  </si>
  <si>
    <t>BL05G57</t>
  </si>
  <si>
    <t>B-L05-Q02C-02</t>
  </si>
  <si>
    <t>BL05G73</t>
  </si>
  <si>
    <t>B-L05-Q02C-03</t>
  </si>
  <si>
    <t>BL05G87</t>
  </si>
  <si>
    <t>B-L05-Q02C1</t>
  </si>
  <si>
    <t>BL05G62</t>
  </si>
  <si>
    <t>B-L05-Q02D</t>
  </si>
  <si>
    <t>BL05G85</t>
  </si>
  <si>
    <t>B-L05-Q04</t>
  </si>
  <si>
    <t>BL05G69</t>
  </si>
  <si>
    <t>B-L05-Q05</t>
  </si>
  <si>
    <t>BL05G51</t>
  </si>
  <si>
    <t>B-L05-Q06</t>
  </si>
  <si>
    <t>BL05G86</t>
  </si>
  <si>
    <t>B-L05-S03</t>
  </si>
  <si>
    <t>BL05G66</t>
  </si>
  <si>
    <t>B-L05-S07</t>
  </si>
  <si>
    <t>BL05G49</t>
  </si>
  <si>
    <t>B-L06-F02</t>
  </si>
  <si>
    <t>BL06G90</t>
  </si>
  <si>
    <t>B-L06-F06</t>
  </si>
  <si>
    <t>BL06G63</t>
  </si>
  <si>
    <t>B-L06-K01-01</t>
  </si>
  <si>
    <t>BL06G53</t>
  </si>
  <si>
    <t>B-L06-K01-02</t>
  </si>
  <si>
    <t>BL06G77</t>
  </si>
  <si>
    <t>B-L06-K01A-01</t>
  </si>
  <si>
    <t>BL06G58</t>
  </si>
  <si>
    <t>B-L06-K01A-02</t>
  </si>
  <si>
    <t>BL06G76</t>
  </si>
  <si>
    <t>B-L06-K01A-03</t>
  </si>
  <si>
    <t>BL06G84</t>
  </si>
  <si>
    <t>B-L06-K01C</t>
  </si>
  <si>
    <t>BL06G81</t>
  </si>
  <si>
    <t>B-L06-K01C1-01</t>
  </si>
  <si>
    <t>BL06G72</t>
  </si>
  <si>
    <t>B-L06-K01C1-02</t>
  </si>
  <si>
    <t>BL06G80</t>
  </si>
  <si>
    <t>B-L06-K01D</t>
  </si>
  <si>
    <t>BL06G61</t>
  </si>
  <si>
    <t>B-L06-K02-01</t>
  </si>
  <si>
    <t>BL06G55</t>
  </si>
  <si>
    <t>B-L06-K02-02</t>
  </si>
  <si>
    <t>BL06G71</t>
  </si>
  <si>
    <t>B-L06-K02-03</t>
  </si>
  <si>
    <t>BL06G79</t>
  </si>
  <si>
    <t>B-L06-K02A-01</t>
  </si>
  <si>
    <t>BL06G74</t>
  </si>
  <si>
    <t>B-L06-K02A-02</t>
  </si>
  <si>
    <t>BL06G82</t>
  </si>
  <si>
    <t>B-L06-K02C-01</t>
  </si>
  <si>
    <t>BL06G59</t>
  </si>
  <si>
    <t>B-L06-K02C-02</t>
  </si>
  <si>
    <t>BL06G75</t>
  </si>
  <si>
    <t>B-L06-K03</t>
  </si>
  <si>
    <t>BL06G89</t>
  </si>
  <si>
    <t>B-L06-KADA2</t>
  </si>
  <si>
    <t>BL06G60</t>
  </si>
  <si>
    <t>B-L06-Q01C</t>
  </si>
  <si>
    <t>BL06G83</t>
  </si>
  <si>
    <t>B-L06-Q01C1-01</t>
  </si>
  <si>
    <t>BL06G64</t>
  </si>
  <si>
    <t>B-L06-Q01C1-02</t>
  </si>
  <si>
    <t>BL06G70</t>
  </si>
  <si>
    <t>B-L06-Q01C1-03</t>
  </si>
  <si>
    <t>BL06G78</t>
  </si>
  <si>
    <t>B-L06-Q02C-01</t>
  </si>
  <si>
    <t>BL06G57</t>
  </si>
  <si>
    <t>B-L06-Q02C-02</t>
  </si>
  <si>
    <t>BL06G73</t>
  </si>
  <si>
    <t>B-L06-Q02C-03</t>
  </si>
  <si>
    <t>BL06G87</t>
  </si>
  <si>
    <t>B-L06-Q02C1</t>
  </si>
  <si>
    <t>BL06G62</t>
  </si>
  <si>
    <t>B-L06-Q02D</t>
  </si>
  <si>
    <t>BL06G85</t>
  </si>
  <si>
    <t>B-L06-Q04</t>
  </si>
  <si>
    <t>BL06G69</t>
  </si>
  <si>
    <t>B-L06-Q05</t>
  </si>
  <si>
    <t>BL06G51</t>
  </si>
  <si>
    <t>B-L06-Q06</t>
  </si>
  <si>
    <t>BL06G86</t>
  </si>
  <si>
    <t>B-L06-S03</t>
  </si>
  <si>
    <t>BL06G66</t>
  </si>
  <si>
    <t>B-L06-S07</t>
  </si>
  <si>
    <t>BL06G49</t>
  </si>
  <si>
    <t>B-L07-F02</t>
  </si>
  <si>
    <t>BL07G88</t>
  </si>
  <si>
    <t>B-L07-F06</t>
  </si>
  <si>
    <t>BL07G63</t>
  </si>
  <si>
    <t>B-L07-K01A-01</t>
  </si>
  <si>
    <t>BL07G58</t>
  </si>
  <si>
    <t>B-L07-K01A-02</t>
  </si>
  <si>
    <t>BL07G76</t>
  </si>
  <si>
    <t>B-L07-K01A-03</t>
  </si>
  <si>
    <t>BL07G84</t>
  </si>
  <si>
    <t>B-L07-K01C1-01</t>
  </si>
  <si>
    <t>BL07G72</t>
  </si>
  <si>
    <t>Type per Room Matrix (drawing shows K01C)</t>
  </si>
  <si>
    <t>B-L07-K01C1-02</t>
  </si>
  <si>
    <t>BL07G80</t>
  </si>
  <si>
    <t>B-L07-K02A-01</t>
  </si>
  <si>
    <t>BL07G74</t>
  </si>
  <si>
    <t>B-L07-K02A-02</t>
  </si>
  <si>
    <t>BL07G82</t>
  </si>
  <si>
    <t>B-L07-KADA2</t>
  </si>
  <si>
    <t>BL07G60</t>
  </si>
  <si>
    <t>B-L07-PS02</t>
  </si>
  <si>
    <t>BL07G51</t>
  </si>
  <si>
    <t>PS02</t>
  </si>
  <si>
    <t>B-L07-PS03-01</t>
  </si>
  <si>
    <t>BL07G59</t>
  </si>
  <si>
    <t>PS03</t>
  </si>
  <si>
    <t>B-L07-PS03-02</t>
  </si>
  <si>
    <t>BL07G75</t>
  </si>
  <si>
    <t>B-L07-Q01C</t>
  </si>
  <si>
    <t>BL07G83</t>
  </si>
  <si>
    <t>B-L07-Q01C1-01</t>
  </si>
  <si>
    <t>BL07G64</t>
  </si>
  <si>
    <t>B-L07-Q01C1-02</t>
  </si>
  <si>
    <t>BL07G70</t>
  </si>
  <si>
    <t>B-L07-Q01C1-03</t>
  </si>
  <si>
    <t>BL07G78</t>
  </si>
  <si>
    <t>B-L07-Q02C1</t>
  </si>
  <si>
    <t>BL07G62</t>
  </si>
  <si>
    <t>B-L07-Q02E</t>
  </si>
  <si>
    <t>BL07G85</t>
  </si>
  <si>
    <t>B-L07-Q04</t>
  </si>
  <si>
    <t>BL07G69</t>
  </si>
  <si>
    <t>B-L07-Q06</t>
  </si>
  <si>
    <t>BL07G86</t>
  </si>
  <si>
    <t>B-L07-Q07-01</t>
  </si>
  <si>
    <t>BL07G61</t>
  </si>
  <si>
    <t>Q07</t>
  </si>
  <si>
    <t>B-L07-Q07-02</t>
  </si>
  <si>
    <t>BL07G77</t>
  </si>
  <si>
    <t>B-L07-S03</t>
  </si>
  <si>
    <t>BL07G66</t>
  </si>
  <si>
    <t>B-L07-S09</t>
  </si>
  <si>
    <t>BL07G81</t>
  </si>
  <si>
    <t>S09</t>
  </si>
  <si>
    <t>B-L07-S10</t>
  </si>
  <si>
    <t>BL07G87</t>
  </si>
  <si>
    <t>S10</t>
  </si>
  <si>
    <t>B-L08-F02</t>
  </si>
  <si>
    <t>BL08G88</t>
  </si>
  <si>
    <t>B-L08-F06</t>
  </si>
  <si>
    <t>BL08G63</t>
  </si>
  <si>
    <t>B-L08-F07</t>
  </si>
  <si>
    <t>BL08G74</t>
  </si>
  <si>
    <t>F07</t>
  </si>
  <si>
    <t>B-L08-F08</t>
  </si>
  <si>
    <t>BL08G76</t>
  </si>
  <si>
    <t>F08</t>
  </si>
  <si>
    <t>B-L08-K01A-01</t>
  </si>
  <si>
    <t>BL08G58</t>
  </si>
  <si>
    <t>B-L08-K01A-02</t>
  </si>
  <si>
    <t>BL08G80</t>
  </si>
  <si>
    <t>B-L08-K01A-03</t>
  </si>
  <si>
    <t>BL08G84</t>
  </si>
  <si>
    <t>B-L08-K02A</t>
  </si>
  <si>
    <t>BL08G82</t>
  </si>
  <si>
    <t>B-L08-KADA2</t>
  </si>
  <si>
    <t>BL08G60</t>
  </si>
  <si>
    <t>B-L08-PS02</t>
  </si>
  <si>
    <t>BL08G51</t>
  </si>
  <si>
    <t>B-L08-PS03-01</t>
  </si>
  <si>
    <t>BL08G59</t>
  </si>
  <si>
    <t>B-L08-PS03-02</t>
  </si>
  <si>
    <t>BL08G75</t>
  </si>
  <si>
    <t>B-L08-Q01C</t>
  </si>
  <si>
    <t>BL08G83</t>
  </si>
  <si>
    <t>B-L08-Q01C1-01</t>
  </si>
  <si>
    <t>BL08G64</t>
  </si>
  <si>
    <t>B-L08-Q01C1-02</t>
  </si>
  <si>
    <t>BL08G70</t>
  </si>
  <si>
    <t>B-L08-Q02C1-01</t>
  </si>
  <si>
    <t>BL08G62</t>
  </si>
  <si>
    <t>B-L08-Q02C1-02</t>
  </si>
  <si>
    <t>BL08G78</t>
  </si>
  <si>
    <t>B-L08-Q02E</t>
  </si>
  <si>
    <t>BL08G85</t>
  </si>
  <si>
    <t>Type per Room Matrix (drawing shows Q02C)</t>
  </si>
  <si>
    <t>B-L08-Q04</t>
  </si>
  <si>
    <t>BL08G69</t>
  </si>
  <si>
    <t>B-L08-Q06</t>
  </si>
  <si>
    <t>BL08G86</t>
  </si>
  <si>
    <t>B-L08-Q07-01</t>
  </si>
  <si>
    <t>BL08G61</t>
  </si>
  <si>
    <t>B-L08-Q07-02</t>
  </si>
  <si>
    <t>BL08G77</t>
  </si>
  <si>
    <t>B-L08-S03</t>
  </si>
  <si>
    <t>BL08G66</t>
  </si>
  <si>
    <t>B-L08-S09</t>
  </si>
  <si>
    <t>BL08G81</t>
  </si>
  <si>
    <t>B-L08-S10</t>
  </si>
  <si>
    <t>BL08G87</t>
  </si>
  <si>
    <t>B-L09-F02</t>
  </si>
  <si>
    <t>BL09G88</t>
  </si>
  <si>
    <t>B-L09-F06</t>
  </si>
  <si>
    <t>BL09G63</t>
  </si>
  <si>
    <t>B-L09-F07</t>
  </si>
  <si>
    <t>BL09G74</t>
  </si>
  <si>
    <t>B-L09-F08</t>
  </si>
  <si>
    <t>BL09G76</t>
  </si>
  <si>
    <t>B-L09-K01A-01</t>
  </si>
  <si>
    <t>BL09G58</t>
  </si>
  <si>
    <t>B-L09-K01A-02</t>
  </si>
  <si>
    <t>BL09G80</t>
  </si>
  <si>
    <t>B-L09-K01A-03</t>
  </si>
  <si>
    <t>BL09G84</t>
  </si>
  <si>
    <t>B-L09-K02A</t>
  </si>
  <si>
    <t>BL09G82</t>
  </si>
  <si>
    <t>B-L09-KADA2</t>
  </si>
  <si>
    <t>BL09G60</t>
  </si>
  <si>
    <t>B-L09-PS02</t>
  </si>
  <si>
    <t>BL09G51</t>
  </si>
  <si>
    <t>B-L09-PS03-01</t>
  </si>
  <si>
    <t>BL09G59</t>
  </si>
  <si>
    <t>B-L09-PS03-02</t>
  </si>
  <si>
    <t>BL09G75</t>
  </si>
  <si>
    <t>B-L09-Q01C</t>
  </si>
  <si>
    <t>BL09G83</t>
  </si>
  <si>
    <t>B-L09-Q01C1-01</t>
  </si>
  <si>
    <t>BL09G64</t>
  </si>
  <si>
    <t>B-L09-Q01C1-02</t>
  </si>
  <si>
    <t>BL09G70</t>
  </si>
  <si>
    <t>B-L09-Q02C1-01</t>
  </si>
  <si>
    <t>BL09G62</t>
  </si>
  <si>
    <t>B-L09-Q02C1-02</t>
  </si>
  <si>
    <t>BL09G78</t>
  </si>
  <si>
    <t>B-L09-Q02E</t>
  </si>
  <si>
    <t>BL09G85</t>
  </si>
  <si>
    <t>B-L09-Q04</t>
  </si>
  <si>
    <t>BL09G69</t>
  </si>
  <si>
    <t>B-L09-Q06</t>
  </si>
  <si>
    <t>BL09G86</t>
  </si>
  <si>
    <t>B-L09-Q07-01</t>
  </si>
  <si>
    <t>BL09G61</t>
  </si>
  <si>
    <t>B-L09-Q07-02</t>
  </si>
  <si>
    <t>BL09G77</t>
  </si>
  <si>
    <t>B-L09-S03</t>
  </si>
  <si>
    <t>BL09G66</t>
  </si>
  <si>
    <t>B-L09-S09</t>
  </si>
  <si>
    <t>BL09G81</t>
  </si>
  <si>
    <t>B-L09-S10</t>
  </si>
  <si>
    <t>BL09G87</t>
  </si>
  <si>
    <t>ID SD Reference</t>
  </si>
  <si>
    <t>Coordination Sketch</t>
  </si>
  <si>
    <t>Coordination Sketch Date</t>
  </si>
  <si>
    <t>ID SD</t>
  </si>
  <si>
    <t>Drainage SD</t>
  </si>
  <si>
    <t>Water Supply SD</t>
  </si>
  <si>
    <t>Chilled Water SD</t>
  </si>
  <si>
    <t>Fire Fighting SD</t>
  </si>
  <si>
    <t>AC SD</t>
  </si>
  <si>
    <t>Ventilation SD</t>
  </si>
  <si>
    <t>CDP SD</t>
  </si>
  <si>
    <t>Small Power SD</t>
  </si>
  <si>
    <t>Lighting SD</t>
  </si>
  <si>
    <t>ICT System GRMS SD</t>
  </si>
  <si>
    <t>ICT GRMS Lighting Control SD</t>
  </si>
  <si>
    <t>rev.</t>
  </si>
  <si>
    <t>Workflow</t>
  </si>
  <si>
    <t>Status</t>
  </si>
  <si>
    <t>WPH-ETC-DRW-SDW-IND-00-ZZZ-42301</t>
  </si>
  <si>
    <t>0</t>
  </si>
  <si>
    <t>B</t>
  </si>
  <si>
    <t>WF-054591</t>
  </si>
  <si>
    <t>UR</t>
  </si>
  <si>
    <t>WF-054503</t>
  </si>
  <si>
    <t>WF-054602</t>
  </si>
  <si>
    <t>WF-054508</t>
  </si>
  <si>
    <t>WF-053425</t>
  </si>
  <si>
    <t>WF-053212</t>
  </si>
  <si>
    <t>WF-054645</t>
  </si>
  <si>
    <t>WF-053780</t>
  </si>
  <si>
    <t> </t>
  </si>
  <si>
    <t>TBS</t>
  </si>
  <si>
    <t>WF-048822</t>
  </si>
  <si>
    <t>WPH-ETC-DRW-SDW-IND-00-ZZZ-42401</t>
  </si>
  <si>
    <t>WF-053660</t>
  </si>
  <si>
    <t>WF-048580</t>
  </si>
  <si>
    <t>WF-045331</t>
  </si>
  <si>
    <t>WF-048577</t>
  </si>
  <si>
    <t>WF-048036</t>
  </si>
  <si>
    <t>WF-048035</t>
  </si>
  <si>
    <t>WF-048696</t>
  </si>
  <si>
    <t>WF-046760</t>
  </si>
  <si>
    <t>WF-048309</t>
  </si>
  <si>
    <t>WPH-ETC-DRW-SDW-IND-00-ZZZ-42501</t>
  </si>
  <si>
    <t>WF-053198</t>
  </si>
  <si>
    <t>WF-053210</t>
  </si>
  <si>
    <t>WF-053191</t>
  </si>
  <si>
    <t>WF-053204</t>
  </si>
  <si>
    <t>C</t>
  </si>
  <si>
    <t>WF-053188</t>
  </si>
  <si>
    <t>WF-046367</t>
  </si>
  <si>
    <t>WF-053161</t>
  </si>
  <si>
    <t>WF-048490</t>
  </si>
  <si>
    <t>(no drawing number in legend)</t>
  </si>
  <si>
    <t>WF-053529</t>
  </si>
  <si>
    <t>WF-053535</t>
  </si>
  <si>
    <t>WF-053525</t>
  </si>
  <si>
    <t>WF-053528</t>
  </si>
  <si>
    <t>WF-053531</t>
  </si>
  <si>
    <t>WF-053537</t>
  </si>
  <si>
    <t>WF-053522</t>
  </si>
  <si>
    <t>WF-047609</t>
  </si>
  <si>
    <t>WF-053874</t>
  </si>
  <si>
    <t>WF-048805</t>
  </si>
  <si>
    <t>WPH-ETC-DRW-SDW-IND-00-ZZZ-42801</t>
  </si>
  <si>
    <t>WF-053147</t>
  </si>
  <si>
    <t>WF-052749</t>
  </si>
  <si>
    <t>WF-045414</t>
  </si>
  <si>
    <t>WF-052747</t>
  </si>
  <si>
    <t>WF-052748</t>
  </si>
  <si>
    <t>WF-052756</t>
  </si>
  <si>
    <t>WF-052743</t>
  </si>
  <si>
    <t>WF-046286</t>
  </si>
  <si>
    <t>WF-051845</t>
  </si>
  <si>
    <t>WF-048485</t>
  </si>
  <si>
    <t>WPH-ETC-DRW-SDW-IND-00-ZZZ-42901</t>
  </si>
  <si>
    <t>WF-053552</t>
  </si>
  <si>
    <t>WF-053536</t>
  </si>
  <si>
    <t>WF-053547</t>
  </si>
  <si>
    <t>WF-053556</t>
  </si>
  <si>
    <t>WF-053533</t>
  </si>
  <si>
    <t>WF-053538</t>
  </si>
  <si>
    <t>WF-053544</t>
  </si>
  <si>
    <t>WF-048038</t>
  </si>
  <si>
    <t>WF-053372</t>
  </si>
  <si>
    <t>WF-048806</t>
  </si>
  <si>
    <t>WPH-ETC-DRW-SDW-IND-00-ZZZ-43001</t>
  </si>
  <si>
    <t>WF-052880</t>
  </si>
  <si>
    <t>WF-052873</t>
  </si>
  <si>
    <t>WF-045416</t>
  </si>
  <si>
    <t>WF-052881</t>
  </si>
  <si>
    <t>WF-052871</t>
  </si>
  <si>
    <t>WF-052876</t>
  </si>
  <si>
    <t>WF-052772</t>
  </si>
  <si>
    <t>WF-048315</t>
  </si>
  <si>
    <t>WF-050831</t>
  </si>
  <si>
    <t>WF-048744</t>
  </si>
  <si>
    <t>WPH-ETC-DRW-SDW-IND-00-ZZZ-43101</t>
  </si>
  <si>
    <t>WF-048250</t>
  </si>
  <si>
    <t>WF-051908</t>
  </si>
  <si>
    <t>WF-048736</t>
  </si>
  <si>
    <t>WPH-ETC-DRW-SDW-IND-00-ZZZ-43201</t>
  </si>
  <si>
    <t>WF-050717</t>
  </si>
  <si>
    <t>WF-048742</t>
  </si>
  <si>
    <t>WPH-ETC-DRW-SDW-IND-00-ZZZ-43301</t>
  </si>
  <si>
    <t>WF-049298</t>
  </si>
  <si>
    <t>WF-049294</t>
  </si>
  <si>
    <t>WF-045045</t>
  </si>
  <si>
    <t>WF-048415</t>
  </si>
  <si>
    <t>WF-049292</t>
  </si>
  <si>
    <t>WF-049295</t>
  </si>
  <si>
    <t>WF-049347</t>
  </si>
  <si>
    <t>WF-047595</t>
  </si>
  <si>
    <t>WF-051909</t>
  </si>
  <si>
    <t>WF-051923</t>
  </si>
  <si>
    <t>WPH-ETC-DRW-SDW-IND-00-ZZZ-40301</t>
  </si>
  <si>
    <t>Not Provided</t>
  </si>
  <si>
    <t>WF-053783</t>
  </si>
  <si>
    <t>WF-054654</t>
  </si>
  <si>
    <t>WF-051390</t>
  </si>
  <si>
    <t>WF-054615</t>
  </si>
  <si>
    <t>WF-051910</t>
  </si>
  <si>
    <t>WF-052891</t>
  </si>
  <si>
    <t>WF-053664</t>
  </si>
  <si>
    <t>WF-054248</t>
  </si>
  <si>
    <t>WPH-ETC-DRW-SDW-IND-00-ZZZ-40701</t>
  </si>
  <si>
    <t>WF-054715</t>
  </si>
  <si>
    <t>WF-051386</t>
  </si>
  <si>
    <t>WF-054716</t>
  </si>
  <si>
    <t>WPH-ETC-DRW-SDW-IND-00-ZZZ-41101</t>
  </si>
  <si>
    <t>WF-053373</t>
  </si>
  <si>
    <t>WPH-ETC-DRW-SDW-IND-00-ZZZ-41201</t>
  </si>
  <si>
    <t>WF-051388</t>
  </si>
  <si>
    <t>WF-054352</t>
  </si>
  <si>
    <t>WPH-ETC-DRW-SDW-IND-00-ZZZ-41401</t>
  </si>
  <si>
    <t>WF-051454</t>
  </si>
  <si>
    <t>WF-051460</t>
  </si>
  <si>
    <t>WF-051455</t>
  </si>
  <si>
    <t>WF-051457</t>
  </si>
  <si>
    <t>WF-051458</t>
  </si>
  <si>
    <t>WF-051499</t>
  </si>
  <si>
    <t>WF-051456</t>
  </si>
  <si>
    <t>WF-051384</t>
  </si>
  <si>
    <t>WF-053082</t>
  </si>
  <si>
    <t>WF-022464</t>
  </si>
  <si>
    <t>WF-027277</t>
  </si>
  <si>
    <t>WF-027232</t>
  </si>
  <si>
    <t>WF-027146</t>
  </si>
  <si>
    <t>WF-025402</t>
  </si>
  <si>
    <t>WF-036591</t>
  </si>
  <si>
    <t>WF-026851</t>
  </si>
  <si>
    <t>WF-054259</t>
  </si>
  <si>
    <t>WF-053085</t>
  </si>
  <si>
    <t>WF-054594</t>
  </si>
  <si>
    <t>WF-054592</t>
  </si>
  <si>
    <t>WF-053096</t>
  </si>
  <si>
    <t>WPH-ETC-DRW-SDW-IND-00-ZZZ-41601</t>
  </si>
  <si>
    <t>WF-054713</t>
  </si>
  <si>
    <t>WF-054712</t>
  </si>
  <si>
    <t>WF-053271</t>
  </si>
  <si>
    <t>WF-053005</t>
  </si>
  <si>
    <t>WF-053151</t>
  </si>
  <si>
    <t>WF-053157</t>
  </si>
  <si>
    <t>WF-053223</t>
  </si>
  <si>
    <t>WF-053004</t>
  </si>
  <si>
    <t>WF-053006</t>
  </si>
  <si>
    <t>WF-053003</t>
  </si>
  <si>
    <t>WF-046759</t>
  </si>
  <si>
    <t>WF-052890</t>
  </si>
  <si>
    <t>WF-052087</t>
  </si>
  <si>
    <t>WPH-ETC-DRW-SDW-IND-00-ZZZ-42001</t>
  </si>
  <si>
    <t>WPH-ETC-DRW-SDW-IND-00-ZZZ-42101</t>
  </si>
  <si>
    <t>WPH-ETC-DRW-SDW-IND-00-ZZZ-41501</t>
  </si>
  <si>
    <t>WPH-ETC-DRW-SDW-IND-00-ZZZ-41701</t>
  </si>
  <si>
    <t>WPH-ETC-DRW-SDW-IND-00-ZZZ-41801</t>
  </si>
  <si>
    <t>WPH-ETC-DRW-SDW-IND-00-ZZZ-42201</t>
  </si>
  <si>
    <t>covered under QADA1</t>
  </si>
  <si>
    <t>WPH-ETC-DRW-SDW-IND-00-ZZZ-43401</t>
  </si>
  <si>
    <t>WF-052879</t>
  </si>
  <si>
    <t>WF-052751</t>
  </si>
  <si>
    <t>WF-053388</t>
  </si>
  <si>
    <t>WF-052882</t>
  </si>
  <si>
    <t>WF-052870</t>
  </si>
  <si>
    <t>WF-052875</t>
  </si>
  <si>
    <t>WF-052877</t>
  </si>
  <si>
    <t>WF-049162</t>
  </si>
  <si>
    <t>WF-048804</t>
  </si>
  <si>
    <t>WPH-ETC-DRW-SDW-IND-00-ZZZ-43501</t>
  </si>
  <si>
    <t>WF-052758</t>
  </si>
  <si>
    <t>WF-052759</t>
  </si>
  <si>
    <t>WF-052753</t>
  </si>
  <si>
    <t>WF-052750</t>
  </si>
  <si>
    <t>WF-053226</t>
  </si>
  <si>
    <t>WF-052757</t>
  </si>
  <si>
    <t>WF-049476</t>
  </si>
  <si>
    <t>WF-048803</t>
  </si>
  <si>
    <t>WPH-ETC-DRW-SDW-IND-00-ZZZ-43601</t>
  </si>
  <si>
    <t>WF-051521</t>
  </si>
  <si>
    <t>WF-045417</t>
  </si>
  <si>
    <t>WF-048589</t>
  </si>
  <si>
    <t>WF-050113</t>
  </si>
  <si>
    <t>WPH-ETC-DRW-SDW-IND-00-ZZZ-43701</t>
  </si>
  <si>
    <t>WF-051493</t>
  </si>
  <si>
    <t>WF-052404</t>
  </si>
  <si>
    <t>WF-051494</t>
  </si>
  <si>
    <t>WF-051491</t>
  </si>
  <si>
    <t>WF-051489</t>
  </si>
  <si>
    <t>WF-051522</t>
  </si>
  <si>
    <t>WF-051497</t>
  </si>
  <si>
    <t>WF-050110</t>
  </si>
  <si>
    <t>WF-049159</t>
  </si>
  <si>
    <t>WPH-ETC-DRW-SDW-IND-00-ZZZ-43801</t>
  </si>
  <si>
    <t>WF-052402</t>
  </si>
  <si>
    <t>WF-052883</t>
  </si>
  <si>
    <t>WF-052401</t>
  </si>
  <si>
    <t>WF-052600</t>
  </si>
  <si>
    <t>WF-052403</t>
  </si>
  <si>
    <t>WF-052405</t>
  </si>
  <si>
    <t>WF-052400</t>
  </si>
  <si>
    <t>WF-051911</t>
  </si>
  <si>
    <t>WF-049165</t>
  </si>
  <si>
    <t>WPH-ETC-DRW-SDW-IND-00-ZZZ-43901</t>
  </si>
  <si>
    <t>WF-052884</t>
  </si>
  <si>
    <t>WF-054670</t>
  </si>
  <si>
    <t>WF-053159</t>
  </si>
  <si>
    <t>WF-052885</t>
  </si>
  <si>
    <t>WF-054690</t>
  </si>
  <si>
    <t>WF-052886</t>
  </si>
  <si>
    <t>WF-053002</t>
  </si>
  <si>
    <t>WF-049893</t>
  </si>
  <si>
    <t>WF-049816</t>
  </si>
  <si>
    <t>WPH-ETC-DRW-SDW-IND-00-ZZZ-44001</t>
  </si>
  <si>
    <t>WF-054662</t>
  </si>
  <si>
    <t>WF-054661</t>
  </si>
  <si>
    <t>WF-054667</t>
  </si>
  <si>
    <t>WF-054669</t>
  </si>
  <si>
    <t>WF-054673</t>
  </si>
  <si>
    <t>WF-054647</t>
  </si>
  <si>
    <t>WF-049163</t>
  </si>
  <si>
    <t>WF-049646</t>
  </si>
  <si>
    <t>WPH-ETC-DRW-SDW-IND-00-ZZZ-44101</t>
  </si>
  <si>
    <t>WF-048798</t>
  </si>
  <si>
    <t>WF-049651</t>
  </si>
  <si>
    <t>WF-049815</t>
  </si>
  <si>
    <t>WPH-ETC-DRW-SDW-IND-00-ZZZ-44301</t>
  </si>
  <si>
    <t>WF-049818</t>
  </si>
  <si>
    <t>WPH-ETC-DRW-SDW-IND-00-ZZZ-44401</t>
  </si>
  <si>
    <t>WF-053775</t>
  </si>
  <si>
    <t>WF-054717</t>
  </si>
  <si>
    <t>WF-049814</t>
  </si>
  <si>
    <t>WPH-ETC-DRW-SDW-IND-00-ZZZ-44501</t>
  </si>
  <si>
    <t>WF-053772</t>
  </si>
  <si>
    <t>WF-051421</t>
  </si>
  <si>
    <t>WF-053771</t>
  </si>
  <si>
    <t>WF-053773</t>
  </si>
  <si>
    <t>WF-053774</t>
  </si>
  <si>
    <t>WF-053782</t>
  </si>
  <si>
    <t>WF-053770</t>
  </si>
  <si>
    <t>WF-048698</t>
  </si>
  <si>
    <t>WF-050722</t>
  </si>
  <si>
    <t>WPH-ETC-DRW-SDW-IND-00-ZZZ-44901</t>
  </si>
  <si>
    <t>WF-051422</t>
  </si>
  <si>
    <t>WF-045171</t>
  </si>
  <si>
    <t>WF-051417</t>
  </si>
  <si>
    <t>WF-051420</t>
  </si>
  <si>
    <t>WF-051425</t>
  </si>
  <si>
    <t>WF-051424</t>
  </si>
  <si>
    <t>WF-051387</t>
  </si>
  <si>
    <t>WF-050071</t>
  </si>
  <si>
    <t>WPH-ETC-DRW-SDW-IND-00-ZZZ-44601</t>
  </si>
  <si>
    <t>WF-050244</t>
  </si>
  <si>
    <t>WPH-ETC-DRW-SDW-IND-00-ZZZ-44701</t>
  </si>
  <si>
    <t>WF-050481</t>
  </si>
  <si>
    <t>WPH-ETC-DRW-SDW-IND-00-ZZZ-44801</t>
  </si>
  <si>
    <t>WF-050252</t>
  </si>
  <si>
    <t>Level Code</t>
  </si>
  <si>
    <t>Civil - Steel Doors - Material</t>
  </si>
  <si>
    <t>Civil - Steel Doors - Material Date</t>
  </si>
  <si>
    <t>Civil - Steel Doors - Rooms WIR</t>
  </si>
  <si>
    <t>Civil - Steel Doors - Rooms WIR Date</t>
  </si>
  <si>
    <t>Civil - Steel Doors - Corridor WIR</t>
  </si>
  <si>
    <t>Civil - Steel Doors - Corridor WIR Date</t>
  </si>
  <si>
    <t>Civil - Wooden Doors - Material</t>
  </si>
  <si>
    <t>Civil - Wooden Doors - Material Date</t>
  </si>
  <si>
    <t>Civil - Wooden Doors - Rooms WIR</t>
  </si>
  <si>
    <t>Civil - Wooden Doors - Rooms WIR Date</t>
  </si>
  <si>
    <t>Civil - Wooden Doors - Corridor WIR</t>
  </si>
  <si>
    <t>Civil - Wooden Doors - Corridor WIR Date</t>
  </si>
  <si>
    <t>Civil - Fire Sealant - Material</t>
  </si>
  <si>
    <t>Civil - Fire Sealant - Material Date</t>
  </si>
  <si>
    <t>Civil - Fire Sealant - Rooms WIR</t>
  </si>
  <si>
    <t>Civil - Fire Sealant - Rooms WIR Date</t>
  </si>
  <si>
    <t>Civil - Fire Sealant - Corridor WIR</t>
  </si>
  <si>
    <t>Civil - Fire Sealant - Corridor WIR Date</t>
  </si>
  <si>
    <t>Civil - Hardware - Material</t>
  </si>
  <si>
    <t>Civil - Hardware - Material Date</t>
  </si>
  <si>
    <t>Civil - Hardware - Rooms WIR</t>
  </si>
  <si>
    <t>Civil - Hardware - Rooms WIR Date</t>
  </si>
  <si>
    <t>Civil - Hardware - Corridor WIR</t>
  </si>
  <si>
    <t>Civil - Hardware - Corridor WIR Date</t>
  </si>
  <si>
    <t>MEP - Fire Sealant - Material</t>
  </si>
  <si>
    <t>MEP - Fire Sealant - Material Date</t>
  </si>
  <si>
    <t>MEP - Fire Sealant - Rooms WIR</t>
  </si>
  <si>
    <t>MEP - Fire Sealant - Rooms WIR Date</t>
  </si>
  <si>
    <t>MEP - Fire Sealant - Corridor WIR</t>
  </si>
  <si>
    <t>MEP - Fire Sealant - Corridor WIR Date</t>
  </si>
  <si>
    <t>MEP - Fire Sealant - Elec. Room WIR</t>
  </si>
  <si>
    <t>MEP - Fire Sealant - Elec. Room WIR Date</t>
  </si>
  <si>
    <t>MEP - Fire Sealant - BOH WIR</t>
  </si>
  <si>
    <t>MEP - Fire Sealant - BOH WIR Date</t>
  </si>
  <si>
    <t>MEP - Fire Alarm - Material</t>
  </si>
  <si>
    <t>MEP - Fire Alarm - Material Date</t>
  </si>
  <si>
    <t>MEP - Fire Alarm - Rooms WIR</t>
  </si>
  <si>
    <t>MEP - Fire Alarm - Rooms WIR Date</t>
  </si>
  <si>
    <t>MEP - Fire Alarm - Corridor WIR</t>
  </si>
  <si>
    <t>MEP - Fire Alarm - Corridor WIR Date</t>
  </si>
  <si>
    <t>MEP - Fire Alarm - Elec. Room WIR</t>
  </si>
  <si>
    <t>MEP - Fire Alarm - Elec. Room WIR Date</t>
  </si>
  <si>
    <t>MEP - Fire Alarm - BOH WIR</t>
  </si>
  <si>
    <t>MEP - Fire Alarm - BOH WIR Date</t>
  </si>
  <si>
    <t>MEP - Fire Fighting - Material</t>
  </si>
  <si>
    <t>MEP - Fire Fighting - Material Date</t>
  </si>
  <si>
    <t>MEP - Fire Fighting - Rooms WIR</t>
  </si>
  <si>
    <t>MEP - Fire Fighting - Rooms WIR Date</t>
  </si>
  <si>
    <t>MEP - Fire Fighting - Corridor WIR</t>
  </si>
  <si>
    <t>MEP - Fire Fighting - Corridor WIR Date</t>
  </si>
  <si>
    <t>MEP - Fire Fighting - Elec. Room WIR</t>
  </si>
  <si>
    <t>MEP - Fire Fighting - Elec. Room WIR Date</t>
  </si>
  <si>
    <t>MEP - Fire Fighting - BOH WIR</t>
  </si>
  <si>
    <t>MEP - Fire Fighting - BOH WIR Date</t>
  </si>
  <si>
    <t>AL02</t>
  </si>
  <si>
    <t>AL03</t>
  </si>
  <si>
    <t>AL04</t>
  </si>
  <si>
    <t>AL05</t>
  </si>
  <si>
    <t>AL06</t>
  </si>
  <si>
    <t>AL07</t>
  </si>
  <si>
    <t>AL08</t>
  </si>
  <si>
    <t>AL09</t>
  </si>
  <si>
    <t>BL01</t>
  </si>
  <si>
    <t>BL02</t>
  </si>
  <si>
    <t>BL03</t>
  </si>
  <si>
    <t>BL04</t>
  </si>
  <si>
    <t>BL05</t>
  </si>
  <si>
    <t>BL06</t>
  </si>
  <si>
    <t>BL07</t>
  </si>
  <si>
    <t>BL08</t>
  </si>
  <si>
    <t>BL09</t>
  </si>
  <si>
    <t>Civil - Wooden Doors - WIR</t>
  </si>
  <si>
    <t>Civil - Wooden Doors - WIR Date</t>
  </si>
  <si>
    <t>Civil - Fire Sealant - WIR</t>
  </si>
  <si>
    <t>Civil - Fire Sealant - WIR Date</t>
  </si>
  <si>
    <t>Civil - Hardware - WIR</t>
  </si>
  <si>
    <t>Civil - Hardware - WIR Date</t>
  </si>
  <si>
    <t>MEP - Fire Sealant - WIR</t>
  </si>
  <si>
    <t>MEP - Fire Sealant - WIR Date</t>
  </si>
  <si>
    <t>MEP - Fire Alarm - WIR</t>
  </si>
  <si>
    <t>MEP - Fire Alarm - WIR Date</t>
  </si>
  <si>
    <t>MEP - Fire Fighting - WIR</t>
  </si>
  <si>
    <t>MEP - Fire Fighting - WIR Date</t>
  </si>
  <si>
    <t>Column</t>
  </si>
  <si>
    <t>Label</t>
  </si>
  <si>
    <t>Section</t>
  </si>
  <si>
    <t>Order</t>
  </si>
  <si>
    <t>Show</t>
  </si>
  <si>
    <t>Format</t>
  </si>
  <si>
    <t>Category</t>
  </si>
  <si>
    <t>Room</t>
  </si>
  <si>
    <t>Y</t>
  </si>
  <si>
    <t>text</t>
  </si>
  <si>
    <t>_TypeCountTower</t>
  </si>
  <si>
    <t>Rooms of this type in tower</t>
  </si>
  <si>
    <t>Room type quantity</t>
  </si>
  <si>
    <t>_TypePctTower</t>
  </si>
  <si>
    <t>Share of tower rooms</t>
  </si>
  <si>
    <t>_TypeCountAll</t>
  </si>
  <si>
    <t>Rooms of this type – Towers A &amp; B</t>
  </si>
  <si>
    <t>_TypePctAll</t>
  </si>
  <si>
    <t>Share of all rooms (A &amp; B)</t>
  </si>
  <si>
    <t>MEP clearance</t>
  </si>
  <si>
    <t>4. Clearances</t>
  </si>
  <si>
    <t>status</t>
  </si>
  <si>
    <t>MEP clearance date</t>
  </si>
  <si>
    <t>date</t>
  </si>
  <si>
    <t>ELV clearance</t>
  </si>
  <si>
    <t>ELV clearance date</t>
  </si>
  <si>
    <t>Notes</t>
  </si>
  <si>
    <t>N</t>
  </si>
  <si>
    <t>Design room tag</t>
  </si>
  <si>
    <t>Sketch</t>
  </si>
  <si>
    <t>Shop drawings</t>
  </si>
  <si>
    <t>sketch</t>
  </si>
  <si>
    <t>ID SD Status</t>
  </si>
  <si>
    <t>ID</t>
  </si>
  <si>
    <t>sd</t>
  </si>
  <si>
    <t>MEP SD - Drainage Network</t>
  </si>
  <si>
    <t>Drainage Network</t>
  </si>
  <si>
    <t>MEP SD - Water Supply Network</t>
  </si>
  <si>
    <t>Water Supply Network</t>
  </si>
  <si>
    <t>MEP SD - Chilled Water Network</t>
  </si>
  <si>
    <t>Chilled Water Network</t>
  </si>
  <si>
    <t>MEP SD - Fire Fighting Network</t>
  </si>
  <si>
    <t>Fire Fighting Network</t>
  </si>
  <si>
    <t>MEP SD - AC System</t>
  </si>
  <si>
    <t>AC System</t>
  </si>
  <si>
    <t>MEP SD - Ventilation System</t>
  </si>
  <si>
    <t>Ventilation System</t>
  </si>
  <si>
    <t>MEP SD - CDP System</t>
  </si>
  <si>
    <t>CDP System</t>
  </si>
  <si>
    <t>MEP SD - Small Power</t>
  </si>
  <si>
    <t>Small Power</t>
  </si>
  <si>
    <t>MEP SD - Lighting</t>
  </si>
  <si>
    <t>Lighting</t>
  </si>
  <si>
    <t>ELV SD - ICT System GRMS</t>
  </si>
  <si>
    <t>ICT System GRMS</t>
  </si>
  <si>
    <t>ELV SD - ICT GRMS Lighting Control</t>
  </si>
  <si>
    <t>ICT GRMS Lighting Control</t>
  </si>
  <si>
    <t>ID SD Revision</t>
  </si>
  <si>
    <t>MEP SD - Drainage Network Rev</t>
  </si>
  <si>
    <t>MEP SD - Water Supply Network Rev</t>
  </si>
  <si>
    <t>MEP SD - Chilled Water Network Rev</t>
  </si>
  <si>
    <t>MEP SD - Fire Fighting Network Rev</t>
  </si>
  <si>
    <t>MEP SD - AC System Rev</t>
  </si>
  <si>
    <t>MEP SD - Ventilation System Rev</t>
  </si>
  <si>
    <t>MEP SD - CDP System Rev</t>
  </si>
  <si>
    <t>MEP SD - Small Power Rev</t>
  </si>
  <si>
    <t>MEP SD - Lighting Rev</t>
  </si>
  <si>
    <t>ELV SD - ICT System GRMS Rev</t>
  </si>
  <si>
    <t>ELV SD - ICT GRMS Lighting Control Rev</t>
  </si>
  <si>
    <t>% of Tower A</t>
  </si>
  <si>
    <t>% of Tower B</t>
  </si>
  <si>
    <t>A &amp; B</t>
  </si>
  <si>
    <t>% of A &amp; B</t>
  </si>
  <si>
    <t>TOTAL</t>
  </si>
  <si>
    <t>Colour</t>
  </si>
  <si>
    <t>Meaning</t>
  </si>
  <si>
    <t>Counts as</t>
  </si>
  <si>
    <t>Clearance</t>
  </si>
  <si>
    <t>A</t>
  </si>
  <si>
    <t>#00B050</t>
  </si>
  <si>
    <t>Approved</t>
  </si>
  <si>
    <t>approved</t>
  </si>
  <si>
    <t>green</t>
  </si>
  <si>
    <t>Approved as Noted</t>
  </si>
  <si>
    <t>Partially Provided</t>
  </si>
  <si>
    <t>amber</t>
  </si>
  <si>
    <t>#FFC000</t>
  </si>
  <si>
    <t>Under Review</t>
  </si>
  <si>
    <t>review</t>
  </si>
  <si>
    <t>Pending</t>
  </si>
  <si>
    <t>red</t>
  </si>
  <si>
    <t>#FF0000</t>
  </si>
  <si>
    <t>Code C - Revise &amp; Resubmit</t>
  </si>
  <si>
    <t>revise</t>
  </si>
  <si>
    <t>Not Requested</t>
  </si>
  <si>
    <t>grey</t>
  </si>
  <si>
    <t>#BFBFBF</t>
  </si>
  <si>
    <t>To Be Submitted</t>
  </si>
  <si>
    <t>pending</t>
  </si>
  <si>
    <t>N/A</t>
  </si>
  <si>
    <t>Coordinated</t>
  </si>
  <si>
    <t>#B5E6A2</t>
  </si>
  <si>
    <t>Coordination sketch provided (shown instead of a non-approved MEP/ELV status)</t>
  </si>
  <si>
    <t>coordinated</t>
  </si>
  <si>
    <t>Key</t>
  </si>
  <si>
    <t>Value</t>
  </si>
  <si>
    <t>Project</t>
  </si>
  <si>
    <t>Qiddiya Water Park Hotel (WPH)</t>
  </si>
  <si>
    <t>Shown in page header</t>
  </si>
  <si>
    <t>Base URL</t>
  </si>
  <si>
    <t>https://wph-bujv.github.io/wph-rooms/</t>
  </si>
  <si>
    <t>Web address of the room page. QR content = Base URL + ?room=&lt;QR ID&gt;</t>
  </si>
  <si>
    <t>Data last updated</t>
  </si>
  <si>
    <t>Type the date you last updated this file – shown on every page</t>
  </si>
  <si>
    <t>Updated by</t>
  </si>
  <si>
    <t>Technical Department - BUJV</t>
  </si>
  <si>
    <t>Footer note</t>
  </si>
  <si>
    <t>Live status from the WPH Room QR Status Register. For information only – refer to the latest approved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</si>
</sst>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2" x14ac:knownFonts="1">
    <font>
      <sz val="11"/>
      <color theme="1"/>
      <name val="Calibri"/>
      <family val="2"/>
      <charset val="1"/>
    </font>
    <font>
      <b/>
      <sz val="14"/>
      <color rgb="FF1F3A5F"/>
      <name val="Cambria"/>
      <family val="1"/>
    </font>
    <font>
      <sz val="11"/>
      <color rgb="FF000000"/>
      <name val="Cambria"/>
      <family val="1"/>
    </font>
    <font>
      <b/>
      <sz val="11"/>
      <color rgb="FF1F3A5F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color rgb="FF1F3A5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E6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B5E6A2"/>
      </patternFill>
    </fill>
    <fill>
      <patternFill patternType="solid">
        <fgColor rgb="FF1F3A5F"/>
        <bgColor rgb="FF1F3A5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2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3" xfId="0" applyFont="1" applyBorder="1" applyProtection="1">
      <protection locked="0"/>
    </xf>
    <xf numFmtId="0" fontId="9" fillId="0" borderId="3" xfId="0" applyFont="1" applyBorder="1" applyAlignment="1" applyProtection="1">
      <alignment horizontal="center"/>
      <protection locked="0"/>
    </xf>
    <xf numFmtId="165" fontId="9" fillId="0" borderId="3" xfId="0" applyNumberFormat="1" applyFont="1" applyBorder="1" applyAlignment="1" applyProtection="1">
      <alignment horizontal="center"/>
      <protection locked="0"/>
    </xf>
    <xf numFmtId="165" fontId="9" fillId="0" borderId="3" xfId="0" applyNumberFormat="1" applyFont="1" applyBorder="1" applyProtection="1">
      <protection locked="0"/>
    </xf>
    <xf numFmtId="0" fontId="0" fillId="0" borderId="3" xfId="0" applyBorder="1"/>
    <xf numFmtId="0" fontId="0" fillId="3" borderId="3" xfId="0" applyFill="1" applyBorder="1" applyProtection="1">
      <protection locked="0"/>
    </xf>
    <xf numFmtId="0" fontId="9" fillId="11" borderId="3" xfId="0" applyFont="1" applyFill="1" applyBorder="1"/>
    <xf numFmtId="0" fontId="10" fillId="0" borderId="3" xfId="0" applyFont="1" applyBorder="1"/>
    <xf numFmtId="0" fontId="10" fillId="0" borderId="2" xfId="0" applyFont="1" applyBorder="1"/>
    <xf numFmtId="0" fontId="10" fillId="13" borderId="3" xfId="0" applyFont="1" applyFill="1" applyBorder="1"/>
    <xf numFmtId="0" fontId="10" fillId="0" borderId="1" xfId="0" applyFont="1" applyBorder="1"/>
    <xf numFmtId="0" fontId="10" fillId="0" borderId="5" xfId="0" applyFont="1" applyBorder="1"/>
    <xf numFmtId="0" fontId="10" fillId="12" borderId="3" xfId="0" applyFont="1" applyFill="1" applyBorder="1"/>
    <xf numFmtId="0" fontId="10" fillId="14" borderId="3" xfId="0" applyFont="1" applyFill="1" applyBorder="1"/>
    <xf numFmtId="0" fontId="10" fillId="0" borderId="6" xfId="0" applyFont="1" applyBorder="1"/>
    <xf numFmtId="0" fontId="10" fillId="15" borderId="3" xfId="0" applyFont="1" applyFill="1" applyBorder="1"/>
    <xf numFmtId="0" fontId="10" fillId="13" borderId="3" xfId="0" applyFont="1" applyFill="1" applyBorder="1" applyAlignment="1">
      <alignment vertical="center"/>
    </xf>
    <xf numFmtId="0" fontId="10" fillId="12" borderId="3" xfId="0" applyFont="1" applyFill="1" applyBorder="1" applyAlignment="1">
      <alignment vertical="center"/>
    </xf>
    <xf numFmtId="0" fontId="10" fillId="14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0" fillId="15" borderId="3" xfId="0" applyFont="1" applyFill="1" applyBorder="1" applyAlignment="1">
      <alignment vertical="center"/>
    </xf>
    <xf numFmtId="165" fontId="11" fillId="0" borderId="3" xfId="0" applyNumberFormat="1" applyFont="1" applyBorder="1" applyAlignment="1" applyProtection="1">
      <alignment horizontal="center"/>
      <protection locked="0"/>
    </xf>
    <xf numFmtId="0" fontId="8" fillId="10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7" fillId="9" borderId="3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178">
    <dxf>
      <fill>
        <patternFill patternType="solid">
          <fgColor indexed="64"/>
          <bgColor rgb="FF99FF66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5E6A2"/>
          <bgColor rgb="FFB5E6A2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D17014-09BD-45ED-B25A-3190E74E9C1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608df8c-b0ec-41a4-a477-6d6ed53d27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zoomScaleNormal="100" workbookViewId="0">
      <selection activeCell="J19" sqref="J19"/>
    </sheetView>
  </sheetViews>
  <sheetFormatPr defaultColWidth="8.7109375" defaultRowHeight="15" x14ac:dyDescent="0.25"/>
  <cols>
    <col min="1" max="1" width="130" customWidth="1"/>
  </cols>
  <sheetData>
    <row r="1" spans="1:1" ht="17.850000000000001" customHeight="1" x14ac:dyDescent="0.25">
      <c r="A1" s="1" t="s">
        <v>0</v>
      </c>
    </row>
    <row r="2" spans="1:1" ht="28.35" customHeight="1" x14ac:dyDescent="0.25">
      <c r="A2" s="2" t="s">
        <v>1</v>
      </c>
    </row>
    <row r="3" spans="1:1" ht="15" customHeight="1" x14ac:dyDescent="0.25">
      <c r="A3" s="2"/>
    </row>
    <row r="4" spans="1:1" ht="15" customHeight="1" x14ac:dyDescent="0.25">
      <c r="A4" s="3" t="s">
        <v>2</v>
      </c>
    </row>
    <row r="5" spans="1:1" ht="15" customHeight="1" x14ac:dyDescent="0.25">
      <c r="A5" s="2" t="s">
        <v>3</v>
      </c>
    </row>
    <row r="6" spans="1:1" ht="15" customHeight="1" x14ac:dyDescent="0.25">
      <c r="A6" s="2" t="s">
        <v>4</v>
      </c>
    </row>
    <row r="7" spans="1:1" ht="15" customHeight="1" x14ac:dyDescent="0.25">
      <c r="A7" s="2" t="s">
        <v>5</v>
      </c>
    </row>
    <row r="8" spans="1:1" ht="15" customHeight="1" x14ac:dyDescent="0.25">
      <c r="A8" s="2"/>
    </row>
    <row r="9" spans="1:1" ht="15" customHeight="1" x14ac:dyDescent="0.25">
      <c r="A9" s="3" t="s">
        <v>6</v>
      </c>
    </row>
    <row r="10" spans="1:1" ht="15" customHeight="1" x14ac:dyDescent="0.25">
      <c r="A10" s="2" t="s">
        <v>7</v>
      </c>
    </row>
    <row r="11" spans="1:1" ht="15" customHeight="1" x14ac:dyDescent="0.25">
      <c r="A11" s="2" t="s">
        <v>8</v>
      </c>
    </row>
    <row r="12" spans="1:1" ht="15" customHeight="1" x14ac:dyDescent="0.25">
      <c r="A12" s="2" t="s">
        <v>9</v>
      </c>
    </row>
    <row r="13" spans="1:1" ht="15" customHeight="1" x14ac:dyDescent="0.25">
      <c r="A13" s="2"/>
    </row>
    <row r="14" spans="1:1" ht="15" customHeight="1" x14ac:dyDescent="0.25">
      <c r="A14" s="3" t="s">
        <v>10</v>
      </c>
    </row>
    <row r="15" spans="1:1" ht="15" customHeight="1" x14ac:dyDescent="0.25">
      <c r="A15" s="2" t="s">
        <v>11</v>
      </c>
    </row>
    <row r="16" spans="1:1" ht="28.35" customHeight="1" x14ac:dyDescent="0.25">
      <c r="A16" s="2" t="s">
        <v>12</v>
      </c>
    </row>
    <row r="17" spans="1:1" ht="15" customHeight="1" x14ac:dyDescent="0.25">
      <c r="A17" s="2" t="s">
        <v>13</v>
      </c>
    </row>
    <row r="18" spans="1:1" ht="15" customHeight="1" x14ac:dyDescent="0.25">
      <c r="A18" s="2" t="s">
        <v>14</v>
      </c>
    </row>
    <row r="19" spans="1:1" ht="15" customHeight="1" x14ac:dyDescent="0.25">
      <c r="A19" s="2"/>
    </row>
    <row r="20" spans="1:1" ht="15" customHeight="1" x14ac:dyDescent="0.25">
      <c r="A20" s="3" t="s">
        <v>15</v>
      </c>
    </row>
    <row r="21" spans="1:1" ht="15" customHeight="1" x14ac:dyDescent="0.25">
      <c r="A21" s="2" t="s">
        <v>16</v>
      </c>
    </row>
    <row r="22" spans="1:1" ht="28.35" customHeight="1" x14ac:dyDescent="0.25">
      <c r="A22" s="2" t="s">
        <v>17</v>
      </c>
    </row>
    <row r="23" spans="1:1" ht="15" customHeight="1" x14ac:dyDescent="0.25">
      <c r="A23" s="2" t="s">
        <v>18</v>
      </c>
    </row>
    <row r="24" spans="1:1" ht="28.35" customHeight="1" x14ac:dyDescent="0.25">
      <c r="A24" s="2" t="s">
        <v>19</v>
      </c>
    </row>
    <row r="25" spans="1:1" ht="15" customHeight="1" x14ac:dyDescent="0.25">
      <c r="A25" s="2"/>
    </row>
    <row r="26" spans="1:1" ht="15" customHeight="1" x14ac:dyDescent="0.25">
      <c r="A26" s="3" t="s">
        <v>20</v>
      </c>
    </row>
    <row r="27" spans="1:1" ht="28.35" customHeight="1" x14ac:dyDescent="0.25">
      <c r="A27" s="2" t="s">
        <v>21</v>
      </c>
    </row>
    <row r="28" spans="1:1" ht="28.35" customHeight="1" x14ac:dyDescent="0.25">
      <c r="A28" s="2" t="s">
        <v>22</v>
      </c>
    </row>
    <row r="30" spans="1:1" x14ac:dyDescent="0.25">
      <c r="A30" s="6" t="s">
        <v>23</v>
      </c>
    </row>
    <row r="31" spans="1:1" ht="60" customHeight="1" x14ac:dyDescent="0.25">
      <c r="A31" s="7" t="s">
        <v>24</v>
      </c>
    </row>
    <row r="33" spans="1:1" x14ac:dyDescent="0.25">
      <c r="A33" s="6" t="s">
        <v>25</v>
      </c>
    </row>
    <row r="34" spans="1:1" ht="45" customHeight="1" x14ac:dyDescent="0.25">
      <c r="A34" s="7" t="s">
        <v>26</v>
      </c>
    </row>
    <row r="36" spans="1:1" x14ac:dyDescent="0.25">
      <c r="A36" s="6" t="s">
        <v>27</v>
      </c>
    </row>
    <row r="37" spans="1:1" ht="45" customHeight="1" x14ac:dyDescent="0.25">
      <c r="A37" s="7" t="s">
        <v>28</v>
      </c>
    </row>
    <row r="39" spans="1:1" x14ac:dyDescent="0.25">
      <c r="A39" s="6"/>
    </row>
    <row r="40" spans="1:1" x14ac:dyDescent="0.25">
      <c r="A40" s="7"/>
    </row>
    <row r="42" spans="1:1" x14ac:dyDescent="0.25">
      <c r="A42" s="6" t="s">
        <v>29</v>
      </c>
    </row>
    <row r="43" spans="1:1" ht="45" customHeight="1" x14ac:dyDescent="0.25">
      <c r="A43" s="7" t="s">
        <v>30</v>
      </c>
    </row>
  </sheetData>
  <sheetProtection password="D6EA" sheet="1" objects="1" scenarios="1" formatCells="0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5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ColWidth="8.7109375" defaultRowHeight="15" x14ac:dyDescent="0.25"/>
  <cols>
    <col min="1" max="1" width="12" customWidth="1"/>
    <col min="2" max="3" width="8" customWidth="1"/>
    <col min="4" max="4" width="12.5703125" customWidth="1"/>
    <col min="5" max="5" width="11" customWidth="1"/>
    <col min="6" max="6" width="15" customWidth="1"/>
    <col min="7" max="7" width="18" customWidth="1"/>
    <col min="8" max="8" width="14" customWidth="1"/>
    <col min="9" max="9" width="18" customWidth="1"/>
    <col min="10" max="10" width="14" customWidth="1"/>
    <col min="11" max="11" width="40" customWidth="1"/>
    <col min="12" max="12" width="22" customWidth="1"/>
    <col min="13" max="13" width="60" customWidth="1"/>
  </cols>
  <sheetData>
    <row r="1" spans="1:28" ht="33.75" customHeight="1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  <c r="G1" s="16" t="s">
        <v>37</v>
      </c>
      <c r="H1" s="16" t="s">
        <v>38</v>
      </c>
      <c r="I1" s="16" t="s">
        <v>39</v>
      </c>
      <c r="J1" s="16" t="s">
        <v>40</v>
      </c>
      <c r="K1" s="16" t="s">
        <v>41</v>
      </c>
      <c r="L1" s="16" t="s">
        <v>42</v>
      </c>
      <c r="M1" s="16" t="s">
        <v>43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5" customHeight="1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s="9"/>
      <c r="H2" s="10"/>
      <c r="I2" s="9"/>
      <c r="J2" s="10"/>
      <c r="K2" s="9"/>
      <c r="L2" t="s">
        <v>50</v>
      </c>
      <c r="M2" t="str">
        <f>Config!$B$3&amp;"?room="&amp;A2</f>
        <v>https://wph-bujv.github.io/wph-rooms/?room=A-L02-BS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" customHeight="1" x14ac:dyDescent="0.25">
      <c r="A3" t="s">
        <v>51</v>
      </c>
      <c r="B3" t="s">
        <v>45</v>
      </c>
      <c r="C3" t="s">
        <v>46</v>
      </c>
      <c r="D3" t="s">
        <v>52</v>
      </c>
      <c r="E3" t="s">
        <v>53</v>
      </c>
      <c r="F3" t="s">
        <v>54</v>
      </c>
      <c r="G3" s="9" t="s">
        <v>55</v>
      </c>
      <c r="H3" s="10">
        <v>46301</v>
      </c>
      <c r="I3" s="9" t="s">
        <v>55</v>
      </c>
      <c r="J3" s="10">
        <v>46301</v>
      </c>
      <c r="K3" s="9"/>
      <c r="L3" t="s">
        <v>56</v>
      </c>
      <c r="M3" t="str">
        <f>Config!$B$3&amp;"?room="&amp;A3</f>
        <v>https://wph-bujv.github.io/wph-rooms/?room=A-L02-F03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" customHeight="1" x14ac:dyDescent="0.25">
      <c r="A4" t="s">
        <v>57</v>
      </c>
      <c r="B4" t="s">
        <v>45</v>
      </c>
      <c r="C4" t="s">
        <v>46</v>
      </c>
      <c r="D4" t="s">
        <v>58</v>
      </c>
      <c r="E4" t="s">
        <v>59</v>
      </c>
      <c r="F4" t="s">
        <v>54</v>
      </c>
      <c r="G4" s="9"/>
      <c r="H4" s="10"/>
      <c r="I4" s="9"/>
      <c r="J4" s="10"/>
      <c r="K4" s="9"/>
      <c r="L4" t="s">
        <v>56</v>
      </c>
      <c r="M4" t="str">
        <f>Config!$B$3&amp;"?room="&amp;A4</f>
        <v>https://wph-bujv.github.io/wph-rooms/?room=A-L02-F04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5" customHeight="1" x14ac:dyDescent="0.25">
      <c r="A5" t="s">
        <v>60</v>
      </c>
      <c r="B5" t="s">
        <v>45</v>
      </c>
      <c r="C5" t="s">
        <v>46</v>
      </c>
      <c r="D5" t="s">
        <v>61</v>
      </c>
      <c r="E5" t="s">
        <v>62</v>
      </c>
      <c r="F5" t="s">
        <v>63</v>
      </c>
      <c r="G5" s="9"/>
      <c r="H5" s="10"/>
      <c r="I5" s="9"/>
      <c r="J5" s="10"/>
      <c r="K5" s="9"/>
      <c r="L5" t="s">
        <v>56</v>
      </c>
      <c r="M5" t="str">
        <f>Config!$B$3&amp;"?room="&amp;A5</f>
        <v>https://wph-bujv.github.io/wph-rooms/?room=A-L02-FADA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5" customHeight="1" x14ac:dyDescent="0.25">
      <c r="A6" t="s">
        <v>64</v>
      </c>
      <c r="B6" t="s">
        <v>45</v>
      </c>
      <c r="C6" t="s">
        <v>46</v>
      </c>
      <c r="D6" t="s">
        <v>65</v>
      </c>
      <c r="E6" t="s">
        <v>66</v>
      </c>
      <c r="F6" t="s">
        <v>67</v>
      </c>
      <c r="G6" s="9"/>
      <c r="H6" s="10"/>
      <c r="I6" s="9"/>
      <c r="J6" s="10"/>
      <c r="K6" s="9"/>
      <c r="L6" t="s">
        <v>56</v>
      </c>
      <c r="M6" t="str">
        <f>Config!$B$3&amp;"?room="&amp;A6</f>
        <v>https://wph-bujv.github.io/wph-rooms/?room=A-L02-K01-01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5" customHeight="1" x14ac:dyDescent="0.25">
      <c r="A7" t="s">
        <v>68</v>
      </c>
      <c r="B7" t="s">
        <v>45</v>
      </c>
      <c r="C7" t="s">
        <v>46</v>
      </c>
      <c r="D7" t="s">
        <v>69</v>
      </c>
      <c r="E7" t="s">
        <v>66</v>
      </c>
      <c r="F7" t="s">
        <v>67</v>
      </c>
      <c r="G7" s="9"/>
      <c r="H7" s="10"/>
      <c r="I7" s="9"/>
      <c r="J7" s="10"/>
      <c r="K7" s="9"/>
      <c r="L7" t="s">
        <v>56</v>
      </c>
      <c r="M7" t="str">
        <f>Config!$B$3&amp;"?room="&amp;A7</f>
        <v>https://wph-bujv.github.io/wph-rooms/?room=A-L02-K01-02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5" customHeight="1" x14ac:dyDescent="0.25">
      <c r="A8" t="s">
        <v>70</v>
      </c>
      <c r="B8" t="s">
        <v>45</v>
      </c>
      <c r="C8" t="s">
        <v>46</v>
      </c>
      <c r="D8" t="s">
        <v>71</v>
      </c>
      <c r="E8" t="s">
        <v>66</v>
      </c>
      <c r="F8" t="s">
        <v>67</v>
      </c>
      <c r="G8" s="9"/>
      <c r="H8" s="10"/>
      <c r="I8" s="9"/>
      <c r="J8" s="10"/>
      <c r="K8" s="9"/>
      <c r="L8" t="s">
        <v>56</v>
      </c>
      <c r="M8" t="str">
        <f>Config!$B$3&amp;"?room="&amp;A8</f>
        <v>https://wph-bujv.github.io/wph-rooms/?room=A-L02-K01-03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5" customHeight="1" x14ac:dyDescent="0.25">
      <c r="A9" t="s">
        <v>72</v>
      </c>
      <c r="B9" t="s">
        <v>45</v>
      </c>
      <c r="C9" t="s">
        <v>46</v>
      </c>
      <c r="D9" t="s">
        <v>73</v>
      </c>
      <c r="E9" t="s">
        <v>74</v>
      </c>
      <c r="F9" t="s">
        <v>67</v>
      </c>
      <c r="G9" s="9"/>
      <c r="H9" s="10"/>
      <c r="I9" s="9"/>
      <c r="J9" s="10"/>
      <c r="K9" s="9"/>
      <c r="L9" t="s">
        <v>56</v>
      </c>
      <c r="M9" t="str">
        <f>Config!$B$3&amp;"?room="&amp;A9</f>
        <v>https://wph-bujv.github.io/wph-rooms/?room=A-L02-K01B-01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5" customHeight="1" x14ac:dyDescent="0.25">
      <c r="A10" t="s">
        <v>75</v>
      </c>
      <c r="B10" t="s">
        <v>45</v>
      </c>
      <c r="C10" t="s">
        <v>46</v>
      </c>
      <c r="D10" t="s">
        <v>76</v>
      </c>
      <c r="E10" t="s">
        <v>74</v>
      </c>
      <c r="F10" t="s">
        <v>67</v>
      </c>
      <c r="G10" s="9"/>
      <c r="H10" s="10"/>
      <c r="I10" s="9"/>
      <c r="J10" s="10"/>
      <c r="K10" s="9"/>
      <c r="L10" t="s">
        <v>56</v>
      </c>
      <c r="M10" t="str">
        <f>Config!$B$3&amp;"?room="&amp;A10</f>
        <v>https://wph-bujv.github.io/wph-rooms/?room=A-L02-K01B-02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5" customHeight="1" x14ac:dyDescent="0.25">
      <c r="A11" t="s">
        <v>77</v>
      </c>
      <c r="B11" t="s">
        <v>45</v>
      </c>
      <c r="C11" t="s">
        <v>46</v>
      </c>
      <c r="D11" t="s">
        <v>78</v>
      </c>
      <c r="E11" t="s">
        <v>79</v>
      </c>
      <c r="F11" t="s">
        <v>67</v>
      </c>
      <c r="G11" s="9"/>
      <c r="H11" s="10"/>
      <c r="I11" s="9"/>
      <c r="J11" s="10"/>
      <c r="K11" s="9"/>
      <c r="L11" t="s">
        <v>56</v>
      </c>
      <c r="M11" t="str">
        <f>Config!$B$3&amp;"?room="&amp;A11</f>
        <v>https://wph-bujv.github.io/wph-rooms/?room=A-L02-K01C-01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5" customHeight="1" x14ac:dyDescent="0.25">
      <c r="A12" t="s">
        <v>80</v>
      </c>
      <c r="B12" t="s">
        <v>45</v>
      </c>
      <c r="C12" t="s">
        <v>46</v>
      </c>
      <c r="D12" t="s">
        <v>81</v>
      </c>
      <c r="E12" t="s">
        <v>79</v>
      </c>
      <c r="F12" t="s">
        <v>67</v>
      </c>
      <c r="G12" s="9"/>
      <c r="H12" s="10"/>
      <c r="I12" s="9"/>
      <c r="J12" s="10"/>
      <c r="K12" s="9"/>
      <c r="L12" t="s">
        <v>56</v>
      </c>
      <c r="M12" t="str">
        <f>Config!$B$3&amp;"?room="&amp;A12</f>
        <v>https://wph-bujv.github.io/wph-rooms/?room=A-L02-K01C-02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5" customHeight="1" x14ac:dyDescent="0.25">
      <c r="A13" t="s">
        <v>82</v>
      </c>
      <c r="B13" t="s">
        <v>45</v>
      </c>
      <c r="C13" t="s">
        <v>46</v>
      </c>
      <c r="D13" t="s">
        <v>83</v>
      </c>
      <c r="E13" t="s">
        <v>79</v>
      </c>
      <c r="F13" t="s">
        <v>67</v>
      </c>
      <c r="G13" s="9"/>
      <c r="H13" s="10"/>
      <c r="I13" s="9"/>
      <c r="J13" s="10"/>
      <c r="K13" s="9"/>
      <c r="L13" t="s">
        <v>56</v>
      </c>
      <c r="M13" t="str">
        <f>Config!$B$3&amp;"?room="&amp;A13</f>
        <v>https://wph-bujv.github.io/wph-rooms/?room=A-L02-K01C-03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5" customHeight="1" x14ac:dyDescent="0.25">
      <c r="A14" t="s">
        <v>84</v>
      </c>
      <c r="B14" t="s">
        <v>45</v>
      </c>
      <c r="C14" t="s">
        <v>46</v>
      </c>
      <c r="D14" t="s">
        <v>85</v>
      </c>
      <c r="E14" t="s">
        <v>86</v>
      </c>
      <c r="F14" t="s">
        <v>67</v>
      </c>
      <c r="G14" s="9"/>
      <c r="H14" s="10"/>
      <c r="I14" s="9"/>
      <c r="J14" s="10"/>
      <c r="K14" s="9"/>
      <c r="L14" t="s">
        <v>56</v>
      </c>
      <c r="M14" t="str">
        <f>Config!$B$3&amp;"?room="&amp;A14</f>
        <v>https://wph-bujv.github.io/wph-rooms/?room=A-L02-K01D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5" customHeight="1" x14ac:dyDescent="0.25">
      <c r="A15" t="s">
        <v>87</v>
      </c>
      <c r="B15" t="s">
        <v>45</v>
      </c>
      <c r="C15" t="s">
        <v>46</v>
      </c>
      <c r="D15" t="s">
        <v>88</v>
      </c>
      <c r="E15" t="s">
        <v>89</v>
      </c>
      <c r="F15" t="s">
        <v>67</v>
      </c>
      <c r="G15" s="9"/>
      <c r="H15" s="10"/>
      <c r="I15" s="9"/>
      <c r="J15" s="10"/>
      <c r="K15" s="9"/>
      <c r="L15" t="s">
        <v>56</v>
      </c>
      <c r="M15" t="str">
        <f>Config!$B$3&amp;"?room="&amp;A15</f>
        <v>https://wph-bujv.github.io/wph-rooms/?room=A-L02-K02-01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" customHeight="1" x14ac:dyDescent="0.25">
      <c r="A16" t="s">
        <v>90</v>
      </c>
      <c r="B16" t="s">
        <v>45</v>
      </c>
      <c r="C16" t="s">
        <v>46</v>
      </c>
      <c r="D16" t="s">
        <v>91</v>
      </c>
      <c r="E16" t="s">
        <v>89</v>
      </c>
      <c r="F16" t="s">
        <v>67</v>
      </c>
      <c r="G16" s="9"/>
      <c r="H16" s="10"/>
      <c r="I16" s="9"/>
      <c r="J16" s="10"/>
      <c r="K16" s="9"/>
      <c r="L16" t="s">
        <v>56</v>
      </c>
      <c r="M16" t="str">
        <f>Config!$B$3&amp;"?room="&amp;A16</f>
        <v>https://wph-bujv.github.io/wph-rooms/?room=A-L02-K02-02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5" customHeight="1" x14ac:dyDescent="0.25">
      <c r="A17" t="s">
        <v>92</v>
      </c>
      <c r="B17" t="s">
        <v>45</v>
      </c>
      <c r="C17" t="s">
        <v>46</v>
      </c>
      <c r="D17" t="s">
        <v>93</v>
      </c>
      <c r="E17" t="s">
        <v>94</v>
      </c>
      <c r="F17" t="s">
        <v>67</v>
      </c>
      <c r="G17" s="9"/>
      <c r="H17" s="10"/>
      <c r="I17" s="9"/>
      <c r="J17" s="10"/>
      <c r="K17" s="9"/>
      <c r="L17" t="s">
        <v>56</v>
      </c>
      <c r="M17" t="str">
        <f>Config!$B$3&amp;"?room="&amp;A17</f>
        <v>https://wph-bujv.github.io/wph-rooms/?room=A-L02-K02B-01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" customHeight="1" x14ac:dyDescent="0.25">
      <c r="A18" t="s">
        <v>95</v>
      </c>
      <c r="B18" t="s">
        <v>45</v>
      </c>
      <c r="C18" t="s">
        <v>46</v>
      </c>
      <c r="D18" t="s">
        <v>96</v>
      </c>
      <c r="E18" t="s">
        <v>94</v>
      </c>
      <c r="F18" t="s">
        <v>67</v>
      </c>
      <c r="G18" s="9"/>
      <c r="H18" s="10"/>
      <c r="I18" s="9"/>
      <c r="J18" s="10"/>
      <c r="K18" s="9"/>
      <c r="L18" t="s">
        <v>56</v>
      </c>
      <c r="M18" t="str">
        <f>Config!$B$3&amp;"?room="&amp;A18</f>
        <v>https://wph-bujv.github.io/wph-rooms/?room=A-L02-K02B-02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" customHeight="1" x14ac:dyDescent="0.25">
      <c r="A19" t="s">
        <v>97</v>
      </c>
      <c r="B19" t="s">
        <v>45</v>
      </c>
      <c r="C19" t="s">
        <v>46</v>
      </c>
      <c r="D19" t="s">
        <v>98</v>
      </c>
      <c r="E19" t="s">
        <v>94</v>
      </c>
      <c r="F19" t="s">
        <v>67</v>
      </c>
      <c r="G19" s="9"/>
      <c r="H19" s="10"/>
      <c r="I19" s="9"/>
      <c r="J19" s="10"/>
      <c r="K19" s="9"/>
      <c r="L19" t="s">
        <v>56</v>
      </c>
      <c r="M19" t="str">
        <f>Config!$B$3&amp;"?room="&amp;A19</f>
        <v>https://wph-bujv.github.io/wph-rooms/?room=A-L02-K02B-03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5" customHeight="1" x14ac:dyDescent="0.25">
      <c r="A20" t="s">
        <v>99</v>
      </c>
      <c r="B20" t="s">
        <v>45</v>
      </c>
      <c r="C20" t="s">
        <v>46</v>
      </c>
      <c r="D20" t="s">
        <v>100</v>
      </c>
      <c r="E20" t="s">
        <v>101</v>
      </c>
      <c r="F20" t="s">
        <v>67</v>
      </c>
      <c r="G20" s="9"/>
      <c r="H20" s="10"/>
      <c r="I20" s="9"/>
      <c r="J20" s="10"/>
      <c r="K20" s="9"/>
      <c r="L20" t="s">
        <v>56</v>
      </c>
      <c r="M20" t="str">
        <f>Config!$B$3&amp;"?room="&amp;A20</f>
        <v>https://wph-bujv.github.io/wph-rooms/?room=A-L02-K02C2-01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" customHeight="1" x14ac:dyDescent="0.25">
      <c r="A21" t="s">
        <v>102</v>
      </c>
      <c r="B21" t="s">
        <v>45</v>
      </c>
      <c r="C21" t="s">
        <v>46</v>
      </c>
      <c r="D21" t="s">
        <v>103</v>
      </c>
      <c r="E21" t="s">
        <v>101</v>
      </c>
      <c r="F21" t="s">
        <v>67</v>
      </c>
      <c r="G21" s="9"/>
      <c r="H21" s="10"/>
      <c r="I21" s="9"/>
      <c r="J21" s="10"/>
      <c r="K21" s="9"/>
      <c r="L21" t="s">
        <v>56</v>
      </c>
      <c r="M21" t="str">
        <f>Config!$B$3&amp;"?room="&amp;A21</f>
        <v>https://wph-bujv.github.io/wph-rooms/?room=A-L02-K02C2-02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5" customHeight="1" x14ac:dyDescent="0.25">
      <c r="A22" t="s">
        <v>104</v>
      </c>
      <c r="B22" t="s">
        <v>45</v>
      </c>
      <c r="C22" t="s">
        <v>46</v>
      </c>
      <c r="D22" t="s">
        <v>105</v>
      </c>
      <c r="E22" t="s">
        <v>106</v>
      </c>
      <c r="F22" t="s">
        <v>67</v>
      </c>
      <c r="G22" s="9"/>
      <c r="H22" s="10"/>
      <c r="I22" s="9"/>
      <c r="J22" s="10"/>
      <c r="K22" s="9"/>
      <c r="L22" t="s">
        <v>56</v>
      </c>
      <c r="M22" t="str">
        <f>Config!$B$3&amp;"?room="&amp;A22</f>
        <v>https://wph-bujv.github.io/wph-rooms/?room=A-L02-K02D1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" customHeight="1" x14ac:dyDescent="0.25">
      <c r="A23" t="s">
        <v>107</v>
      </c>
      <c r="B23" t="s">
        <v>45</v>
      </c>
      <c r="C23" t="s">
        <v>46</v>
      </c>
      <c r="D23" t="s">
        <v>108</v>
      </c>
      <c r="E23" t="s">
        <v>109</v>
      </c>
      <c r="F23" t="s">
        <v>110</v>
      </c>
      <c r="G23" s="9"/>
      <c r="H23" s="10"/>
      <c r="I23" s="9"/>
      <c r="J23" s="10"/>
      <c r="K23" s="9"/>
      <c r="L23" t="s">
        <v>56</v>
      </c>
      <c r="M23" t="str">
        <f>Config!$B$3&amp;"?room="&amp;A23</f>
        <v>https://wph-bujv.github.io/wph-rooms/?room=A-L02-Q01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5" customHeight="1" x14ac:dyDescent="0.25">
      <c r="A24" t="s">
        <v>111</v>
      </c>
      <c r="B24" t="s">
        <v>45</v>
      </c>
      <c r="C24" t="s">
        <v>46</v>
      </c>
      <c r="D24" t="s">
        <v>112</v>
      </c>
      <c r="E24" t="s">
        <v>113</v>
      </c>
      <c r="F24" t="s">
        <v>110</v>
      </c>
      <c r="G24" s="9"/>
      <c r="H24" s="10"/>
      <c r="I24" s="9"/>
      <c r="J24" s="10"/>
      <c r="K24" s="9"/>
      <c r="L24" t="s">
        <v>56</v>
      </c>
      <c r="M24" t="str">
        <f>Config!$B$3&amp;"?room="&amp;A24</f>
        <v>https://wph-bujv.github.io/wph-rooms/?room=A-L02-Q01C-01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" customHeight="1" x14ac:dyDescent="0.25">
      <c r="A25" t="s">
        <v>114</v>
      </c>
      <c r="B25" t="s">
        <v>45</v>
      </c>
      <c r="C25" t="s">
        <v>46</v>
      </c>
      <c r="D25" t="s">
        <v>115</v>
      </c>
      <c r="E25" t="s">
        <v>113</v>
      </c>
      <c r="F25" t="s">
        <v>110</v>
      </c>
      <c r="G25" s="9"/>
      <c r="H25" s="10"/>
      <c r="I25" s="9"/>
      <c r="J25" s="10"/>
      <c r="K25" s="9"/>
      <c r="L25" t="s">
        <v>56</v>
      </c>
      <c r="M25" t="str">
        <f>Config!$B$3&amp;"?room="&amp;A25</f>
        <v>https://wph-bujv.github.io/wph-rooms/?room=A-L02-Q01C-02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5" customHeight="1" x14ac:dyDescent="0.25">
      <c r="A26" t="s">
        <v>116</v>
      </c>
      <c r="B26" t="s">
        <v>45</v>
      </c>
      <c r="C26" t="s">
        <v>46</v>
      </c>
      <c r="D26" t="s">
        <v>117</v>
      </c>
      <c r="E26" t="s">
        <v>113</v>
      </c>
      <c r="F26" t="s">
        <v>110</v>
      </c>
      <c r="G26" s="9"/>
      <c r="H26" s="10"/>
      <c r="I26" s="9"/>
      <c r="J26" s="10"/>
      <c r="K26" s="9"/>
      <c r="L26" t="s">
        <v>56</v>
      </c>
      <c r="M26" t="str">
        <f>Config!$B$3&amp;"?room="&amp;A26</f>
        <v>https://wph-bujv.github.io/wph-rooms/?room=A-L02-Q01C-03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" customHeight="1" x14ac:dyDescent="0.25">
      <c r="A27" t="s">
        <v>118</v>
      </c>
      <c r="B27" t="s">
        <v>45</v>
      </c>
      <c r="C27" t="s">
        <v>46</v>
      </c>
      <c r="D27" t="s">
        <v>119</v>
      </c>
      <c r="E27" t="s">
        <v>120</v>
      </c>
      <c r="F27" t="s">
        <v>110</v>
      </c>
      <c r="G27" s="9"/>
      <c r="H27" s="10"/>
      <c r="I27" s="9"/>
      <c r="J27" s="10"/>
      <c r="K27" s="9"/>
      <c r="L27" t="s">
        <v>56</v>
      </c>
      <c r="M27" t="str">
        <f>Config!$B$3&amp;"?room="&amp;A27</f>
        <v>https://wph-bujv.github.io/wph-rooms/?room=A-L02-Q01C1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5" customHeight="1" x14ac:dyDescent="0.25">
      <c r="A28" t="s">
        <v>121</v>
      </c>
      <c r="B28" t="s">
        <v>45</v>
      </c>
      <c r="C28" t="s">
        <v>46</v>
      </c>
      <c r="D28" t="s">
        <v>122</v>
      </c>
      <c r="E28" t="s">
        <v>123</v>
      </c>
      <c r="F28" t="s">
        <v>110</v>
      </c>
      <c r="G28" s="9"/>
      <c r="H28" s="10"/>
      <c r="I28" s="9"/>
      <c r="J28" s="10"/>
      <c r="K28" s="9"/>
      <c r="L28" t="s">
        <v>56</v>
      </c>
      <c r="M28" t="str">
        <f>Config!$B$3&amp;"?room="&amp;A28</f>
        <v>https://wph-bujv.github.io/wph-rooms/?room=A-L02-Q02A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" customHeight="1" x14ac:dyDescent="0.25">
      <c r="A29" t="s">
        <v>124</v>
      </c>
      <c r="B29" t="s">
        <v>45</v>
      </c>
      <c r="C29" t="s">
        <v>46</v>
      </c>
      <c r="D29" t="s">
        <v>125</v>
      </c>
      <c r="E29" t="s">
        <v>126</v>
      </c>
      <c r="F29" t="s">
        <v>110</v>
      </c>
      <c r="G29" s="9"/>
      <c r="H29" s="10"/>
      <c r="I29" s="9"/>
      <c r="J29" s="10"/>
      <c r="K29" s="9"/>
      <c r="L29" t="s">
        <v>56</v>
      </c>
      <c r="M29" t="str">
        <f>Config!$B$3&amp;"?room="&amp;A29</f>
        <v>https://wph-bujv.github.io/wph-rooms/?room=A-L02-Q02C2-01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5" customHeight="1" x14ac:dyDescent="0.25">
      <c r="A30" t="s">
        <v>127</v>
      </c>
      <c r="B30" t="s">
        <v>45</v>
      </c>
      <c r="C30" t="s">
        <v>46</v>
      </c>
      <c r="D30" t="s">
        <v>128</v>
      </c>
      <c r="E30" t="s">
        <v>126</v>
      </c>
      <c r="F30" t="s">
        <v>110</v>
      </c>
      <c r="G30" s="9"/>
      <c r="H30" s="10"/>
      <c r="I30" s="9"/>
      <c r="J30" s="10"/>
      <c r="K30" s="9"/>
      <c r="L30" t="s">
        <v>56</v>
      </c>
      <c r="M30" t="str">
        <f>Config!$B$3&amp;"?room="&amp;A30</f>
        <v>https://wph-bujv.github.io/wph-rooms/?room=A-L02-Q02C2-02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" customHeight="1" x14ac:dyDescent="0.25">
      <c r="A31" t="s">
        <v>129</v>
      </c>
      <c r="B31" t="s">
        <v>45</v>
      </c>
      <c r="C31" t="s">
        <v>46</v>
      </c>
      <c r="D31" t="s">
        <v>130</v>
      </c>
      <c r="E31" t="s">
        <v>131</v>
      </c>
      <c r="F31" t="s">
        <v>110</v>
      </c>
      <c r="G31" s="9"/>
      <c r="H31" s="10"/>
      <c r="I31" s="9"/>
      <c r="J31" s="10"/>
      <c r="K31" s="9"/>
      <c r="L31" t="s">
        <v>56</v>
      </c>
      <c r="M31" t="str">
        <f>Config!$B$3&amp;"?room="&amp;A31</f>
        <v>https://wph-bujv.github.io/wph-rooms/?room=A-L02-Q02E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5" customHeight="1" x14ac:dyDescent="0.25">
      <c r="A32" t="s">
        <v>132</v>
      </c>
      <c r="B32" t="s">
        <v>45</v>
      </c>
      <c r="C32" t="s">
        <v>46</v>
      </c>
      <c r="D32" t="s">
        <v>133</v>
      </c>
      <c r="E32" t="s">
        <v>134</v>
      </c>
      <c r="F32" t="s">
        <v>110</v>
      </c>
      <c r="G32" s="9"/>
      <c r="H32" s="10"/>
      <c r="I32" s="9"/>
      <c r="J32" s="10"/>
      <c r="K32" s="9"/>
      <c r="L32" t="s">
        <v>56</v>
      </c>
      <c r="M32" t="str">
        <f>Config!$B$3&amp;"?room="&amp;A32</f>
        <v>https://wph-bujv.github.io/wph-rooms/?room=A-L02-Q03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" customHeight="1" x14ac:dyDescent="0.25">
      <c r="A33" t="s">
        <v>135</v>
      </c>
      <c r="B33" t="s">
        <v>45</v>
      </c>
      <c r="C33" t="s">
        <v>46</v>
      </c>
      <c r="D33" t="s">
        <v>136</v>
      </c>
      <c r="E33" t="s">
        <v>137</v>
      </c>
      <c r="F33" t="s">
        <v>138</v>
      </c>
      <c r="G33" s="9"/>
      <c r="H33" s="10"/>
      <c r="I33" s="9"/>
      <c r="J33" s="10"/>
      <c r="K33" s="9"/>
      <c r="L33" t="s">
        <v>56</v>
      </c>
      <c r="M33" t="str">
        <f>Config!$B$3&amp;"?room="&amp;A33</f>
        <v>https://wph-bujv.github.io/wph-rooms/?room=A-L02-QADA1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5" customHeight="1" x14ac:dyDescent="0.25">
      <c r="A34" t="s">
        <v>139</v>
      </c>
      <c r="B34" t="s">
        <v>45</v>
      </c>
      <c r="C34" t="s">
        <v>46</v>
      </c>
      <c r="D34" t="s">
        <v>140</v>
      </c>
      <c r="E34" t="s">
        <v>141</v>
      </c>
      <c r="F34" t="s">
        <v>49</v>
      </c>
      <c r="G34" s="9"/>
      <c r="H34" s="10"/>
      <c r="I34" s="9"/>
      <c r="J34" s="10"/>
      <c r="K34" s="9"/>
      <c r="L34" t="s">
        <v>56</v>
      </c>
      <c r="M34" t="str">
        <f>Config!$B$3&amp;"?room="&amp;A34</f>
        <v>https://wph-bujv.github.io/wph-rooms/?room=A-L02-S05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" customHeight="1" x14ac:dyDescent="0.25">
      <c r="A35" t="s">
        <v>142</v>
      </c>
      <c r="B35" t="s">
        <v>45</v>
      </c>
      <c r="C35" t="s">
        <v>46</v>
      </c>
      <c r="D35" t="s">
        <v>143</v>
      </c>
      <c r="E35" t="s">
        <v>144</v>
      </c>
      <c r="F35" t="s">
        <v>49</v>
      </c>
      <c r="G35" s="9"/>
      <c r="H35" s="10"/>
      <c r="I35" s="9"/>
      <c r="J35" s="10"/>
      <c r="K35" s="9"/>
      <c r="L35" t="s">
        <v>56</v>
      </c>
      <c r="M35" t="str">
        <f>Config!$B$3&amp;"?room="&amp;A35</f>
        <v>https://wph-bujv.github.io/wph-rooms/?room=A-L02-S06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" customHeight="1" x14ac:dyDescent="0.25">
      <c r="A36" t="s">
        <v>145</v>
      </c>
      <c r="B36" t="s">
        <v>45</v>
      </c>
      <c r="C36" t="s">
        <v>146</v>
      </c>
      <c r="D36" t="s">
        <v>147</v>
      </c>
      <c r="E36" t="s">
        <v>53</v>
      </c>
      <c r="F36" t="s">
        <v>54</v>
      </c>
      <c r="G36" s="9"/>
      <c r="H36" s="10"/>
      <c r="I36" s="9"/>
      <c r="J36" s="10"/>
      <c r="K36" s="9"/>
      <c r="L36" t="s">
        <v>56</v>
      </c>
      <c r="M36" t="str">
        <f>Config!$B$3&amp;"?room="&amp;A36</f>
        <v>https://wph-bujv.github.io/wph-rooms/?room=A-L03-F03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" customHeight="1" x14ac:dyDescent="0.25">
      <c r="A37" t="s">
        <v>148</v>
      </c>
      <c r="B37" t="s">
        <v>45</v>
      </c>
      <c r="C37" t="s">
        <v>146</v>
      </c>
      <c r="D37" t="s">
        <v>149</v>
      </c>
      <c r="E37" t="s">
        <v>150</v>
      </c>
      <c r="F37" t="s">
        <v>54</v>
      </c>
      <c r="G37" s="9"/>
      <c r="H37" s="10"/>
      <c r="I37" s="9"/>
      <c r="J37" s="10"/>
      <c r="K37" s="9"/>
      <c r="L37" t="s">
        <v>56</v>
      </c>
      <c r="M37" t="str">
        <f>Config!$B$3&amp;"?room="&amp;A37</f>
        <v>https://wph-bujv.github.io/wph-rooms/?room=A-L03-F03A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" customHeight="1" x14ac:dyDescent="0.25">
      <c r="A38" t="s">
        <v>151</v>
      </c>
      <c r="B38" t="s">
        <v>45</v>
      </c>
      <c r="C38" t="s">
        <v>146</v>
      </c>
      <c r="D38" t="s">
        <v>152</v>
      </c>
      <c r="E38" t="s">
        <v>59</v>
      </c>
      <c r="F38" t="s">
        <v>54</v>
      </c>
      <c r="G38" s="9"/>
      <c r="H38" s="10"/>
      <c r="I38" s="9"/>
      <c r="J38" s="10"/>
      <c r="K38" s="9"/>
      <c r="L38" t="s">
        <v>56</v>
      </c>
      <c r="M38" t="str">
        <f>Config!$B$3&amp;"?room="&amp;A38</f>
        <v>https://wph-bujv.github.io/wph-rooms/?room=A-L03-F04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" customHeight="1" x14ac:dyDescent="0.25">
      <c r="A39" t="s">
        <v>153</v>
      </c>
      <c r="B39" t="s">
        <v>45</v>
      </c>
      <c r="C39" t="s">
        <v>146</v>
      </c>
      <c r="D39" t="s">
        <v>154</v>
      </c>
      <c r="E39" t="s">
        <v>155</v>
      </c>
      <c r="F39" t="s">
        <v>54</v>
      </c>
      <c r="G39" s="9"/>
      <c r="H39" s="10"/>
      <c r="I39" s="9"/>
      <c r="J39" s="10"/>
      <c r="K39" s="9"/>
      <c r="L39" t="s">
        <v>56</v>
      </c>
      <c r="M39" t="str">
        <f>Config!$B$3&amp;"?room="&amp;A39</f>
        <v>https://wph-bujv.github.io/wph-rooms/?room=A-L03-F05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" customHeight="1" x14ac:dyDescent="0.25">
      <c r="A40" t="s">
        <v>156</v>
      </c>
      <c r="B40" t="s">
        <v>45</v>
      </c>
      <c r="C40" t="s">
        <v>146</v>
      </c>
      <c r="D40" t="s">
        <v>157</v>
      </c>
      <c r="E40" t="s">
        <v>66</v>
      </c>
      <c r="F40" t="s">
        <v>67</v>
      </c>
      <c r="G40" s="9"/>
      <c r="H40" s="10"/>
      <c r="I40" s="9"/>
      <c r="J40" s="10"/>
      <c r="K40" s="9"/>
      <c r="L40" t="s">
        <v>56</v>
      </c>
      <c r="M40" t="str">
        <f>Config!$B$3&amp;"?room="&amp;A40</f>
        <v>https://wph-bujv.github.io/wph-rooms/?room=A-L03-K01-01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" customHeight="1" x14ac:dyDescent="0.25">
      <c r="A41" t="s">
        <v>158</v>
      </c>
      <c r="B41" t="s">
        <v>45</v>
      </c>
      <c r="C41" t="s">
        <v>146</v>
      </c>
      <c r="D41" t="s">
        <v>159</v>
      </c>
      <c r="E41" t="s">
        <v>66</v>
      </c>
      <c r="F41" t="s">
        <v>67</v>
      </c>
      <c r="G41" s="9"/>
      <c r="H41" s="10"/>
      <c r="I41" s="9"/>
      <c r="J41" s="10"/>
      <c r="K41" s="9"/>
      <c r="L41" t="s">
        <v>56</v>
      </c>
      <c r="M41" t="str">
        <f>Config!$B$3&amp;"?room="&amp;A41</f>
        <v>https://wph-bujv.github.io/wph-rooms/?room=A-L03-K01-02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" customHeight="1" x14ac:dyDescent="0.25">
      <c r="A42" t="s">
        <v>160</v>
      </c>
      <c r="B42" t="s">
        <v>45</v>
      </c>
      <c r="C42" t="s">
        <v>146</v>
      </c>
      <c r="D42" t="s">
        <v>161</v>
      </c>
      <c r="E42" t="s">
        <v>66</v>
      </c>
      <c r="F42" t="s">
        <v>67</v>
      </c>
      <c r="G42" s="9"/>
      <c r="H42" s="10"/>
      <c r="I42" s="9"/>
      <c r="J42" s="10"/>
      <c r="K42" s="9"/>
      <c r="L42" t="s">
        <v>56</v>
      </c>
      <c r="M42" t="str">
        <f>Config!$B$3&amp;"?room="&amp;A42</f>
        <v>https://wph-bujv.github.io/wph-rooms/?room=A-L03-K01-03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" customHeight="1" x14ac:dyDescent="0.25">
      <c r="A43" t="s">
        <v>162</v>
      </c>
      <c r="B43" t="s">
        <v>45</v>
      </c>
      <c r="C43" t="s">
        <v>146</v>
      </c>
      <c r="D43" t="s">
        <v>163</v>
      </c>
      <c r="E43" t="s">
        <v>74</v>
      </c>
      <c r="F43" t="s">
        <v>67</v>
      </c>
      <c r="G43" s="9"/>
      <c r="H43" s="10"/>
      <c r="I43" s="9"/>
      <c r="J43" s="10"/>
      <c r="K43" s="9"/>
      <c r="L43" t="s">
        <v>56</v>
      </c>
      <c r="M43" t="str">
        <f>Config!$B$3&amp;"?room="&amp;A43</f>
        <v>https://wph-bujv.github.io/wph-rooms/?room=A-L03-K01B-01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" customHeight="1" x14ac:dyDescent="0.25">
      <c r="A44" t="s">
        <v>164</v>
      </c>
      <c r="B44" t="s">
        <v>45</v>
      </c>
      <c r="C44" t="s">
        <v>146</v>
      </c>
      <c r="D44" t="s">
        <v>165</v>
      </c>
      <c r="E44" t="s">
        <v>74</v>
      </c>
      <c r="F44" t="s">
        <v>67</v>
      </c>
      <c r="G44" s="9"/>
      <c r="H44" s="10"/>
      <c r="I44" s="9"/>
      <c r="J44" s="10"/>
      <c r="K44" s="9"/>
      <c r="L44" t="s">
        <v>56</v>
      </c>
      <c r="M44" t="str">
        <f>Config!$B$3&amp;"?room="&amp;A44</f>
        <v>https://wph-bujv.github.io/wph-rooms/?room=A-L03-K01B-02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" customHeight="1" x14ac:dyDescent="0.25">
      <c r="A45" t="s">
        <v>166</v>
      </c>
      <c r="B45" t="s">
        <v>45</v>
      </c>
      <c r="C45" t="s">
        <v>146</v>
      </c>
      <c r="D45" t="s">
        <v>167</v>
      </c>
      <c r="E45" t="s">
        <v>79</v>
      </c>
      <c r="F45" t="s">
        <v>67</v>
      </c>
      <c r="G45" s="9"/>
      <c r="H45" s="10"/>
      <c r="I45" s="9"/>
      <c r="J45" s="10"/>
      <c r="K45" s="9"/>
      <c r="L45" t="s">
        <v>56</v>
      </c>
      <c r="M45" t="str">
        <f>Config!$B$3&amp;"?room="&amp;A45</f>
        <v>https://wph-bujv.github.io/wph-rooms/?room=A-L03-K01C-01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" customHeight="1" x14ac:dyDescent="0.25">
      <c r="A46" t="s">
        <v>168</v>
      </c>
      <c r="B46" t="s">
        <v>45</v>
      </c>
      <c r="C46" t="s">
        <v>146</v>
      </c>
      <c r="D46" t="s">
        <v>169</v>
      </c>
      <c r="E46" t="s">
        <v>79</v>
      </c>
      <c r="F46" t="s">
        <v>67</v>
      </c>
      <c r="G46" s="9"/>
      <c r="H46" s="10"/>
      <c r="I46" s="9"/>
      <c r="J46" s="10"/>
      <c r="K46" s="9"/>
      <c r="L46" t="s">
        <v>56</v>
      </c>
      <c r="M46" t="str">
        <f>Config!$B$3&amp;"?room="&amp;A46</f>
        <v>https://wph-bujv.github.io/wph-rooms/?room=A-L03-K01C-02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" customHeight="1" x14ac:dyDescent="0.25">
      <c r="A47" t="s">
        <v>170</v>
      </c>
      <c r="B47" t="s">
        <v>45</v>
      </c>
      <c r="C47" t="s">
        <v>146</v>
      </c>
      <c r="D47" t="s">
        <v>171</v>
      </c>
      <c r="E47" t="s">
        <v>79</v>
      </c>
      <c r="F47" t="s">
        <v>67</v>
      </c>
      <c r="G47" s="9"/>
      <c r="H47" s="10"/>
      <c r="I47" s="9"/>
      <c r="J47" s="10"/>
      <c r="K47" s="9"/>
      <c r="L47" t="s">
        <v>56</v>
      </c>
      <c r="M47" t="str">
        <f>Config!$B$3&amp;"?room="&amp;A47</f>
        <v>https://wph-bujv.github.io/wph-rooms/?room=A-L03-K01C-03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5" customHeight="1" x14ac:dyDescent="0.25">
      <c r="A48" t="s">
        <v>172</v>
      </c>
      <c r="B48" t="s">
        <v>45</v>
      </c>
      <c r="C48" t="s">
        <v>146</v>
      </c>
      <c r="D48" t="s">
        <v>173</v>
      </c>
      <c r="E48" t="s">
        <v>86</v>
      </c>
      <c r="F48" t="s">
        <v>67</v>
      </c>
      <c r="G48" s="9"/>
      <c r="H48" s="10"/>
      <c r="I48" s="9"/>
      <c r="J48" s="10"/>
      <c r="K48" s="9"/>
      <c r="L48" t="s">
        <v>56</v>
      </c>
      <c r="M48" t="str">
        <f>Config!$B$3&amp;"?room="&amp;A48</f>
        <v>https://wph-bujv.github.io/wph-rooms/?room=A-L03-K01D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" customHeight="1" x14ac:dyDescent="0.25">
      <c r="A49" t="s">
        <v>174</v>
      </c>
      <c r="B49" t="s">
        <v>45</v>
      </c>
      <c r="C49" t="s">
        <v>146</v>
      </c>
      <c r="D49" t="s">
        <v>175</v>
      </c>
      <c r="E49" t="s">
        <v>89</v>
      </c>
      <c r="F49" t="s">
        <v>67</v>
      </c>
      <c r="G49" s="9"/>
      <c r="H49" s="10"/>
      <c r="I49" s="9"/>
      <c r="J49" s="10"/>
      <c r="K49" s="9"/>
      <c r="L49" t="s">
        <v>56</v>
      </c>
      <c r="M49" t="str">
        <f>Config!$B$3&amp;"?room="&amp;A49</f>
        <v>https://wph-bujv.github.io/wph-rooms/?room=A-L03-K02-01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" customHeight="1" x14ac:dyDescent="0.25">
      <c r="A50" t="s">
        <v>176</v>
      </c>
      <c r="B50" t="s">
        <v>45</v>
      </c>
      <c r="C50" t="s">
        <v>146</v>
      </c>
      <c r="D50" t="s">
        <v>177</v>
      </c>
      <c r="E50" t="s">
        <v>89</v>
      </c>
      <c r="F50" t="s">
        <v>67</v>
      </c>
      <c r="G50" s="9"/>
      <c r="H50" s="10"/>
      <c r="I50" s="9"/>
      <c r="J50" s="10"/>
      <c r="K50" s="9"/>
      <c r="L50" t="s">
        <v>56</v>
      </c>
      <c r="M50" t="str">
        <f>Config!$B$3&amp;"?room="&amp;A50</f>
        <v>https://wph-bujv.github.io/wph-rooms/?room=A-L03-K02-02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" customHeight="1" x14ac:dyDescent="0.25">
      <c r="A51" t="s">
        <v>178</v>
      </c>
      <c r="B51" t="s">
        <v>45</v>
      </c>
      <c r="C51" t="s">
        <v>146</v>
      </c>
      <c r="D51" t="s">
        <v>179</v>
      </c>
      <c r="E51" t="s">
        <v>94</v>
      </c>
      <c r="F51" t="s">
        <v>67</v>
      </c>
      <c r="G51" s="9"/>
      <c r="H51" s="10"/>
      <c r="I51" s="9"/>
      <c r="J51" s="10"/>
      <c r="K51" s="9"/>
      <c r="L51" t="s">
        <v>56</v>
      </c>
      <c r="M51" t="str">
        <f>Config!$B$3&amp;"?room="&amp;A51</f>
        <v>https://wph-bujv.github.io/wph-rooms/?room=A-L03-K02B-01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" customHeight="1" x14ac:dyDescent="0.25">
      <c r="A52" t="s">
        <v>180</v>
      </c>
      <c r="B52" t="s">
        <v>45</v>
      </c>
      <c r="C52" t="s">
        <v>146</v>
      </c>
      <c r="D52" t="s">
        <v>181</v>
      </c>
      <c r="E52" t="s">
        <v>94</v>
      </c>
      <c r="F52" t="s">
        <v>67</v>
      </c>
      <c r="G52" s="9"/>
      <c r="H52" s="10"/>
      <c r="I52" s="9"/>
      <c r="J52" s="10"/>
      <c r="K52" s="9"/>
      <c r="L52" t="s">
        <v>56</v>
      </c>
      <c r="M52" t="str">
        <f>Config!$B$3&amp;"?room="&amp;A52</f>
        <v>https://wph-bujv.github.io/wph-rooms/?room=A-L03-K02B-02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" customHeight="1" x14ac:dyDescent="0.25">
      <c r="A53" t="s">
        <v>182</v>
      </c>
      <c r="B53" t="s">
        <v>45</v>
      </c>
      <c r="C53" t="s">
        <v>146</v>
      </c>
      <c r="D53" t="s">
        <v>183</v>
      </c>
      <c r="E53" t="s">
        <v>94</v>
      </c>
      <c r="F53" t="s">
        <v>67</v>
      </c>
      <c r="G53" s="9"/>
      <c r="H53" s="10"/>
      <c r="I53" s="9"/>
      <c r="J53" s="10"/>
      <c r="K53" s="9"/>
      <c r="L53" t="s">
        <v>56</v>
      </c>
      <c r="M53" t="str">
        <f>Config!$B$3&amp;"?room="&amp;A53</f>
        <v>https://wph-bujv.github.io/wph-rooms/?room=A-L03-K02B-03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" customHeight="1" x14ac:dyDescent="0.25">
      <c r="A54" t="s">
        <v>184</v>
      </c>
      <c r="B54" t="s">
        <v>45</v>
      </c>
      <c r="C54" t="s">
        <v>146</v>
      </c>
      <c r="D54" t="s">
        <v>185</v>
      </c>
      <c r="E54" t="s">
        <v>186</v>
      </c>
      <c r="F54" t="s">
        <v>67</v>
      </c>
      <c r="G54" s="9"/>
      <c r="H54" s="10"/>
      <c r="I54" s="9"/>
      <c r="J54" s="10"/>
      <c r="K54" s="9"/>
      <c r="L54" t="s">
        <v>56</v>
      </c>
      <c r="M54" t="str">
        <f>Config!$B$3&amp;"?room="&amp;A54</f>
        <v>https://wph-bujv.github.io/wph-rooms/?room=A-L03-K02C1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" customHeight="1" x14ac:dyDescent="0.25">
      <c r="A55" t="s">
        <v>187</v>
      </c>
      <c r="B55" t="s">
        <v>45</v>
      </c>
      <c r="C55" t="s">
        <v>146</v>
      </c>
      <c r="D55" t="s">
        <v>188</v>
      </c>
      <c r="E55" t="s">
        <v>101</v>
      </c>
      <c r="F55" t="s">
        <v>67</v>
      </c>
      <c r="G55" s="9"/>
      <c r="H55" s="10"/>
      <c r="I55" s="9"/>
      <c r="J55" s="10"/>
      <c r="K55" s="9"/>
      <c r="L55" t="s">
        <v>56</v>
      </c>
      <c r="M55" t="str">
        <f>Config!$B$3&amp;"?room="&amp;A55</f>
        <v>https://wph-bujv.github.io/wph-rooms/?room=A-L03-K02C2-01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" customHeight="1" x14ac:dyDescent="0.25">
      <c r="A56" t="s">
        <v>189</v>
      </c>
      <c r="B56" t="s">
        <v>45</v>
      </c>
      <c r="C56" t="s">
        <v>146</v>
      </c>
      <c r="D56" t="s">
        <v>190</v>
      </c>
      <c r="E56" t="s">
        <v>101</v>
      </c>
      <c r="F56" t="s">
        <v>67</v>
      </c>
      <c r="G56" s="9"/>
      <c r="H56" s="10"/>
      <c r="I56" s="9"/>
      <c r="J56" s="10"/>
      <c r="K56" s="9"/>
      <c r="L56" t="s">
        <v>56</v>
      </c>
      <c r="M56" t="str">
        <f>Config!$B$3&amp;"?room="&amp;A56</f>
        <v>https://wph-bujv.github.io/wph-rooms/?room=A-L03-K02C2-02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" customHeight="1" x14ac:dyDescent="0.25">
      <c r="A57" t="s">
        <v>191</v>
      </c>
      <c r="B57" t="s">
        <v>45</v>
      </c>
      <c r="C57" t="s">
        <v>146</v>
      </c>
      <c r="D57" t="s">
        <v>192</v>
      </c>
      <c r="E57" t="s">
        <v>106</v>
      </c>
      <c r="F57" t="s">
        <v>67</v>
      </c>
      <c r="G57" s="9"/>
      <c r="H57" s="10"/>
      <c r="I57" s="9"/>
      <c r="J57" s="10"/>
      <c r="K57" s="9"/>
      <c r="L57" t="s">
        <v>56</v>
      </c>
      <c r="M57" t="str">
        <f>Config!$B$3&amp;"?room="&amp;A57</f>
        <v>https://wph-bujv.github.io/wph-rooms/?room=A-L03-K02D1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5" customHeight="1" x14ac:dyDescent="0.25">
      <c r="A58" t="s">
        <v>193</v>
      </c>
      <c r="B58" t="s">
        <v>45</v>
      </c>
      <c r="C58" t="s">
        <v>146</v>
      </c>
      <c r="D58" t="s">
        <v>194</v>
      </c>
      <c r="E58" t="s">
        <v>109</v>
      </c>
      <c r="F58" t="s">
        <v>110</v>
      </c>
      <c r="G58" s="9"/>
      <c r="H58" s="10"/>
      <c r="I58" s="9"/>
      <c r="J58" s="10"/>
      <c r="K58" s="9"/>
      <c r="L58" t="s">
        <v>56</v>
      </c>
      <c r="M58" t="str">
        <f>Config!$B$3&amp;"?room="&amp;A58</f>
        <v>https://wph-bujv.github.io/wph-rooms/?room=A-L03-Q01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" customHeight="1" x14ac:dyDescent="0.25">
      <c r="A59" t="s">
        <v>195</v>
      </c>
      <c r="B59" t="s">
        <v>45</v>
      </c>
      <c r="C59" t="s">
        <v>146</v>
      </c>
      <c r="D59" t="s">
        <v>196</v>
      </c>
      <c r="E59" t="s">
        <v>113</v>
      </c>
      <c r="F59" t="s">
        <v>110</v>
      </c>
      <c r="G59" s="9"/>
      <c r="H59" s="10"/>
      <c r="I59" s="9"/>
      <c r="J59" s="10"/>
      <c r="K59" s="9"/>
      <c r="L59" t="s">
        <v>56</v>
      </c>
      <c r="M59" t="str">
        <f>Config!$B$3&amp;"?room="&amp;A59</f>
        <v>https://wph-bujv.github.io/wph-rooms/?room=A-L03-Q01C-01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5" customHeight="1" x14ac:dyDescent="0.25">
      <c r="A60" t="s">
        <v>197</v>
      </c>
      <c r="B60" t="s">
        <v>45</v>
      </c>
      <c r="C60" t="s">
        <v>146</v>
      </c>
      <c r="D60" t="s">
        <v>198</v>
      </c>
      <c r="E60" t="s">
        <v>113</v>
      </c>
      <c r="F60" t="s">
        <v>110</v>
      </c>
      <c r="G60" s="9"/>
      <c r="H60" s="10"/>
      <c r="I60" s="9"/>
      <c r="J60" s="10"/>
      <c r="K60" s="9"/>
      <c r="L60" t="s">
        <v>56</v>
      </c>
      <c r="M60" t="str">
        <f>Config!$B$3&amp;"?room="&amp;A60</f>
        <v>https://wph-bujv.github.io/wph-rooms/?room=A-L03-Q01C-02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" customHeight="1" x14ac:dyDescent="0.25">
      <c r="A61" t="s">
        <v>199</v>
      </c>
      <c r="B61" t="s">
        <v>45</v>
      </c>
      <c r="C61" t="s">
        <v>146</v>
      </c>
      <c r="D61" t="s">
        <v>200</v>
      </c>
      <c r="E61" t="s">
        <v>113</v>
      </c>
      <c r="F61" t="s">
        <v>110</v>
      </c>
      <c r="G61" s="9"/>
      <c r="H61" s="10"/>
      <c r="I61" s="9"/>
      <c r="J61" s="10"/>
      <c r="K61" s="9"/>
      <c r="L61" t="s">
        <v>56</v>
      </c>
      <c r="M61" t="str">
        <f>Config!$B$3&amp;"?room="&amp;A61</f>
        <v>https://wph-bujv.github.io/wph-rooms/?room=A-L03-Q01C-03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5" customHeight="1" x14ac:dyDescent="0.25">
      <c r="A62" t="s">
        <v>201</v>
      </c>
      <c r="B62" t="s">
        <v>45</v>
      </c>
      <c r="C62" t="s">
        <v>146</v>
      </c>
      <c r="D62" t="s">
        <v>202</v>
      </c>
      <c r="E62" t="s">
        <v>120</v>
      </c>
      <c r="F62" t="s">
        <v>110</v>
      </c>
      <c r="G62" s="9"/>
      <c r="H62" s="10"/>
      <c r="I62" s="9"/>
      <c r="J62" s="10"/>
      <c r="K62" s="9"/>
      <c r="L62" t="s">
        <v>56</v>
      </c>
      <c r="M62" t="str">
        <f>Config!$B$3&amp;"?room="&amp;A62</f>
        <v>https://wph-bujv.github.io/wph-rooms/?room=A-L03-Q01C1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" customHeight="1" x14ac:dyDescent="0.25">
      <c r="A63" t="s">
        <v>203</v>
      </c>
      <c r="B63" t="s">
        <v>45</v>
      </c>
      <c r="C63" t="s">
        <v>146</v>
      </c>
      <c r="D63" t="s">
        <v>204</v>
      </c>
      <c r="E63" t="s">
        <v>205</v>
      </c>
      <c r="F63" t="s">
        <v>110</v>
      </c>
      <c r="G63" s="9"/>
      <c r="H63" s="10"/>
      <c r="I63" s="9"/>
      <c r="J63" s="10"/>
      <c r="K63" s="9"/>
      <c r="L63" t="s">
        <v>56</v>
      </c>
      <c r="M63" t="str">
        <f>Config!$B$3&amp;"?room="&amp;A63</f>
        <v>https://wph-bujv.github.io/wph-rooms/?room=A-L03-Q02C1-01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" customHeight="1" x14ac:dyDescent="0.25">
      <c r="A64" t="s">
        <v>206</v>
      </c>
      <c r="B64" t="s">
        <v>45</v>
      </c>
      <c r="C64" t="s">
        <v>146</v>
      </c>
      <c r="D64" t="s">
        <v>207</v>
      </c>
      <c r="E64" t="s">
        <v>205</v>
      </c>
      <c r="F64" t="s">
        <v>110</v>
      </c>
      <c r="G64" s="9"/>
      <c r="H64" s="10"/>
      <c r="I64" s="9"/>
      <c r="J64" s="10"/>
      <c r="K64" s="9"/>
      <c r="L64" t="s">
        <v>56</v>
      </c>
      <c r="M64" t="str">
        <f>Config!$B$3&amp;"?room="&amp;A64</f>
        <v>https://wph-bujv.github.io/wph-rooms/?room=A-L03-Q02C1-02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" customHeight="1" x14ac:dyDescent="0.25">
      <c r="A65" t="s">
        <v>208</v>
      </c>
      <c r="B65" t="s">
        <v>45</v>
      </c>
      <c r="C65" t="s">
        <v>146</v>
      </c>
      <c r="D65" t="s">
        <v>209</v>
      </c>
      <c r="E65" t="s">
        <v>126</v>
      </c>
      <c r="F65" t="s">
        <v>110</v>
      </c>
      <c r="G65" s="9"/>
      <c r="H65" s="10"/>
      <c r="I65" s="9"/>
      <c r="J65" s="10"/>
      <c r="K65" s="9"/>
      <c r="L65" t="s">
        <v>56</v>
      </c>
      <c r="M65" t="str">
        <f>Config!$B$3&amp;"?room="&amp;A65</f>
        <v>https://wph-bujv.github.io/wph-rooms/?room=A-L03-Q02C2-01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5" customHeight="1" x14ac:dyDescent="0.25">
      <c r="A66" t="s">
        <v>210</v>
      </c>
      <c r="B66" t="s">
        <v>45</v>
      </c>
      <c r="C66" t="s">
        <v>146</v>
      </c>
      <c r="D66" t="s">
        <v>211</v>
      </c>
      <c r="E66" t="s">
        <v>126</v>
      </c>
      <c r="F66" t="s">
        <v>110</v>
      </c>
      <c r="G66" s="9"/>
      <c r="H66" s="10"/>
      <c r="I66" s="9"/>
      <c r="J66" s="10"/>
      <c r="K66" s="9"/>
      <c r="L66" t="s">
        <v>56</v>
      </c>
      <c r="M66" t="str">
        <f>Config!$B$3&amp;"?room="&amp;A66</f>
        <v>https://wph-bujv.github.io/wph-rooms/?room=A-L03-Q02C2-02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" customHeight="1" x14ac:dyDescent="0.25">
      <c r="A67" t="s">
        <v>212</v>
      </c>
      <c r="B67" t="s">
        <v>45</v>
      </c>
      <c r="C67" t="s">
        <v>146</v>
      </c>
      <c r="D67" t="s">
        <v>213</v>
      </c>
      <c r="E67" t="s">
        <v>131</v>
      </c>
      <c r="F67" t="s">
        <v>110</v>
      </c>
      <c r="G67" s="9"/>
      <c r="H67" s="10"/>
      <c r="I67" s="9"/>
      <c r="J67" s="10"/>
      <c r="K67" s="9"/>
      <c r="L67" t="s">
        <v>56</v>
      </c>
      <c r="M67" t="str">
        <f>Config!$B$3&amp;"?room="&amp;A67</f>
        <v>https://wph-bujv.github.io/wph-rooms/?room=A-L03-Q02E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5" customHeight="1" x14ac:dyDescent="0.25">
      <c r="A68" t="s">
        <v>214</v>
      </c>
      <c r="B68" t="s">
        <v>45</v>
      </c>
      <c r="C68" t="s">
        <v>146</v>
      </c>
      <c r="D68" t="s">
        <v>215</v>
      </c>
      <c r="E68" t="s">
        <v>137</v>
      </c>
      <c r="F68" t="s">
        <v>138</v>
      </c>
      <c r="G68" s="9"/>
      <c r="H68" s="10"/>
      <c r="I68" s="9"/>
      <c r="J68" s="10"/>
      <c r="K68" s="9"/>
      <c r="L68" t="s">
        <v>56</v>
      </c>
      <c r="M68" t="str">
        <f>Config!$B$3&amp;"?room="&amp;A68</f>
        <v>https://wph-bujv.github.io/wph-rooms/?room=A-L03-QADA1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" customHeight="1" x14ac:dyDescent="0.25">
      <c r="A69" t="s">
        <v>216</v>
      </c>
      <c r="B69" t="s">
        <v>45</v>
      </c>
      <c r="C69" t="s">
        <v>146</v>
      </c>
      <c r="D69" t="s">
        <v>217</v>
      </c>
      <c r="E69" t="s">
        <v>141</v>
      </c>
      <c r="F69" t="s">
        <v>49</v>
      </c>
      <c r="G69" s="9"/>
      <c r="H69" s="10"/>
      <c r="I69" s="9"/>
      <c r="J69" s="10"/>
      <c r="K69" s="9"/>
      <c r="L69" t="s">
        <v>56</v>
      </c>
      <c r="M69" t="str">
        <f>Config!$B$3&amp;"?room="&amp;A69</f>
        <v>https://wph-bujv.github.io/wph-rooms/?room=A-L03-S05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5" customHeight="1" x14ac:dyDescent="0.25">
      <c r="A70" t="s">
        <v>218</v>
      </c>
      <c r="B70" t="s">
        <v>45</v>
      </c>
      <c r="C70" t="s">
        <v>146</v>
      </c>
      <c r="D70" t="s">
        <v>219</v>
      </c>
      <c r="E70" t="s">
        <v>144</v>
      </c>
      <c r="F70" t="s">
        <v>49</v>
      </c>
      <c r="G70" s="9"/>
      <c r="H70" s="10"/>
      <c r="I70" s="9"/>
      <c r="J70" s="10"/>
      <c r="K70" s="9"/>
      <c r="L70" t="s">
        <v>56</v>
      </c>
      <c r="M70" t="str">
        <f>Config!$B$3&amp;"?room="&amp;A70</f>
        <v>https://wph-bujv.github.io/wph-rooms/?room=A-L03-S06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" customHeight="1" x14ac:dyDescent="0.25">
      <c r="A71" t="s">
        <v>220</v>
      </c>
      <c r="B71" t="s">
        <v>45</v>
      </c>
      <c r="C71" t="s">
        <v>221</v>
      </c>
      <c r="D71" t="s">
        <v>222</v>
      </c>
      <c r="E71" t="s">
        <v>53</v>
      </c>
      <c r="F71" t="s">
        <v>54</v>
      </c>
      <c r="G71" s="9"/>
      <c r="H71" s="10"/>
      <c r="I71" s="9"/>
      <c r="J71" s="10"/>
      <c r="K71" s="9"/>
      <c r="L71" t="s">
        <v>56</v>
      </c>
      <c r="M71" t="str">
        <f>Config!$B$3&amp;"?room="&amp;A71</f>
        <v>https://wph-bujv.github.io/wph-rooms/?room=A-L04-F03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5" customHeight="1" x14ac:dyDescent="0.25">
      <c r="A72" t="s">
        <v>223</v>
      </c>
      <c r="B72" t="s">
        <v>45</v>
      </c>
      <c r="C72" t="s">
        <v>221</v>
      </c>
      <c r="D72" t="s">
        <v>224</v>
      </c>
      <c r="E72" t="s">
        <v>150</v>
      </c>
      <c r="F72" t="s">
        <v>54</v>
      </c>
      <c r="G72" s="9"/>
      <c r="H72" s="10"/>
      <c r="I72" s="9"/>
      <c r="J72" s="10"/>
      <c r="K72" s="9"/>
      <c r="L72" t="s">
        <v>56</v>
      </c>
      <c r="M72" t="str">
        <f>Config!$B$3&amp;"?room="&amp;A72</f>
        <v>https://wph-bujv.github.io/wph-rooms/?room=A-L04-F03A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" customHeight="1" x14ac:dyDescent="0.25">
      <c r="A73" t="s">
        <v>225</v>
      </c>
      <c r="B73" t="s">
        <v>45</v>
      </c>
      <c r="C73" t="s">
        <v>221</v>
      </c>
      <c r="D73" t="s">
        <v>226</v>
      </c>
      <c r="E73" t="s">
        <v>59</v>
      </c>
      <c r="F73" t="s">
        <v>54</v>
      </c>
      <c r="G73" s="9"/>
      <c r="H73" s="10"/>
      <c r="I73" s="9"/>
      <c r="J73" s="10"/>
      <c r="K73" s="9"/>
      <c r="L73" t="s">
        <v>56</v>
      </c>
      <c r="M73" t="str">
        <f>Config!$B$3&amp;"?room="&amp;A73</f>
        <v>https://wph-bujv.github.io/wph-rooms/?room=A-L04-F04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5" customHeight="1" x14ac:dyDescent="0.25">
      <c r="A74" t="s">
        <v>227</v>
      </c>
      <c r="B74" t="s">
        <v>45</v>
      </c>
      <c r="C74" t="s">
        <v>221</v>
      </c>
      <c r="D74" t="s">
        <v>228</v>
      </c>
      <c r="E74" t="s">
        <v>155</v>
      </c>
      <c r="F74" t="s">
        <v>54</v>
      </c>
      <c r="G74" s="9"/>
      <c r="H74" s="10"/>
      <c r="I74" s="9"/>
      <c r="J74" s="10"/>
      <c r="K74" s="9"/>
      <c r="L74" t="s">
        <v>56</v>
      </c>
      <c r="M74" t="str">
        <f>Config!$B$3&amp;"?room="&amp;A74</f>
        <v>https://wph-bujv.github.io/wph-rooms/?room=A-L04-F05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" customHeight="1" x14ac:dyDescent="0.25">
      <c r="A75" t="s">
        <v>229</v>
      </c>
      <c r="B75" t="s">
        <v>45</v>
      </c>
      <c r="C75" t="s">
        <v>221</v>
      </c>
      <c r="D75" t="s">
        <v>230</v>
      </c>
      <c r="E75" t="s">
        <v>66</v>
      </c>
      <c r="F75" t="s">
        <v>67</v>
      </c>
      <c r="G75" s="9"/>
      <c r="H75" s="10"/>
      <c r="I75" s="9"/>
      <c r="J75" s="10"/>
      <c r="K75" s="9"/>
      <c r="L75" t="s">
        <v>56</v>
      </c>
      <c r="M75" t="str">
        <f>Config!$B$3&amp;"?room="&amp;A75</f>
        <v>https://wph-bujv.github.io/wph-rooms/?room=A-L04-K01-01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5" customHeight="1" x14ac:dyDescent="0.25">
      <c r="A76" t="s">
        <v>231</v>
      </c>
      <c r="B76" t="s">
        <v>45</v>
      </c>
      <c r="C76" t="s">
        <v>221</v>
      </c>
      <c r="D76" t="s">
        <v>232</v>
      </c>
      <c r="E76" t="s">
        <v>66</v>
      </c>
      <c r="F76" t="s">
        <v>67</v>
      </c>
      <c r="G76" s="9"/>
      <c r="H76" s="10"/>
      <c r="I76" s="9"/>
      <c r="J76" s="10"/>
      <c r="K76" s="9"/>
      <c r="L76" t="s">
        <v>56</v>
      </c>
      <c r="M76" t="str">
        <f>Config!$B$3&amp;"?room="&amp;A76</f>
        <v>https://wph-bujv.github.io/wph-rooms/?room=A-L04-K01-02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" customHeight="1" x14ac:dyDescent="0.25">
      <c r="A77" t="s">
        <v>233</v>
      </c>
      <c r="B77" t="s">
        <v>45</v>
      </c>
      <c r="C77" t="s">
        <v>221</v>
      </c>
      <c r="D77" t="s">
        <v>234</v>
      </c>
      <c r="E77" t="s">
        <v>66</v>
      </c>
      <c r="F77" t="s">
        <v>67</v>
      </c>
      <c r="G77" s="9"/>
      <c r="H77" s="10"/>
      <c r="I77" s="9"/>
      <c r="J77" s="10"/>
      <c r="K77" s="9"/>
      <c r="L77" t="s">
        <v>56</v>
      </c>
      <c r="M77" t="str">
        <f>Config!$B$3&amp;"?room="&amp;A77</f>
        <v>https://wph-bujv.github.io/wph-rooms/?room=A-L04-K01-03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5" customHeight="1" x14ac:dyDescent="0.25">
      <c r="A78" t="s">
        <v>235</v>
      </c>
      <c r="B78" t="s">
        <v>45</v>
      </c>
      <c r="C78" t="s">
        <v>221</v>
      </c>
      <c r="D78" t="s">
        <v>236</v>
      </c>
      <c r="E78" t="s">
        <v>74</v>
      </c>
      <c r="F78" t="s">
        <v>67</v>
      </c>
      <c r="G78" s="9"/>
      <c r="H78" s="10"/>
      <c r="I78" s="9"/>
      <c r="J78" s="10"/>
      <c r="K78" s="9"/>
      <c r="L78" t="s">
        <v>56</v>
      </c>
      <c r="M78" t="str">
        <f>Config!$B$3&amp;"?room="&amp;A78</f>
        <v>https://wph-bujv.github.io/wph-rooms/?room=A-L04-K01B-01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" customHeight="1" x14ac:dyDescent="0.25">
      <c r="A79" t="s">
        <v>237</v>
      </c>
      <c r="B79" t="s">
        <v>45</v>
      </c>
      <c r="C79" t="s">
        <v>221</v>
      </c>
      <c r="D79" t="s">
        <v>238</v>
      </c>
      <c r="E79" t="s">
        <v>74</v>
      </c>
      <c r="F79" t="s">
        <v>67</v>
      </c>
      <c r="G79" s="9"/>
      <c r="H79" s="10"/>
      <c r="I79" s="9"/>
      <c r="J79" s="10"/>
      <c r="K79" s="9"/>
      <c r="L79" t="s">
        <v>56</v>
      </c>
      <c r="M79" t="str">
        <f>Config!$B$3&amp;"?room="&amp;A79</f>
        <v>https://wph-bujv.github.io/wph-rooms/?room=A-L04-K01B-02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5" customHeight="1" x14ac:dyDescent="0.25">
      <c r="A80" t="s">
        <v>239</v>
      </c>
      <c r="B80" t="s">
        <v>45</v>
      </c>
      <c r="C80" t="s">
        <v>221</v>
      </c>
      <c r="D80" t="s">
        <v>240</v>
      </c>
      <c r="E80" t="s">
        <v>79</v>
      </c>
      <c r="F80" t="s">
        <v>67</v>
      </c>
      <c r="G80" s="9"/>
      <c r="H80" s="10"/>
      <c r="I80" s="9"/>
      <c r="J80" s="10"/>
      <c r="K80" s="9"/>
      <c r="L80" t="s">
        <v>56</v>
      </c>
      <c r="M80" t="str">
        <f>Config!$B$3&amp;"?room="&amp;A80</f>
        <v>https://wph-bujv.github.io/wph-rooms/?room=A-L04-K01C-01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" customHeight="1" x14ac:dyDescent="0.25">
      <c r="A81" t="s">
        <v>241</v>
      </c>
      <c r="B81" t="s">
        <v>45</v>
      </c>
      <c r="C81" t="s">
        <v>221</v>
      </c>
      <c r="D81" t="s">
        <v>242</v>
      </c>
      <c r="E81" t="s">
        <v>79</v>
      </c>
      <c r="F81" t="s">
        <v>67</v>
      </c>
      <c r="G81" s="9"/>
      <c r="H81" s="10"/>
      <c r="I81" s="9"/>
      <c r="J81" s="10"/>
      <c r="K81" s="9"/>
      <c r="L81" t="s">
        <v>56</v>
      </c>
      <c r="M81" t="str">
        <f>Config!$B$3&amp;"?room="&amp;A81</f>
        <v>https://wph-bujv.github.io/wph-rooms/?room=A-L04-K01C-02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5" customHeight="1" x14ac:dyDescent="0.25">
      <c r="A82" t="s">
        <v>243</v>
      </c>
      <c r="B82" t="s">
        <v>45</v>
      </c>
      <c r="C82" t="s">
        <v>221</v>
      </c>
      <c r="D82" t="s">
        <v>244</v>
      </c>
      <c r="E82" t="s">
        <v>79</v>
      </c>
      <c r="F82" t="s">
        <v>67</v>
      </c>
      <c r="G82" s="9"/>
      <c r="H82" s="10"/>
      <c r="I82" s="9"/>
      <c r="J82" s="10"/>
      <c r="K82" s="9"/>
      <c r="L82" t="s">
        <v>56</v>
      </c>
      <c r="M82" t="str">
        <f>Config!$B$3&amp;"?room="&amp;A82</f>
        <v>https://wph-bujv.github.io/wph-rooms/?room=A-L04-K01C-03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" customHeight="1" x14ac:dyDescent="0.25">
      <c r="A83" t="s">
        <v>245</v>
      </c>
      <c r="B83" t="s">
        <v>45</v>
      </c>
      <c r="C83" t="s">
        <v>221</v>
      </c>
      <c r="D83" t="s">
        <v>246</v>
      </c>
      <c r="E83" t="s">
        <v>86</v>
      </c>
      <c r="F83" t="s">
        <v>67</v>
      </c>
      <c r="G83" s="9"/>
      <c r="H83" s="10"/>
      <c r="I83" s="9"/>
      <c r="J83" s="10"/>
      <c r="K83" s="9"/>
      <c r="L83" t="s">
        <v>56</v>
      </c>
      <c r="M83" t="str">
        <f>Config!$B$3&amp;"?room="&amp;A83</f>
        <v>https://wph-bujv.github.io/wph-rooms/?room=A-L04-K01D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5" customHeight="1" x14ac:dyDescent="0.25">
      <c r="A84" t="s">
        <v>247</v>
      </c>
      <c r="B84" t="s">
        <v>45</v>
      </c>
      <c r="C84" t="s">
        <v>221</v>
      </c>
      <c r="D84" t="s">
        <v>248</v>
      </c>
      <c r="E84" t="s">
        <v>89</v>
      </c>
      <c r="F84" t="s">
        <v>67</v>
      </c>
      <c r="G84" s="9"/>
      <c r="H84" s="10"/>
      <c r="I84" s="9"/>
      <c r="J84" s="10"/>
      <c r="K84" s="9"/>
      <c r="L84" t="s">
        <v>56</v>
      </c>
      <c r="M84" t="str">
        <f>Config!$B$3&amp;"?room="&amp;A84</f>
        <v>https://wph-bujv.github.io/wph-rooms/?room=A-L04-K02-01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" customHeight="1" x14ac:dyDescent="0.25">
      <c r="A85" t="s">
        <v>249</v>
      </c>
      <c r="B85" t="s">
        <v>45</v>
      </c>
      <c r="C85" t="s">
        <v>221</v>
      </c>
      <c r="D85" t="s">
        <v>250</v>
      </c>
      <c r="E85" t="s">
        <v>89</v>
      </c>
      <c r="F85" t="s">
        <v>67</v>
      </c>
      <c r="G85" s="9"/>
      <c r="H85" s="10"/>
      <c r="I85" s="9"/>
      <c r="J85" s="10"/>
      <c r="K85" s="9"/>
      <c r="L85" t="s">
        <v>56</v>
      </c>
      <c r="M85" t="str">
        <f>Config!$B$3&amp;"?room="&amp;A85</f>
        <v>https://wph-bujv.github.io/wph-rooms/?room=A-L04-K02-02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5" customHeight="1" x14ac:dyDescent="0.25">
      <c r="A86" t="s">
        <v>251</v>
      </c>
      <c r="B86" t="s">
        <v>45</v>
      </c>
      <c r="C86" t="s">
        <v>221</v>
      </c>
      <c r="D86" t="s">
        <v>252</v>
      </c>
      <c r="E86" t="s">
        <v>94</v>
      </c>
      <c r="F86" t="s">
        <v>67</v>
      </c>
      <c r="G86" s="9"/>
      <c r="H86" s="10"/>
      <c r="I86" s="9"/>
      <c r="J86" s="10"/>
      <c r="K86" s="9"/>
      <c r="L86" t="s">
        <v>56</v>
      </c>
      <c r="M86" t="str">
        <f>Config!$B$3&amp;"?room="&amp;A86</f>
        <v>https://wph-bujv.github.io/wph-rooms/?room=A-L04-K02B-01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" customHeight="1" x14ac:dyDescent="0.25">
      <c r="A87" t="s">
        <v>253</v>
      </c>
      <c r="B87" t="s">
        <v>45</v>
      </c>
      <c r="C87" t="s">
        <v>221</v>
      </c>
      <c r="D87" t="s">
        <v>254</v>
      </c>
      <c r="E87" t="s">
        <v>94</v>
      </c>
      <c r="F87" t="s">
        <v>67</v>
      </c>
      <c r="G87" s="9"/>
      <c r="H87" s="10"/>
      <c r="I87" s="9"/>
      <c r="J87" s="10"/>
      <c r="K87" s="9"/>
      <c r="L87" t="s">
        <v>56</v>
      </c>
      <c r="M87" t="str">
        <f>Config!$B$3&amp;"?room="&amp;A87</f>
        <v>https://wph-bujv.github.io/wph-rooms/?room=A-L04-K02B-02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5" customHeight="1" x14ac:dyDescent="0.25">
      <c r="A88" t="s">
        <v>255</v>
      </c>
      <c r="B88" t="s">
        <v>45</v>
      </c>
      <c r="C88" t="s">
        <v>221</v>
      </c>
      <c r="D88" t="s">
        <v>256</v>
      </c>
      <c r="E88" t="s">
        <v>94</v>
      </c>
      <c r="F88" t="s">
        <v>67</v>
      </c>
      <c r="G88" s="9"/>
      <c r="H88" s="10"/>
      <c r="I88" s="9"/>
      <c r="J88" s="10"/>
      <c r="K88" s="9"/>
      <c r="L88" t="s">
        <v>56</v>
      </c>
      <c r="M88" t="str">
        <f>Config!$B$3&amp;"?room="&amp;A88</f>
        <v>https://wph-bujv.github.io/wph-rooms/?room=A-L04-K02B-03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" customHeight="1" x14ac:dyDescent="0.25">
      <c r="A89" t="s">
        <v>257</v>
      </c>
      <c r="B89" t="s">
        <v>45</v>
      </c>
      <c r="C89" t="s">
        <v>221</v>
      </c>
      <c r="D89" t="s">
        <v>258</v>
      </c>
      <c r="E89" t="s">
        <v>186</v>
      </c>
      <c r="F89" t="s">
        <v>67</v>
      </c>
      <c r="G89" s="9"/>
      <c r="H89" s="10"/>
      <c r="I89" s="9"/>
      <c r="J89" s="10"/>
      <c r="K89" s="9"/>
      <c r="L89" t="s">
        <v>56</v>
      </c>
      <c r="M89" t="str">
        <f>Config!$B$3&amp;"?room="&amp;A89</f>
        <v>https://wph-bujv.github.io/wph-rooms/?room=A-L04-K02C1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5" customHeight="1" x14ac:dyDescent="0.25">
      <c r="A90" t="s">
        <v>259</v>
      </c>
      <c r="B90" t="s">
        <v>45</v>
      </c>
      <c r="C90" t="s">
        <v>221</v>
      </c>
      <c r="D90" t="s">
        <v>260</v>
      </c>
      <c r="E90" t="s">
        <v>101</v>
      </c>
      <c r="F90" t="s">
        <v>67</v>
      </c>
      <c r="G90" s="9"/>
      <c r="H90" s="10"/>
      <c r="I90" s="9"/>
      <c r="J90" s="10"/>
      <c r="K90" s="9"/>
      <c r="L90" t="s">
        <v>56</v>
      </c>
      <c r="M90" t="str">
        <f>Config!$B$3&amp;"?room="&amp;A90</f>
        <v>https://wph-bujv.github.io/wph-rooms/?room=A-L04-K02C2-01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" customHeight="1" x14ac:dyDescent="0.25">
      <c r="A91" t="s">
        <v>261</v>
      </c>
      <c r="B91" t="s">
        <v>45</v>
      </c>
      <c r="C91" t="s">
        <v>221</v>
      </c>
      <c r="D91" t="s">
        <v>262</v>
      </c>
      <c r="E91" t="s">
        <v>101</v>
      </c>
      <c r="F91" t="s">
        <v>67</v>
      </c>
      <c r="G91" s="9"/>
      <c r="H91" s="10"/>
      <c r="I91" s="9"/>
      <c r="J91" s="10"/>
      <c r="K91" s="9"/>
      <c r="L91" t="s">
        <v>56</v>
      </c>
      <c r="M91" t="str">
        <f>Config!$B$3&amp;"?room="&amp;A91</f>
        <v>https://wph-bujv.github.io/wph-rooms/?room=A-L04-K02C2-02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" customHeight="1" x14ac:dyDescent="0.25">
      <c r="A92" t="s">
        <v>263</v>
      </c>
      <c r="B92" t="s">
        <v>45</v>
      </c>
      <c r="C92" t="s">
        <v>221</v>
      </c>
      <c r="D92" t="s">
        <v>264</v>
      </c>
      <c r="E92" t="s">
        <v>106</v>
      </c>
      <c r="F92" t="s">
        <v>67</v>
      </c>
      <c r="G92" s="9"/>
      <c r="H92" s="10"/>
      <c r="I92" s="9"/>
      <c r="J92" s="10"/>
      <c r="K92" s="9"/>
      <c r="L92" t="s">
        <v>56</v>
      </c>
      <c r="M92" t="str">
        <f>Config!$B$3&amp;"?room="&amp;A92</f>
        <v>https://wph-bujv.github.io/wph-rooms/?room=A-L04-K02D1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" customHeight="1" x14ac:dyDescent="0.25">
      <c r="A93" t="s">
        <v>265</v>
      </c>
      <c r="B93" t="s">
        <v>45</v>
      </c>
      <c r="C93" t="s">
        <v>221</v>
      </c>
      <c r="D93" t="s">
        <v>266</v>
      </c>
      <c r="E93" t="s">
        <v>109</v>
      </c>
      <c r="F93" t="s">
        <v>110</v>
      </c>
      <c r="G93" s="9"/>
      <c r="H93" s="10"/>
      <c r="I93" s="9"/>
      <c r="J93" s="10"/>
      <c r="K93" s="9"/>
      <c r="L93" t="s">
        <v>56</v>
      </c>
      <c r="M93" t="str">
        <f>Config!$B$3&amp;"?room="&amp;A93</f>
        <v>https://wph-bujv.github.io/wph-rooms/?room=A-L04-Q01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" customHeight="1" x14ac:dyDescent="0.25">
      <c r="A94" t="s">
        <v>267</v>
      </c>
      <c r="B94" t="s">
        <v>45</v>
      </c>
      <c r="C94" t="s">
        <v>221</v>
      </c>
      <c r="D94" t="s">
        <v>268</v>
      </c>
      <c r="E94" t="s">
        <v>113</v>
      </c>
      <c r="F94" t="s">
        <v>110</v>
      </c>
      <c r="G94" s="9"/>
      <c r="H94" s="10"/>
      <c r="I94" s="9"/>
      <c r="J94" s="10"/>
      <c r="K94" s="9"/>
      <c r="L94" t="s">
        <v>56</v>
      </c>
      <c r="M94" t="str">
        <f>Config!$B$3&amp;"?room="&amp;A94</f>
        <v>https://wph-bujv.github.io/wph-rooms/?room=A-L04-Q01C-01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" customHeight="1" x14ac:dyDescent="0.25">
      <c r="A95" t="s">
        <v>269</v>
      </c>
      <c r="B95" t="s">
        <v>45</v>
      </c>
      <c r="C95" t="s">
        <v>221</v>
      </c>
      <c r="D95" t="s">
        <v>270</v>
      </c>
      <c r="E95" t="s">
        <v>113</v>
      </c>
      <c r="F95" t="s">
        <v>110</v>
      </c>
      <c r="G95" s="9"/>
      <c r="H95" s="10"/>
      <c r="I95" s="9"/>
      <c r="J95" s="10"/>
      <c r="K95" s="9"/>
      <c r="L95" t="s">
        <v>56</v>
      </c>
      <c r="M95" t="str">
        <f>Config!$B$3&amp;"?room="&amp;A95</f>
        <v>https://wph-bujv.github.io/wph-rooms/?room=A-L04-Q01C-02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5" customHeight="1" x14ac:dyDescent="0.25">
      <c r="A96" t="s">
        <v>271</v>
      </c>
      <c r="B96" t="s">
        <v>45</v>
      </c>
      <c r="C96" t="s">
        <v>221</v>
      </c>
      <c r="D96" t="s">
        <v>272</v>
      </c>
      <c r="E96" t="s">
        <v>113</v>
      </c>
      <c r="F96" t="s">
        <v>110</v>
      </c>
      <c r="G96" s="9"/>
      <c r="H96" s="10"/>
      <c r="I96" s="9"/>
      <c r="J96" s="10"/>
      <c r="K96" s="9"/>
      <c r="L96" t="s">
        <v>56</v>
      </c>
      <c r="M96" t="str">
        <f>Config!$B$3&amp;"?room="&amp;A96</f>
        <v>https://wph-bujv.github.io/wph-rooms/?room=A-L04-Q01C-03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" customHeight="1" x14ac:dyDescent="0.25">
      <c r="A97" t="s">
        <v>273</v>
      </c>
      <c r="B97" t="s">
        <v>45</v>
      </c>
      <c r="C97" t="s">
        <v>221</v>
      </c>
      <c r="D97" t="s">
        <v>274</v>
      </c>
      <c r="E97" t="s">
        <v>120</v>
      </c>
      <c r="F97" t="s">
        <v>110</v>
      </c>
      <c r="G97" s="9"/>
      <c r="H97" s="10"/>
      <c r="I97" s="9"/>
      <c r="J97" s="10"/>
      <c r="K97" s="9"/>
      <c r="L97" t="s">
        <v>56</v>
      </c>
      <c r="M97" t="str">
        <f>Config!$B$3&amp;"?room="&amp;A97</f>
        <v>https://wph-bujv.github.io/wph-rooms/?room=A-L04-Q01C1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5" customHeight="1" x14ac:dyDescent="0.25">
      <c r="A98" t="s">
        <v>275</v>
      </c>
      <c r="B98" t="s">
        <v>45</v>
      </c>
      <c r="C98" t="s">
        <v>221</v>
      </c>
      <c r="D98" t="s">
        <v>276</v>
      </c>
      <c r="E98" t="s">
        <v>205</v>
      </c>
      <c r="F98" t="s">
        <v>110</v>
      </c>
      <c r="G98" s="9"/>
      <c r="H98" s="10"/>
      <c r="I98" s="9"/>
      <c r="J98" s="10"/>
      <c r="K98" s="9"/>
      <c r="L98" t="s">
        <v>56</v>
      </c>
      <c r="M98" t="str">
        <f>Config!$B$3&amp;"?room="&amp;A98</f>
        <v>https://wph-bujv.github.io/wph-rooms/?room=A-L04-Q02C1-01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" customHeight="1" x14ac:dyDescent="0.25">
      <c r="A99" t="s">
        <v>277</v>
      </c>
      <c r="B99" t="s">
        <v>45</v>
      </c>
      <c r="C99" t="s">
        <v>221</v>
      </c>
      <c r="D99" t="s">
        <v>278</v>
      </c>
      <c r="E99" t="s">
        <v>205</v>
      </c>
      <c r="F99" t="s">
        <v>110</v>
      </c>
      <c r="G99" s="9"/>
      <c r="H99" s="10"/>
      <c r="I99" s="9"/>
      <c r="J99" s="10"/>
      <c r="K99" s="9"/>
      <c r="L99" t="s">
        <v>56</v>
      </c>
      <c r="M99" t="str">
        <f>Config!$B$3&amp;"?room="&amp;A99</f>
        <v>https://wph-bujv.github.io/wph-rooms/?room=A-L04-Q02C1-02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5" customHeight="1" x14ac:dyDescent="0.25">
      <c r="A100" t="s">
        <v>279</v>
      </c>
      <c r="B100" t="s">
        <v>45</v>
      </c>
      <c r="C100" t="s">
        <v>221</v>
      </c>
      <c r="D100" t="s">
        <v>280</v>
      </c>
      <c r="E100" t="s">
        <v>126</v>
      </c>
      <c r="F100" t="s">
        <v>110</v>
      </c>
      <c r="G100" s="9"/>
      <c r="H100" s="10"/>
      <c r="I100" s="9"/>
      <c r="J100" s="10"/>
      <c r="K100" s="9"/>
      <c r="L100" t="s">
        <v>56</v>
      </c>
      <c r="M100" t="str">
        <f>Config!$B$3&amp;"?room="&amp;A100</f>
        <v>https://wph-bujv.github.io/wph-rooms/?room=A-L04-Q02C2-01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" customHeight="1" x14ac:dyDescent="0.25">
      <c r="A101" t="s">
        <v>281</v>
      </c>
      <c r="B101" t="s">
        <v>45</v>
      </c>
      <c r="C101" t="s">
        <v>221</v>
      </c>
      <c r="D101" t="s">
        <v>282</v>
      </c>
      <c r="E101" t="s">
        <v>126</v>
      </c>
      <c r="F101" t="s">
        <v>110</v>
      </c>
      <c r="G101" s="9"/>
      <c r="H101" s="10"/>
      <c r="I101" s="9"/>
      <c r="J101" s="10"/>
      <c r="K101" s="9"/>
      <c r="L101" t="s">
        <v>56</v>
      </c>
      <c r="M101" t="str">
        <f>Config!$B$3&amp;"?room="&amp;A101</f>
        <v>https://wph-bujv.github.io/wph-rooms/?room=A-L04-Q02C2-02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5" customHeight="1" x14ac:dyDescent="0.25">
      <c r="A102" t="s">
        <v>283</v>
      </c>
      <c r="B102" t="s">
        <v>45</v>
      </c>
      <c r="C102" t="s">
        <v>221</v>
      </c>
      <c r="D102" t="s">
        <v>284</v>
      </c>
      <c r="E102" t="s">
        <v>131</v>
      </c>
      <c r="F102" t="s">
        <v>110</v>
      </c>
      <c r="G102" s="9"/>
      <c r="H102" s="10"/>
      <c r="I102" s="9"/>
      <c r="J102" s="10"/>
      <c r="K102" s="9"/>
      <c r="L102" t="s">
        <v>56</v>
      </c>
      <c r="M102" t="str">
        <f>Config!$B$3&amp;"?room="&amp;A102</f>
        <v>https://wph-bujv.github.io/wph-rooms/?room=A-L04-Q02E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" customHeight="1" x14ac:dyDescent="0.25">
      <c r="A103" t="s">
        <v>285</v>
      </c>
      <c r="B103" t="s">
        <v>45</v>
      </c>
      <c r="C103" t="s">
        <v>221</v>
      </c>
      <c r="D103" t="s">
        <v>286</v>
      </c>
      <c r="E103" t="s">
        <v>287</v>
      </c>
      <c r="F103" t="s">
        <v>138</v>
      </c>
      <c r="G103" s="9"/>
      <c r="H103" s="10"/>
      <c r="I103" s="9"/>
      <c r="J103" s="10"/>
      <c r="K103" s="9"/>
      <c r="L103" t="s">
        <v>56</v>
      </c>
      <c r="M103" t="str">
        <f>Config!$B$3&amp;"?room="&amp;A103</f>
        <v>https://wph-bujv.github.io/wph-rooms/?room=A-L04-QADA2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5" customHeight="1" x14ac:dyDescent="0.25">
      <c r="A104" t="s">
        <v>288</v>
      </c>
      <c r="B104" t="s">
        <v>45</v>
      </c>
      <c r="C104" t="s">
        <v>221</v>
      </c>
      <c r="D104" t="s">
        <v>289</v>
      </c>
      <c r="E104" t="s">
        <v>141</v>
      </c>
      <c r="F104" t="s">
        <v>49</v>
      </c>
      <c r="G104" s="9"/>
      <c r="H104" s="10"/>
      <c r="I104" s="9"/>
      <c r="J104" s="10"/>
      <c r="K104" s="9"/>
      <c r="L104" t="s">
        <v>56</v>
      </c>
      <c r="M104" t="str">
        <f>Config!$B$3&amp;"?room="&amp;A104</f>
        <v>https://wph-bujv.github.io/wph-rooms/?room=A-L04-S05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" customHeight="1" x14ac:dyDescent="0.25">
      <c r="A105" t="s">
        <v>290</v>
      </c>
      <c r="B105" t="s">
        <v>45</v>
      </c>
      <c r="C105" t="s">
        <v>221</v>
      </c>
      <c r="D105" t="s">
        <v>291</v>
      </c>
      <c r="E105" t="s">
        <v>144</v>
      </c>
      <c r="F105" t="s">
        <v>49</v>
      </c>
      <c r="G105" s="9"/>
      <c r="H105" s="10"/>
      <c r="I105" s="9"/>
      <c r="J105" s="10"/>
      <c r="K105" s="9"/>
      <c r="L105" t="s">
        <v>56</v>
      </c>
      <c r="M105" t="str">
        <f>Config!$B$3&amp;"?room="&amp;A105</f>
        <v>https://wph-bujv.github.io/wph-rooms/?room=A-L04-S06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5" customHeight="1" x14ac:dyDescent="0.25">
      <c r="A106" t="s">
        <v>292</v>
      </c>
      <c r="B106" t="s">
        <v>45</v>
      </c>
      <c r="C106" t="s">
        <v>293</v>
      </c>
      <c r="D106" t="s">
        <v>294</v>
      </c>
      <c r="E106" t="s">
        <v>53</v>
      </c>
      <c r="F106" t="s">
        <v>54</v>
      </c>
      <c r="G106" s="9"/>
      <c r="H106" s="10"/>
      <c r="I106" s="9"/>
      <c r="J106" s="10"/>
      <c r="K106" s="9"/>
      <c r="L106" t="s">
        <v>56</v>
      </c>
      <c r="M106" t="str">
        <f>Config!$B$3&amp;"?room="&amp;A106</f>
        <v>https://wph-bujv.github.io/wph-rooms/?room=A-L05-F03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" customHeight="1" x14ac:dyDescent="0.25">
      <c r="A107" t="s">
        <v>295</v>
      </c>
      <c r="B107" t="s">
        <v>45</v>
      </c>
      <c r="C107" t="s">
        <v>293</v>
      </c>
      <c r="D107" t="s">
        <v>296</v>
      </c>
      <c r="E107" t="s">
        <v>297</v>
      </c>
      <c r="F107" t="s">
        <v>54</v>
      </c>
      <c r="G107" s="9"/>
      <c r="H107" s="10"/>
      <c r="I107" s="9"/>
      <c r="J107" s="10"/>
      <c r="K107" s="9"/>
      <c r="L107" t="s">
        <v>298</v>
      </c>
      <c r="M107" t="str">
        <f>Config!$B$3&amp;"?room="&amp;A107</f>
        <v>https://wph-bujv.github.io/wph-rooms/?room=A-L05-F03B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5" customHeight="1" x14ac:dyDescent="0.25">
      <c r="A108" t="s">
        <v>299</v>
      </c>
      <c r="B108" t="s">
        <v>45</v>
      </c>
      <c r="C108" t="s">
        <v>293</v>
      </c>
      <c r="D108" t="s">
        <v>300</v>
      </c>
      <c r="E108" t="s">
        <v>59</v>
      </c>
      <c r="F108" t="s">
        <v>54</v>
      </c>
      <c r="G108" s="9"/>
      <c r="H108" s="10"/>
      <c r="I108" s="9"/>
      <c r="J108" s="10"/>
      <c r="K108" s="9"/>
      <c r="L108" t="s">
        <v>56</v>
      </c>
      <c r="M108" t="str">
        <f>Config!$B$3&amp;"?room="&amp;A108</f>
        <v>https://wph-bujv.github.io/wph-rooms/?room=A-L05-F04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" customHeight="1" x14ac:dyDescent="0.25">
      <c r="A109" t="s">
        <v>301</v>
      </c>
      <c r="B109" t="s">
        <v>45</v>
      </c>
      <c r="C109" t="s">
        <v>293</v>
      </c>
      <c r="D109" t="s">
        <v>302</v>
      </c>
      <c r="E109" t="s">
        <v>155</v>
      </c>
      <c r="F109" t="s">
        <v>54</v>
      </c>
      <c r="G109" s="9"/>
      <c r="H109" s="10"/>
      <c r="I109" s="9"/>
      <c r="J109" s="10"/>
      <c r="K109" s="9"/>
      <c r="L109" t="s">
        <v>56</v>
      </c>
      <c r="M109" t="str">
        <f>Config!$B$3&amp;"?room="&amp;A109</f>
        <v>https://wph-bujv.github.io/wph-rooms/?room=A-L05-F05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5" customHeight="1" x14ac:dyDescent="0.25">
      <c r="A110" t="s">
        <v>303</v>
      </c>
      <c r="B110" t="s">
        <v>45</v>
      </c>
      <c r="C110" t="s">
        <v>293</v>
      </c>
      <c r="D110" t="s">
        <v>304</v>
      </c>
      <c r="E110" t="s">
        <v>66</v>
      </c>
      <c r="F110" t="s">
        <v>67</v>
      </c>
      <c r="G110" s="9"/>
      <c r="H110" s="10"/>
      <c r="I110" s="9"/>
      <c r="J110" s="10"/>
      <c r="K110" s="9"/>
      <c r="L110" t="s">
        <v>56</v>
      </c>
      <c r="M110" t="str">
        <f>Config!$B$3&amp;"?room="&amp;A110</f>
        <v>https://wph-bujv.github.io/wph-rooms/?room=A-L05-K01-01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" customHeight="1" x14ac:dyDescent="0.25">
      <c r="A111" t="s">
        <v>305</v>
      </c>
      <c r="B111" t="s">
        <v>45</v>
      </c>
      <c r="C111" t="s">
        <v>293</v>
      </c>
      <c r="D111" t="s">
        <v>306</v>
      </c>
      <c r="E111" t="s">
        <v>66</v>
      </c>
      <c r="F111" t="s">
        <v>67</v>
      </c>
      <c r="G111" s="9"/>
      <c r="H111" s="10"/>
      <c r="I111" s="9"/>
      <c r="J111" s="10"/>
      <c r="K111" s="9"/>
      <c r="L111" t="s">
        <v>56</v>
      </c>
      <c r="M111" t="str">
        <f>Config!$B$3&amp;"?room="&amp;A111</f>
        <v>https://wph-bujv.github.io/wph-rooms/?room=A-L05-K01-02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5" customHeight="1" x14ac:dyDescent="0.25">
      <c r="A112" t="s">
        <v>307</v>
      </c>
      <c r="B112" t="s">
        <v>45</v>
      </c>
      <c r="C112" t="s">
        <v>293</v>
      </c>
      <c r="D112" t="s">
        <v>308</v>
      </c>
      <c r="E112" t="s">
        <v>66</v>
      </c>
      <c r="F112" t="s">
        <v>67</v>
      </c>
      <c r="G112" s="9"/>
      <c r="H112" s="10"/>
      <c r="I112" s="9"/>
      <c r="J112" s="10"/>
      <c r="K112" s="9"/>
      <c r="L112" t="s">
        <v>56</v>
      </c>
      <c r="M112" t="str">
        <f>Config!$B$3&amp;"?room="&amp;A112</f>
        <v>https://wph-bujv.github.io/wph-rooms/?room=A-L05-K01-03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" customHeight="1" x14ac:dyDescent="0.25">
      <c r="A113" t="s">
        <v>309</v>
      </c>
      <c r="B113" t="s">
        <v>45</v>
      </c>
      <c r="C113" t="s">
        <v>293</v>
      </c>
      <c r="D113" t="s">
        <v>310</v>
      </c>
      <c r="E113" t="s">
        <v>74</v>
      </c>
      <c r="F113" t="s">
        <v>67</v>
      </c>
      <c r="G113" s="9"/>
      <c r="H113" s="10"/>
      <c r="I113" s="9"/>
      <c r="J113" s="10"/>
      <c r="K113" s="9"/>
      <c r="L113" t="s">
        <v>56</v>
      </c>
      <c r="M113" t="str">
        <f>Config!$B$3&amp;"?room="&amp;A113</f>
        <v>https://wph-bujv.github.io/wph-rooms/?room=A-L05-K01B-01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5" customHeight="1" x14ac:dyDescent="0.25">
      <c r="A114" t="s">
        <v>311</v>
      </c>
      <c r="B114" t="s">
        <v>45</v>
      </c>
      <c r="C114" t="s">
        <v>293</v>
      </c>
      <c r="D114" t="s">
        <v>312</v>
      </c>
      <c r="E114" t="s">
        <v>74</v>
      </c>
      <c r="F114" t="s">
        <v>67</v>
      </c>
      <c r="G114" s="9"/>
      <c r="H114" s="10"/>
      <c r="I114" s="9"/>
      <c r="J114" s="10"/>
      <c r="K114" s="9"/>
      <c r="L114" t="s">
        <v>56</v>
      </c>
      <c r="M114" t="str">
        <f>Config!$B$3&amp;"?room="&amp;A114</f>
        <v>https://wph-bujv.github.io/wph-rooms/?room=A-L05-K01B-02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" customHeight="1" x14ac:dyDescent="0.25">
      <c r="A115" t="s">
        <v>313</v>
      </c>
      <c r="B115" t="s">
        <v>45</v>
      </c>
      <c r="C115" t="s">
        <v>293</v>
      </c>
      <c r="D115" t="s">
        <v>314</v>
      </c>
      <c r="E115" t="s">
        <v>79</v>
      </c>
      <c r="F115" t="s">
        <v>67</v>
      </c>
      <c r="G115" s="9"/>
      <c r="H115" s="10"/>
      <c r="I115" s="9"/>
      <c r="J115" s="10"/>
      <c r="K115" s="9"/>
      <c r="L115" t="s">
        <v>56</v>
      </c>
      <c r="M115" t="str">
        <f>Config!$B$3&amp;"?room="&amp;A115</f>
        <v>https://wph-bujv.github.io/wph-rooms/?room=A-L05-K01C-01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5" customHeight="1" x14ac:dyDescent="0.25">
      <c r="A116" t="s">
        <v>315</v>
      </c>
      <c r="B116" t="s">
        <v>45</v>
      </c>
      <c r="C116" t="s">
        <v>293</v>
      </c>
      <c r="D116" t="s">
        <v>316</v>
      </c>
      <c r="E116" t="s">
        <v>79</v>
      </c>
      <c r="F116" t="s">
        <v>67</v>
      </c>
      <c r="G116" s="9"/>
      <c r="H116" s="10"/>
      <c r="I116" s="9"/>
      <c r="J116" s="10"/>
      <c r="K116" s="9"/>
      <c r="L116" t="s">
        <v>56</v>
      </c>
      <c r="M116" t="str">
        <f>Config!$B$3&amp;"?room="&amp;A116</f>
        <v>https://wph-bujv.github.io/wph-rooms/?room=A-L05-K01C-02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5" customHeight="1" x14ac:dyDescent="0.25">
      <c r="A117" t="s">
        <v>317</v>
      </c>
      <c r="B117" t="s">
        <v>45</v>
      </c>
      <c r="C117" t="s">
        <v>293</v>
      </c>
      <c r="D117" t="s">
        <v>318</v>
      </c>
      <c r="E117" t="s">
        <v>79</v>
      </c>
      <c r="F117" t="s">
        <v>67</v>
      </c>
      <c r="G117" s="9"/>
      <c r="H117" s="10"/>
      <c r="I117" s="9"/>
      <c r="J117" s="10"/>
      <c r="K117" s="9"/>
      <c r="L117" t="s">
        <v>56</v>
      </c>
      <c r="M117" t="str">
        <f>Config!$B$3&amp;"?room="&amp;A117</f>
        <v>https://wph-bujv.github.io/wph-rooms/?room=A-L05-K01C-03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5" customHeight="1" x14ac:dyDescent="0.25">
      <c r="A118" t="s">
        <v>319</v>
      </c>
      <c r="B118" t="s">
        <v>45</v>
      </c>
      <c r="C118" t="s">
        <v>293</v>
      </c>
      <c r="D118" t="s">
        <v>320</v>
      </c>
      <c r="E118" t="s">
        <v>86</v>
      </c>
      <c r="F118" t="s">
        <v>67</v>
      </c>
      <c r="G118" s="9"/>
      <c r="H118" s="10"/>
      <c r="I118" s="9"/>
      <c r="J118" s="10"/>
      <c r="K118" s="9"/>
      <c r="L118" t="s">
        <v>56</v>
      </c>
      <c r="M118" t="str">
        <f>Config!$B$3&amp;"?room="&amp;A118</f>
        <v>https://wph-bujv.github.io/wph-rooms/?room=A-L05-K01D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5" customHeight="1" x14ac:dyDescent="0.25">
      <c r="A119" t="s">
        <v>321</v>
      </c>
      <c r="B119" t="s">
        <v>45</v>
      </c>
      <c r="C119" t="s">
        <v>293</v>
      </c>
      <c r="D119" t="s">
        <v>322</v>
      </c>
      <c r="E119" t="s">
        <v>89</v>
      </c>
      <c r="F119" t="s">
        <v>67</v>
      </c>
      <c r="G119" s="9"/>
      <c r="H119" s="10"/>
      <c r="I119" s="9"/>
      <c r="J119" s="10"/>
      <c r="K119" s="9"/>
      <c r="L119" t="s">
        <v>56</v>
      </c>
      <c r="M119" t="str">
        <f>Config!$B$3&amp;"?room="&amp;A119</f>
        <v>https://wph-bujv.github.io/wph-rooms/?room=A-L05-K02-01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5" customHeight="1" x14ac:dyDescent="0.25">
      <c r="A120" t="s">
        <v>323</v>
      </c>
      <c r="B120" t="s">
        <v>45</v>
      </c>
      <c r="C120" t="s">
        <v>293</v>
      </c>
      <c r="D120" t="s">
        <v>324</v>
      </c>
      <c r="E120" t="s">
        <v>89</v>
      </c>
      <c r="F120" t="s">
        <v>67</v>
      </c>
      <c r="G120" s="9"/>
      <c r="H120" s="10"/>
      <c r="I120" s="9"/>
      <c r="J120" s="10"/>
      <c r="K120" s="9"/>
      <c r="L120" t="s">
        <v>56</v>
      </c>
      <c r="M120" t="str">
        <f>Config!$B$3&amp;"?room="&amp;A120</f>
        <v>https://wph-bujv.github.io/wph-rooms/?room=A-L05-K02-02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5" customHeight="1" x14ac:dyDescent="0.25">
      <c r="A121" t="s">
        <v>325</v>
      </c>
      <c r="B121" t="s">
        <v>45</v>
      </c>
      <c r="C121" t="s">
        <v>293</v>
      </c>
      <c r="D121" t="s">
        <v>326</v>
      </c>
      <c r="E121" t="s">
        <v>94</v>
      </c>
      <c r="F121" t="s">
        <v>67</v>
      </c>
      <c r="G121" s="9"/>
      <c r="H121" s="10"/>
      <c r="I121" s="9"/>
      <c r="J121" s="10"/>
      <c r="K121" s="9"/>
      <c r="L121" t="s">
        <v>56</v>
      </c>
      <c r="M121" t="str">
        <f>Config!$B$3&amp;"?room="&amp;A121</f>
        <v>https://wph-bujv.github.io/wph-rooms/?room=A-L05-K02B-01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5" customHeight="1" x14ac:dyDescent="0.25">
      <c r="A122" t="s">
        <v>327</v>
      </c>
      <c r="B122" t="s">
        <v>45</v>
      </c>
      <c r="C122" t="s">
        <v>293</v>
      </c>
      <c r="D122" t="s">
        <v>328</v>
      </c>
      <c r="E122" t="s">
        <v>94</v>
      </c>
      <c r="F122" t="s">
        <v>67</v>
      </c>
      <c r="G122" s="9"/>
      <c r="H122" s="10"/>
      <c r="I122" s="9"/>
      <c r="J122" s="10"/>
      <c r="K122" s="9"/>
      <c r="L122" t="s">
        <v>56</v>
      </c>
      <c r="M122" t="str">
        <f>Config!$B$3&amp;"?room="&amp;A122</f>
        <v>https://wph-bujv.github.io/wph-rooms/?room=A-L05-K02B-02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5" customHeight="1" x14ac:dyDescent="0.25">
      <c r="A123" t="s">
        <v>329</v>
      </c>
      <c r="B123" t="s">
        <v>45</v>
      </c>
      <c r="C123" t="s">
        <v>293</v>
      </c>
      <c r="D123" t="s">
        <v>330</v>
      </c>
      <c r="E123" t="s">
        <v>94</v>
      </c>
      <c r="F123" t="s">
        <v>67</v>
      </c>
      <c r="G123" s="9"/>
      <c r="H123" s="10"/>
      <c r="I123" s="9"/>
      <c r="J123" s="10"/>
      <c r="K123" s="9"/>
      <c r="L123" t="s">
        <v>56</v>
      </c>
      <c r="M123" t="str">
        <f>Config!$B$3&amp;"?room="&amp;A123</f>
        <v>https://wph-bujv.github.io/wph-rooms/?room=A-L05-K02B-03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5" customHeight="1" x14ac:dyDescent="0.25">
      <c r="A124" t="s">
        <v>331</v>
      </c>
      <c r="B124" t="s">
        <v>45</v>
      </c>
      <c r="C124" t="s">
        <v>293</v>
      </c>
      <c r="D124" t="s">
        <v>332</v>
      </c>
      <c r="E124" t="s">
        <v>186</v>
      </c>
      <c r="F124" t="s">
        <v>67</v>
      </c>
      <c r="G124" s="9"/>
      <c r="H124" s="10"/>
      <c r="I124" s="9"/>
      <c r="J124" s="10"/>
      <c r="K124" s="9"/>
      <c r="L124" t="s">
        <v>56</v>
      </c>
      <c r="M124" t="str">
        <f>Config!$B$3&amp;"?room="&amp;A124</f>
        <v>https://wph-bujv.github.io/wph-rooms/?room=A-L05-K02C1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5" customHeight="1" x14ac:dyDescent="0.25">
      <c r="A125" t="s">
        <v>333</v>
      </c>
      <c r="B125" t="s">
        <v>45</v>
      </c>
      <c r="C125" t="s">
        <v>293</v>
      </c>
      <c r="D125" t="s">
        <v>334</v>
      </c>
      <c r="E125" t="s">
        <v>101</v>
      </c>
      <c r="F125" t="s">
        <v>67</v>
      </c>
      <c r="G125" s="9"/>
      <c r="H125" s="10"/>
      <c r="I125" s="9"/>
      <c r="J125" s="10"/>
      <c r="K125" s="9"/>
      <c r="L125" t="s">
        <v>56</v>
      </c>
      <c r="M125" t="str">
        <f>Config!$B$3&amp;"?room="&amp;A125</f>
        <v>https://wph-bujv.github.io/wph-rooms/?room=A-L05-K02C2-01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5" customHeight="1" x14ac:dyDescent="0.25">
      <c r="A126" t="s">
        <v>335</v>
      </c>
      <c r="B126" t="s">
        <v>45</v>
      </c>
      <c r="C126" t="s">
        <v>293</v>
      </c>
      <c r="D126" t="s">
        <v>336</v>
      </c>
      <c r="E126" t="s">
        <v>101</v>
      </c>
      <c r="F126" t="s">
        <v>67</v>
      </c>
      <c r="G126" s="9"/>
      <c r="H126" s="10"/>
      <c r="I126" s="9"/>
      <c r="J126" s="10"/>
      <c r="K126" s="9"/>
      <c r="L126" t="s">
        <v>56</v>
      </c>
      <c r="M126" t="str">
        <f>Config!$B$3&amp;"?room="&amp;A126</f>
        <v>https://wph-bujv.github.io/wph-rooms/?room=A-L05-K02C2-02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5" customHeight="1" x14ac:dyDescent="0.25">
      <c r="A127" t="s">
        <v>337</v>
      </c>
      <c r="B127" t="s">
        <v>45</v>
      </c>
      <c r="C127" t="s">
        <v>293</v>
      </c>
      <c r="D127" t="s">
        <v>338</v>
      </c>
      <c r="E127" t="s">
        <v>106</v>
      </c>
      <c r="F127" t="s">
        <v>67</v>
      </c>
      <c r="G127" s="9"/>
      <c r="H127" s="10"/>
      <c r="I127" s="9"/>
      <c r="J127" s="10"/>
      <c r="K127" s="9"/>
      <c r="L127" t="s">
        <v>56</v>
      </c>
      <c r="M127" t="str">
        <f>Config!$B$3&amp;"?room="&amp;A127</f>
        <v>https://wph-bujv.github.io/wph-rooms/?room=A-L05-K02D1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5" customHeight="1" x14ac:dyDescent="0.25">
      <c r="A128" t="s">
        <v>339</v>
      </c>
      <c r="B128" t="s">
        <v>45</v>
      </c>
      <c r="C128" t="s">
        <v>293</v>
      </c>
      <c r="D128" t="s">
        <v>340</v>
      </c>
      <c r="E128" t="s">
        <v>109</v>
      </c>
      <c r="F128" t="s">
        <v>110</v>
      </c>
      <c r="G128" s="9"/>
      <c r="H128" s="10"/>
      <c r="I128" s="9"/>
      <c r="J128" s="10"/>
      <c r="K128" s="9"/>
      <c r="L128" t="s">
        <v>56</v>
      </c>
      <c r="M128" t="str">
        <f>Config!$B$3&amp;"?room="&amp;A128</f>
        <v>https://wph-bujv.github.io/wph-rooms/?room=A-L05-Q01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5" customHeight="1" x14ac:dyDescent="0.25">
      <c r="A129" t="s">
        <v>341</v>
      </c>
      <c r="B129" t="s">
        <v>45</v>
      </c>
      <c r="C129" t="s">
        <v>293</v>
      </c>
      <c r="D129" t="s">
        <v>342</v>
      </c>
      <c r="E129" t="s">
        <v>113</v>
      </c>
      <c r="F129" t="s">
        <v>110</v>
      </c>
      <c r="G129" s="9"/>
      <c r="H129" s="10"/>
      <c r="I129" s="9"/>
      <c r="J129" s="10"/>
      <c r="K129" s="9"/>
      <c r="L129" t="s">
        <v>56</v>
      </c>
      <c r="M129" t="str">
        <f>Config!$B$3&amp;"?room="&amp;A129</f>
        <v>https://wph-bujv.github.io/wph-rooms/?room=A-L05-Q01C-01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5" customHeight="1" x14ac:dyDescent="0.25">
      <c r="A130" t="s">
        <v>343</v>
      </c>
      <c r="B130" t="s">
        <v>45</v>
      </c>
      <c r="C130" t="s">
        <v>293</v>
      </c>
      <c r="D130" t="s">
        <v>344</v>
      </c>
      <c r="E130" t="s">
        <v>113</v>
      </c>
      <c r="F130" t="s">
        <v>110</v>
      </c>
      <c r="G130" s="9"/>
      <c r="H130" s="10"/>
      <c r="I130" s="9"/>
      <c r="J130" s="10"/>
      <c r="K130" s="9"/>
      <c r="L130" t="s">
        <v>56</v>
      </c>
      <c r="M130" t="str">
        <f>Config!$B$3&amp;"?room="&amp;A130</f>
        <v>https://wph-bujv.github.io/wph-rooms/?room=A-L05-Q01C-02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5" customHeight="1" x14ac:dyDescent="0.25">
      <c r="A131" t="s">
        <v>345</v>
      </c>
      <c r="B131" t="s">
        <v>45</v>
      </c>
      <c r="C131" t="s">
        <v>293</v>
      </c>
      <c r="D131" t="s">
        <v>346</v>
      </c>
      <c r="E131" t="s">
        <v>113</v>
      </c>
      <c r="F131" t="s">
        <v>110</v>
      </c>
      <c r="G131" s="9"/>
      <c r="H131" s="10"/>
      <c r="I131" s="9"/>
      <c r="J131" s="10"/>
      <c r="K131" s="9"/>
      <c r="L131" t="s">
        <v>56</v>
      </c>
      <c r="M131" t="str">
        <f>Config!$B$3&amp;"?room="&amp;A131</f>
        <v>https://wph-bujv.github.io/wph-rooms/?room=A-L05-Q01C-03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5" customHeight="1" x14ac:dyDescent="0.25">
      <c r="A132" t="s">
        <v>347</v>
      </c>
      <c r="B132" t="s">
        <v>45</v>
      </c>
      <c r="C132" t="s">
        <v>293</v>
      </c>
      <c r="D132" t="s">
        <v>348</v>
      </c>
      <c r="E132" t="s">
        <v>120</v>
      </c>
      <c r="F132" t="s">
        <v>110</v>
      </c>
      <c r="G132" s="9"/>
      <c r="H132" s="10"/>
      <c r="I132" s="9"/>
      <c r="J132" s="10"/>
      <c r="K132" s="9"/>
      <c r="L132" t="s">
        <v>56</v>
      </c>
      <c r="M132" t="str">
        <f>Config!$B$3&amp;"?room="&amp;A132</f>
        <v>https://wph-bujv.github.io/wph-rooms/?room=A-L05-Q01C1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5" customHeight="1" x14ac:dyDescent="0.25">
      <c r="A133" t="s">
        <v>349</v>
      </c>
      <c r="B133" t="s">
        <v>45</v>
      </c>
      <c r="C133" t="s">
        <v>293</v>
      </c>
      <c r="D133" t="s">
        <v>350</v>
      </c>
      <c r="E133" t="s">
        <v>205</v>
      </c>
      <c r="F133" t="s">
        <v>110</v>
      </c>
      <c r="G133" s="9"/>
      <c r="H133" s="10"/>
      <c r="I133" s="9"/>
      <c r="J133" s="10"/>
      <c r="K133" s="9"/>
      <c r="L133" t="s">
        <v>56</v>
      </c>
      <c r="M133" t="str">
        <f>Config!$B$3&amp;"?room="&amp;A133</f>
        <v>https://wph-bujv.github.io/wph-rooms/?room=A-L05-Q02C1-01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5" customHeight="1" x14ac:dyDescent="0.25">
      <c r="A134" t="s">
        <v>351</v>
      </c>
      <c r="B134" t="s">
        <v>45</v>
      </c>
      <c r="C134" t="s">
        <v>293</v>
      </c>
      <c r="D134" t="s">
        <v>352</v>
      </c>
      <c r="E134" t="s">
        <v>205</v>
      </c>
      <c r="F134" t="s">
        <v>110</v>
      </c>
      <c r="G134" s="9"/>
      <c r="H134" s="10"/>
      <c r="I134" s="9"/>
      <c r="J134" s="10"/>
      <c r="K134" s="9"/>
      <c r="L134" t="s">
        <v>56</v>
      </c>
      <c r="M134" t="str">
        <f>Config!$B$3&amp;"?room="&amp;A134</f>
        <v>https://wph-bujv.github.io/wph-rooms/?room=A-L05-Q02C1-02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5" customHeight="1" x14ac:dyDescent="0.25">
      <c r="A135" t="s">
        <v>353</v>
      </c>
      <c r="B135" t="s">
        <v>45</v>
      </c>
      <c r="C135" t="s">
        <v>293</v>
      </c>
      <c r="D135" t="s">
        <v>354</v>
      </c>
      <c r="E135" t="s">
        <v>126</v>
      </c>
      <c r="F135" t="s">
        <v>110</v>
      </c>
      <c r="G135" s="9"/>
      <c r="H135" s="10"/>
      <c r="I135" s="9"/>
      <c r="J135" s="10"/>
      <c r="K135" s="9"/>
      <c r="L135" t="s">
        <v>56</v>
      </c>
      <c r="M135" t="str">
        <f>Config!$B$3&amp;"?room="&amp;A135</f>
        <v>https://wph-bujv.github.io/wph-rooms/?room=A-L05-Q02C2-01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5" customHeight="1" x14ac:dyDescent="0.25">
      <c r="A136" t="s">
        <v>355</v>
      </c>
      <c r="B136" t="s">
        <v>45</v>
      </c>
      <c r="C136" t="s">
        <v>293</v>
      </c>
      <c r="D136" t="s">
        <v>356</v>
      </c>
      <c r="E136" t="s">
        <v>126</v>
      </c>
      <c r="F136" t="s">
        <v>110</v>
      </c>
      <c r="G136" s="9"/>
      <c r="H136" s="10"/>
      <c r="I136" s="9"/>
      <c r="J136" s="10"/>
      <c r="K136" s="9"/>
      <c r="L136" t="s">
        <v>56</v>
      </c>
      <c r="M136" t="str">
        <f>Config!$B$3&amp;"?room="&amp;A136</f>
        <v>https://wph-bujv.github.io/wph-rooms/?room=A-L05-Q02C2-02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5" customHeight="1" x14ac:dyDescent="0.25">
      <c r="A137" t="s">
        <v>357</v>
      </c>
      <c r="B137" t="s">
        <v>45</v>
      </c>
      <c r="C137" t="s">
        <v>293</v>
      </c>
      <c r="D137" t="s">
        <v>358</v>
      </c>
      <c r="E137" t="s">
        <v>131</v>
      </c>
      <c r="F137" t="s">
        <v>110</v>
      </c>
      <c r="G137" s="9"/>
      <c r="H137" s="10"/>
      <c r="I137" s="9"/>
      <c r="J137" s="10"/>
      <c r="K137" s="9"/>
      <c r="L137" t="s">
        <v>56</v>
      </c>
      <c r="M137" t="str">
        <f>Config!$B$3&amp;"?room="&amp;A137</f>
        <v>https://wph-bujv.github.io/wph-rooms/?room=A-L05-Q02E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5" customHeight="1" x14ac:dyDescent="0.25">
      <c r="A138" t="s">
        <v>359</v>
      </c>
      <c r="B138" t="s">
        <v>45</v>
      </c>
      <c r="C138" t="s">
        <v>293</v>
      </c>
      <c r="D138" t="s">
        <v>360</v>
      </c>
      <c r="E138" t="s">
        <v>287</v>
      </c>
      <c r="F138" t="s">
        <v>138</v>
      </c>
      <c r="G138" s="9"/>
      <c r="H138" s="10"/>
      <c r="I138" s="9"/>
      <c r="J138" s="10"/>
      <c r="K138" s="9"/>
      <c r="L138" t="s">
        <v>56</v>
      </c>
      <c r="M138" t="str">
        <f>Config!$B$3&amp;"?room="&amp;A138</f>
        <v>https://wph-bujv.github.io/wph-rooms/?room=A-L05-QADA2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5" customHeight="1" x14ac:dyDescent="0.25">
      <c r="A139" t="s">
        <v>361</v>
      </c>
      <c r="B139" t="s">
        <v>45</v>
      </c>
      <c r="C139" t="s">
        <v>293</v>
      </c>
      <c r="D139" t="s">
        <v>362</v>
      </c>
      <c r="E139" t="s">
        <v>141</v>
      </c>
      <c r="F139" t="s">
        <v>49</v>
      </c>
      <c r="G139" s="9"/>
      <c r="H139" s="10"/>
      <c r="I139" s="9"/>
      <c r="J139" s="10"/>
      <c r="K139" s="9"/>
      <c r="L139" t="s">
        <v>56</v>
      </c>
      <c r="M139" t="str">
        <f>Config!$B$3&amp;"?room="&amp;A139</f>
        <v>https://wph-bujv.github.io/wph-rooms/?room=A-L05-S05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5" customHeight="1" x14ac:dyDescent="0.25">
      <c r="A140" t="s">
        <v>363</v>
      </c>
      <c r="B140" t="s">
        <v>45</v>
      </c>
      <c r="C140" t="s">
        <v>293</v>
      </c>
      <c r="D140" t="s">
        <v>364</v>
      </c>
      <c r="E140" t="s">
        <v>144</v>
      </c>
      <c r="F140" t="s">
        <v>49</v>
      </c>
      <c r="G140" s="9"/>
      <c r="H140" s="10"/>
      <c r="I140" s="9"/>
      <c r="J140" s="10"/>
      <c r="K140" s="9"/>
      <c r="L140" t="s">
        <v>56</v>
      </c>
      <c r="M140" t="str">
        <f>Config!$B$3&amp;"?room="&amp;A140</f>
        <v>https://wph-bujv.github.io/wph-rooms/?room=A-L05-S06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5" customHeight="1" x14ac:dyDescent="0.25">
      <c r="A141" t="s">
        <v>365</v>
      </c>
      <c r="B141" t="s">
        <v>45</v>
      </c>
      <c r="C141" t="s">
        <v>366</v>
      </c>
      <c r="D141" t="s">
        <v>367</v>
      </c>
      <c r="E141" t="s">
        <v>53</v>
      </c>
      <c r="F141" t="s">
        <v>54</v>
      </c>
      <c r="G141" s="9"/>
      <c r="H141" s="10"/>
      <c r="I141" s="9"/>
      <c r="J141" s="10"/>
      <c r="K141" s="9"/>
      <c r="L141" t="s">
        <v>56</v>
      </c>
      <c r="M141" t="str">
        <f>Config!$B$3&amp;"?room="&amp;A141</f>
        <v>https://wph-bujv.github.io/wph-rooms/?room=A-L06-F03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5" customHeight="1" x14ac:dyDescent="0.25">
      <c r="A142" t="s">
        <v>368</v>
      </c>
      <c r="B142" t="s">
        <v>45</v>
      </c>
      <c r="C142" t="s">
        <v>366</v>
      </c>
      <c r="D142" t="s">
        <v>369</v>
      </c>
      <c r="E142" t="s">
        <v>297</v>
      </c>
      <c r="F142" t="s">
        <v>54</v>
      </c>
      <c r="G142" s="9"/>
      <c r="H142" s="10"/>
      <c r="I142" s="9"/>
      <c r="J142" s="10"/>
      <c r="K142" s="9"/>
      <c r="L142" t="s">
        <v>298</v>
      </c>
      <c r="M142" t="str">
        <f>Config!$B$3&amp;"?room="&amp;A142</f>
        <v>https://wph-bujv.github.io/wph-rooms/?room=A-L06-F03B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5" customHeight="1" x14ac:dyDescent="0.25">
      <c r="A143" t="s">
        <v>370</v>
      </c>
      <c r="B143" t="s">
        <v>45</v>
      </c>
      <c r="C143" t="s">
        <v>366</v>
      </c>
      <c r="D143" t="s">
        <v>371</v>
      </c>
      <c r="E143" t="s">
        <v>59</v>
      </c>
      <c r="F143" t="s">
        <v>54</v>
      </c>
      <c r="G143" s="9"/>
      <c r="H143" s="10"/>
      <c r="I143" s="9"/>
      <c r="J143" s="10"/>
      <c r="K143" s="9"/>
      <c r="L143" t="s">
        <v>56</v>
      </c>
      <c r="M143" t="str">
        <f>Config!$B$3&amp;"?room="&amp;A143</f>
        <v>https://wph-bujv.github.io/wph-rooms/?room=A-L06-F04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5" customHeight="1" x14ac:dyDescent="0.25">
      <c r="A144" t="s">
        <v>372</v>
      </c>
      <c r="B144" t="s">
        <v>45</v>
      </c>
      <c r="C144" t="s">
        <v>366</v>
      </c>
      <c r="D144" t="s">
        <v>373</v>
      </c>
      <c r="E144" t="s">
        <v>155</v>
      </c>
      <c r="F144" t="s">
        <v>54</v>
      </c>
      <c r="G144" s="9"/>
      <c r="H144" s="10"/>
      <c r="I144" s="9"/>
      <c r="J144" s="10"/>
      <c r="K144" s="9"/>
      <c r="L144" t="s">
        <v>56</v>
      </c>
      <c r="M144" t="str">
        <f>Config!$B$3&amp;"?room="&amp;A144</f>
        <v>https://wph-bujv.github.io/wph-rooms/?room=A-L06-F05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5" customHeight="1" x14ac:dyDescent="0.25">
      <c r="A145" t="s">
        <v>374</v>
      </c>
      <c r="B145" t="s">
        <v>45</v>
      </c>
      <c r="C145" t="s">
        <v>366</v>
      </c>
      <c r="D145" t="s">
        <v>375</v>
      </c>
      <c r="E145" t="s">
        <v>66</v>
      </c>
      <c r="F145" t="s">
        <v>67</v>
      </c>
      <c r="G145" s="9"/>
      <c r="H145" s="10"/>
      <c r="I145" s="9"/>
      <c r="J145" s="10"/>
      <c r="K145" s="9"/>
      <c r="L145" t="s">
        <v>56</v>
      </c>
      <c r="M145" t="str">
        <f>Config!$B$3&amp;"?room="&amp;A145</f>
        <v>https://wph-bujv.github.io/wph-rooms/?room=A-L06-K01-01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5" customHeight="1" x14ac:dyDescent="0.25">
      <c r="A146" t="s">
        <v>376</v>
      </c>
      <c r="B146" t="s">
        <v>45</v>
      </c>
      <c r="C146" t="s">
        <v>366</v>
      </c>
      <c r="D146" t="s">
        <v>377</v>
      </c>
      <c r="E146" t="s">
        <v>66</v>
      </c>
      <c r="F146" t="s">
        <v>67</v>
      </c>
      <c r="G146" s="9"/>
      <c r="H146" s="10"/>
      <c r="I146" s="9"/>
      <c r="J146" s="10"/>
      <c r="K146" s="9"/>
      <c r="L146" t="s">
        <v>56</v>
      </c>
      <c r="M146" t="str">
        <f>Config!$B$3&amp;"?room="&amp;A146</f>
        <v>https://wph-bujv.github.io/wph-rooms/?room=A-L06-K01-02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5" customHeight="1" x14ac:dyDescent="0.25">
      <c r="A147" t="s">
        <v>378</v>
      </c>
      <c r="B147" t="s">
        <v>45</v>
      </c>
      <c r="C147" t="s">
        <v>366</v>
      </c>
      <c r="D147" t="s">
        <v>379</v>
      </c>
      <c r="E147" t="s">
        <v>66</v>
      </c>
      <c r="F147" t="s">
        <v>67</v>
      </c>
      <c r="G147" s="9"/>
      <c r="H147" s="10"/>
      <c r="I147" s="9"/>
      <c r="J147" s="10"/>
      <c r="K147" s="9"/>
      <c r="L147" t="s">
        <v>56</v>
      </c>
      <c r="M147" t="str">
        <f>Config!$B$3&amp;"?room="&amp;A147</f>
        <v>https://wph-bujv.github.io/wph-rooms/?room=A-L06-K01-03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5" customHeight="1" x14ac:dyDescent="0.25">
      <c r="A148" t="s">
        <v>380</v>
      </c>
      <c r="B148" t="s">
        <v>45</v>
      </c>
      <c r="C148" t="s">
        <v>366</v>
      </c>
      <c r="D148" t="s">
        <v>381</v>
      </c>
      <c r="E148" t="s">
        <v>74</v>
      </c>
      <c r="F148" t="s">
        <v>67</v>
      </c>
      <c r="G148" s="9"/>
      <c r="H148" s="10"/>
      <c r="I148" s="9"/>
      <c r="J148" s="10"/>
      <c r="K148" s="9"/>
      <c r="L148" t="s">
        <v>56</v>
      </c>
      <c r="M148" t="str">
        <f>Config!$B$3&amp;"?room="&amp;A148</f>
        <v>https://wph-bujv.github.io/wph-rooms/?room=A-L06-K01B-01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5" customHeight="1" x14ac:dyDescent="0.25">
      <c r="A149" t="s">
        <v>382</v>
      </c>
      <c r="B149" t="s">
        <v>45</v>
      </c>
      <c r="C149" t="s">
        <v>366</v>
      </c>
      <c r="D149" t="s">
        <v>383</v>
      </c>
      <c r="E149" t="s">
        <v>74</v>
      </c>
      <c r="F149" t="s">
        <v>67</v>
      </c>
      <c r="G149" s="9"/>
      <c r="H149" s="10"/>
      <c r="I149" s="9"/>
      <c r="J149" s="10"/>
      <c r="K149" s="9"/>
      <c r="L149" t="s">
        <v>56</v>
      </c>
      <c r="M149" t="str">
        <f>Config!$B$3&amp;"?room="&amp;A149</f>
        <v>https://wph-bujv.github.io/wph-rooms/?room=A-L06-K01B-02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5" customHeight="1" x14ac:dyDescent="0.25">
      <c r="A150" t="s">
        <v>384</v>
      </c>
      <c r="B150" t="s">
        <v>45</v>
      </c>
      <c r="C150" t="s">
        <v>366</v>
      </c>
      <c r="D150" t="s">
        <v>385</v>
      </c>
      <c r="E150" t="s">
        <v>79</v>
      </c>
      <c r="F150" t="s">
        <v>67</v>
      </c>
      <c r="G150" s="9"/>
      <c r="H150" s="10"/>
      <c r="I150" s="9"/>
      <c r="J150" s="10"/>
      <c r="K150" s="9"/>
      <c r="L150" t="s">
        <v>56</v>
      </c>
      <c r="M150" t="str">
        <f>Config!$B$3&amp;"?room="&amp;A150</f>
        <v>https://wph-bujv.github.io/wph-rooms/?room=A-L06-K01C-01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5" customHeight="1" x14ac:dyDescent="0.25">
      <c r="A151" t="s">
        <v>386</v>
      </c>
      <c r="B151" t="s">
        <v>45</v>
      </c>
      <c r="C151" t="s">
        <v>366</v>
      </c>
      <c r="D151" t="s">
        <v>387</v>
      </c>
      <c r="E151" t="s">
        <v>79</v>
      </c>
      <c r="F151" t="s">
        <v>67</v>
      </c>
      <c r="G151" s="9"/>
      <c r="H151" s="10"/>
      <c r="I151" s="9"/>
      <c r="J151" s="10"/>
      <c r="K151" s="9"/>
      <c r="L151" t="s">
        <v>56</v>
      </c>
      <c r="M151" t="str">
        <f>Config!$B$3&amp;"?room="&amp;A151</f>
        <v>https://wph-bujv.github.io/wph-rooms/?room=A-L06-K01C-02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5" customHeight="1" x14ac:dyDescent="0.25">
      <c r="A152" t="s">
        <v>388</v>
      </c>
      <c r="B152" t="s">
        <v>45</v>
      </c>
      <c r="C152" t="s">
        <v>366</v>
      </c>
      <c r="D152" t="s">
        <v>389</v>
      </c>
      <c r="E152" t="s">
        <v>79</v>
      </c>
      <c r="F152" t="s">
        <v>67</v>
      </c>
      <c r="G152" s="9"/>
      <c r="H152" s="10"/>
      <c r="I152" s="9"/>
      <c r="J152" s="10"/>
      <c r="K152" s="9"/>
      <c r="L152" t="s">
        <v>56</v>
      </c>
      <c r="M152" t="str">
        <f>Config!$B$3&amp;"?room="&amp;A152</f>
        <v>https://wph-bujv.github.io/wph-rooms/?room=A-L06-K01C-03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5" customHeight="1" x14ac:dyDescent="0.25">
      <c r="A153" t="s">
        <v>390</v>
      </c>
      <c r="B153" t="s">
        <v>45</v>
      </c>
      <c r="C153" t="s">
        <v>366</v>
      </c>
      <c r="D153" t="s">
        <v>391</v>
      </c>
      <c r="E153" t="s">
        <v>86</v>
      </c>
      <c r="F153" t="s">
        <v>67</v>
      </c>
      <c r="G153" s="9"/>
      <c r="H153" s="10"/>
      <c r="I153" s="9"/>
      <c r="J153" s="10"/>
      <c r="K153" s="9"/>
      <c r="L153" t="s">
        <v>56</v>
      </c>
      <c r="M153" t="str">
        <f>Config!$B$3&amp;"?room="&amp;A153</f>
        <v>https://wph-bujv.github.io/wph-rooms/?room=A-L06-K01D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5" customHeight="1" x14ac:dyDescent="0.25">
      <c r="A154" t="s">
        <v>392</v>
      </c>
      <c r="B154" t="s">
        <v>45</v>
      </c>
      <c r="C154" t="s">
        <v>366</v>
      </c>
      <c r="D154" t="s">
        <v>393</v>
      </c>
      <c r="E154" t="s">
        <v>89</v>
      </c>
      <c r="F154" t="s">
        <v>67</v>
      </c>
      <c r="G154" s="9"/>
      <c r="H154" s="10"/>
      <c r="I154" s="9"/>
      <c r="J154" s="10"/>
      <c r="K154" s="9"/>
      <c r="L154" t="s">
        <v>56</v>
      </c>
      <c r="M154" t="str">
        <f>Config!$B$3&amp;"?room="&amp;A154</f>
        <v>https://wph-bujv.github.io/wph-rooms/?room=A-L06-K02-01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5" customHeight="1" x14ac:dyDescent="0.25">
      <c r="A155" t="s">
        <v>394</v>
      </c>
      <c r="B155" t="s">
        <v>45</v>
      </c>
      <c r="C155" t="s">
        <v>366</v>
      </c>
      <c r="D155" t="s">
        <v>395</v>
      </c>
      <c r="E155" t="s">
        <v>89</v>
      </c>
      <c r="F155" t="s">
        <v>67</v>
      </c>
      <c r="G155" s="9"/>
      <c r="H155" s="10"/>
      <c r="I155" s="9"/>
      <c r="J155" s="10"/>
      <c r="K155" s="9"/>
      <c r="L155" t="s">
        <v>56</v>
      </c>
      <c r="M155" t="str">
        <f>Config!$B$3&amp;"?room="&amp;A155</f>
        <v>https://wph-bujv.github.io/wph-rooms/?room=A-L06-K02-02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5" customHeight="1" x14ac:dyDescent="0.25">
      <c r="A156" t="s">
        <v>396</v>
      </c>
      <c r="B156" t="s">
        <v>45</v>
      </c>
      <c r="C156" t="s">
        <v>366</v>
      </c>
      <c r="D156" t="s">
        <v>397</v>
      </c>
      <c r="E156" t="s">
        <v>94</v>
      </c>
      <c r="F156" t="s">
        <v>67</v>
      </c>
      <c r="G156" s="9"/>
      <c r="H156" s="10"/>
      <c r="I156" s="9"/>
      <c r="J156" s="10"/>
      <c r="K156" s="9"/>
      <c r="L156" t="s">
        <v>56</v>
      </c>
      <c r="M156" t="str">
        <f>Config!$B$3&amp;"?room="&amp;A156</f>
        <v>https://wph-bujv.github.io/wph-rooms/?room=A-L06-K02B-01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5" customHeight="1" x14ac:dyDescent="0.25">
      <c r="A157" t="s">
        <v>398</v>
      </c>
      <c r="B157" t="s">
        <v>45</v>
      </c>
      <c r="C157" t="s">
        <v>366</v>
      </c>
      <c r="D157" t="s">
        <v>399</v>
      </c>
      <c r="E157" t="s">
        <v>94</v>
      </c>
      <c r="F157" t="s">
        <v>67</v>
      </c>
      <c r="G157" s="9"/>
      <c r="H157" s="10"/>
      <c r="I157" s="9"/>
      <c r="J157" s="10"/>
      <c r="K157" s="9"/>
      <c r="L157" t="s">
        <v>56</v>
      </c>
      <c r="M157" t="str">
        <f>Config!$B$3&amp;"?room="&amp;A157</f>
        <v>https://wph-bujv.github.io/wph-rooms/?room=A-L06-K02B-02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5" customHeight="1" x14ac:dyDescent="0.25">
      <c r="A158" t="s">
        <v>400</v>
      </c>
      <c r="B158" t="s">
        <v>45</v>
      </c>
      <c r="C158" t="s">
        <v>366</v>
      </c>
      <c r="D158" t="s">
        <v>401</v>
      </c>
      <c r="E158" t="s">
        <v>94</v>
      </c>
      <c r="F158" t="s">
        <v>67</v>
      </c>
      <c r="G158" s="9"/>
      <c r="H158" s="10"/>
      <c r="I158" s="9"/>
      <c r="J158" s="10"/>
      <c r="K158" s="9"/>
      <c r="L158" t="s">
        <v>56</v>
      </c>
      <c r="M158" t="str">
        <f>Config!$B$3&amp;"?room="&amp;A158</f>
        <v>https://wph-bujv.github.io/wph-rooms/?room=A-L06-K02B-03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5" customHeight="1" x14ac:dyDescent="0.25">
      <c r="A159" t="s">
        <v>402</v>
      </c>
      <c r="B159" t="s">
        <v>45</v>
      </c>
      <c r="C159" t="s">
        <v>366</v>
      </c>
      <c r="D159" t="s">
        <v>403</v>
      </c>
      <c r="E159" t="s">
        <v>186</v>
      </c>
      <c r="F159" t="s">
        <v>67</v>
      </c>
      <c r="G159" s="9"/>
      <c r="H159" s="10"/>
      <c r="I159" s="9"/>
      <c r="J159" s="10"/>
      <c r="K159" s="9"/>
      <c r="L159" t="s">
        <v>56</v>
      </c>
      <c r="M159" t="str">
        <f>Config!$B$3&amp;"?room="&amp;A159</f>
        <v>https://wph-bujv.github.io/wph-rooms/?room=A-L06-K02C1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5" customHeight="1" x14ac:dyDescent="0.25">
      <c r="A160" t="s">
        <v>404</v>
      </c>
      <c r="B160" t="s">
        <v>45</v>
      </c>
      <c r="C160" t="s">
        <v>366</v>
      </c>
      <c r="D160" t="s">
        <v>405</v>
      </c>
      <c r="E160" t="s">
        <v>101</v>
      </c>
      <c r="F160" t="s">
        <v>67</v>
      </c>
      <c r="G160" s="9"/>
      <c r="H160" s="10"/>
      <c r="I160" s="9"/>
      <c r="J160" s="10"/>
      <c r="K160" s="9"/>
      <c r="L160" t="s">
        <v>56</v>
      </c>
      <c r="M160" t="str">
        <f>Config!$B$3&amp;"?room="&amp;A160</f>
        <v>https://wph-bujv.github.io/wph-rooms/?room=A-L06-K02C2-01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5" customHeight="1" x14ac:dyDescent="0.25">
      <c r="A161" t="s">
        <v>406</v>
      </c>
      <c r="B161" t="s">
        <v>45</v>
      </c>
      <c r="C161" t="s">
        <v>366</v>
      </c>
      <c r="D161" t="s">
        <v>407</v>
      </c>
      <c r="E161" t="s">
        <v>101</v>
      </c>
      <c r="F161" t="s">
        <v>67</v>
      </c>
      <c r="G161" s="9"/>
      <c r="H161" s="10"/>
      <c r="I161" s="9"/>
      <c r="J161" s="10"/>
      <c r="K161" s="9"/>
      <c r="L161" t="s">
        <v>56</v>
      </c>
      <c r="M161" t="str">
        <f>Config!$B$3&amp;"?room="&amp;A161</f>
        <v>https://wph-bujv.github.io/wph-rooms/?room=A-L06-K02C2-02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5" customHeight="1" x14ac:dyDescent="0.25">
      <c r="A162" t="s">
        <v>408</v>
      </c>
      <c r="B162" t="s">
        <v>45</v>
      </c>
      <c r="C162" t="s">
        <v>366</v>
      </c>
      <c r="D162" t="s">
        <v>409</v>
      </c>
      <c r="E162" t="s">
        <v>106</v>
      </c>
      <c r="F162" t="s">
        <v>67</v>
      </c>
      <c r="G162" s="9"/>
      <c r="H162" s="10"/>
      <c r="I162" s="9"/>
      <c r="J162" s="10"/>
      <c r="K162" s="9"/>
      <c r="L162" t="s">
        <v>56</v>
      </c>
      <c r="M162" t="str">
        <f>Config!$B$3&amp;"?room="&amp;A162</f>
        <v>https://wph-bujv.github.io/wph-rooms/?room=A-L06-K02D1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5" customHeight="1" x14ac:dyDescent="0.25">
      <c r="A163" t="s">
        <v>410</v>
      </c>
      <c r="B163" t="s">
        <v>45</v>
      </c>
      <c r="C163" t="s">
        <v>366</v>
      </c>
      <c r="D163" t="s">
        <v>411</v>
      </c>
      <c r="E163" t="s">
        <v>109</v>
      </c>
      <c r="F163" t="s">
        <v>110</v>
      </c>
      <c r="G163" s="9"/>
      <c r="H163" s="10"/>
      <c r="I163" s="9"/>
      <c r="J163" s="10"/>
      <c r="K163" s="9"/>
      <c r="L163" t="s">
        <v>56</v>
      </c>
      <c r="M163" t="str">
        <f>Config!$B$3&amp;"?room="&amp;A163</f>
        <v>https://wph-bujv.github.io/wph-rooms/?room=A-L06-Q01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5" customHeight="1" x14ac:dyDescent="0.25">
      <c r="A164" t="s">
        <v>412</v>
      </c>
      <c r="B164" t="s">
        <v>45</v>
      </c>
      <c r="C164" t="s">
        <v>366</v>
      </c>
      <c r="D164" t="s">
        <v>413</v>
      </c>
      <c r="E164" t="s">
        <v>113</v>
      </c>
      <c r="F164" t="s">
        <v>110</v>
      </c>
      <c r="G164" s="9"/>
      <c r="H164" s="10"/>
      <c r="I164" s="9"/>
      <c r="J164" s="10"/>
      <c r="K164" s="9"/>
      <c r="L164" t="s">
        <v>56</v>
      </c>
      <c r="M164" t="str">
        <f>Config!$B$3&amp;"?room="&amp;A164</f>
        <v>https://wph-bujv.github.io/wph-rooms/?room=A-L06-Q01C-01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5" customHeight="1" x14ac:dyDescent="0.25">
      <c r="A165" t="s">
        <v>414</v>
      </c>
      <c r="B165" t="s">
        <v>45</v>
      </c>
      <c r="C165" t="s">
        <v>366</v>
      </c>
      <c r="D165" t="s">
        <v>415</v>
      </c>
      <c r="E165" t="s">
        <v>113</v>
      </c>
      <c r="F165" t="s">
        <v>110</v>
      </c>
      <c r="G165" s="9"/>
      <c r="H165" s="10"/>
      <c r="I165" s="9"/>
      <c r="J165" s="10"/>
      <c r="K165" s="9"/>
      <c r="L165" t="s">
        <v>56</v>
      </c>
      <c r="M165" t="str">
        <f>Config!$B$3&amp;"?room="&amp;A165</f>
        <v>https://wph-bujv.github.io/wph-rooms/?room=A-L06-Q01C-02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5" customHeight="1" x14ac:dyDescent="0.25">
      <c r="A166" t="s">
        <v>416</v>
      </c>
      <c r="B166" t="s">
        <v>45</v>
      </c>
      <c r="C166" t="s">
        <v>366</v>
      </c>
      <c r="D166" t="s">
        <v>417</v>
      </c>
      <c r="E166" t="s">
        <v>113</v>
      </c>
      <c r="F166" t="s">
        <v>110</v>
      </c>
      <c r="G166" s="9"/>
      <c r="H166" s="10"/>
      <c r="I166" s="9"/>
      <c r="J166" s="10"/>
      <c r="K166" s="9"/>
      <c r="L166" t="s">
        <v>56</v>
      </c>
      <c r="M166" t="str">
        <f>Config!$B$3&amp;"?room="&amp;A166</f>
        <v>https://wph-bujv.github.io/wph-rooms/?room=A-L06-Q01C-03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5" customHeight="1" x14ac:dyDescent="0.25">
      <c r="A167" t="s">
        <v>418</v>
      </c>
      <c r="B167" t="s">
        <v>45</v>
      </c>
      <c r="C167" t="s">
        <v>366</v>
      </c>
      <c r="D167" t="s">
        <v>419</v>
      </c>
      <c r="E167" t="s">
        <v>120</v>
      </c>
      <c r="F167" t="s">
        <v>110</v>
      </c>
      <c r="G167" s="9"/>
      <c r="H167" s="10"/>
      <c r="I167" s="9"/>
      <c r="J167" s="10"/>
      <c r="K167" s="9"/>
      <c r="L167" t="s">
        <v>56</v>
      </c>
      <c r="M167" t="str">
        <f>Config!$B$3&amp;"?room="&amp;A167</f>
        <v>https://wph-bujv.github.io/wph-rooms/?room=A-L06-Q01C1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5" customHeight="1" x14ac:dyDescent="0.25">
      <c r="A168" t="s">
        <v>420</v>
      </c>
      <c r="B168" t="s">
        <v>45</v>
      </c>
      <c r="C168" t="s">
        <v>366</v>
      </c>
      <c r="D168" t="s">
        <v>421</v>
      </c>
      <c r="E168" t="s">
        <v>205</v>
      </c>
      <c r="F168" t="s">
        <v>110</v>
      </c>
      <c r="G168" s="9"/>
      <c r="H168" s="10"/>
      <c r="I168" s="9"/>
      <c r="J168" s="10"/>
      <c r="K168" s="9"/>
      <c r="L168" t="s">
        <v>56</v>
      </c>
      <c r="M168" t="str">
        <f>Config!$B$3&amp;"?room="&amp;A168</f>
        <v>https://wph-bujv.github.io/wph-rooms/?room=A-L06-Q02C1-01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5" customHeight="1" x14ac:dyDescent="0.25">
      <c r="A169" t="s">
        <v>422</v>
      </c>
      <c r="B169" t="s">
        <v>45</v>
      </c>
      <c r="C169" t="s">
        <v>366</v>
      </c>
      <c r="D169" t="s">
        <v>423</v>
      </c>
      <c r="E169" t="s">
        <v>205</v>
      </c>
      <c r="F169" t="s">
        <v>110</v>
      </c>
      <c r="G169" s="9"/>
      <c r="H169" s="10"/>
      <c r="I169" s="9"/>
      <c r="J169" s="10"/>
      <c r="K169" s="9"/>
      <c r="L169" t="s">
        <v>56</v>
      </c>
      <c r="M169" t="str">
        <f>Config!$B$3&amp;"?room="&amp;A169</f>
        <v>https://wph-bujv.github.io/wph-rooms/?room=A-L06-Q02C1-02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5" customHeight="1" x14ac:dyDescent="0.25">
      <c r="A170" t="s">
        <v>424</v>
      </c>
      <c r="B170" t="s">
        <v>45</v>
      </c>
      <c r="C170" t="s">
        <v>366</v>
      </c>
      <c r="D170" t="s">
        <v>425</v>
      </c>
      <c r="E170" t="s">
        <v>126</v>
      </c>
      <c r="F170" t="s">
        <v>110</v>
      </c>
      <c r="G170" s="9"/>
      <c r="H170" s="10"/>
      <c r="I170" s="9"/>
      <c r="J170" s="10"/>
      <c r="K170" s="9"/>
      <c r="L170" t="s">
        <v>56</v>
      </c>
      <c r="M170" t="str">
        <f>Config!$B$3&amp;"?room="&amp;A170</f>
        <v>https://wph-bujv.github.io/wph-rooms/?room=A-L06-Q02C2-01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5" customHeight="1" x14ac:dyDescent="0.25">
      <c r="A171" t="s">
        <v>426</v>
      </c>
      <c r="B171" t="s">
        <v>45</v>
      </c>
      <c r="C171" t="s">
        <v>366</v>
      </c>
      <c r="D171" t="s">
        <v>427</v>
      </c>
      <c r="E171" t="s">
        <v>126</v>
      </c>
      <c r="F171" t="s">
        <v>110</v>
      </c>
      <c r="G171" s="9"/>
      <c r="H171" s="10"/>
      <c r="I171" s="9"/>
      <c r="J171" s="10"/>
      <c r="K171" s="9"/>
      <c r="L171" t="s">
        <v>56</v>
      </c>
      <c r="M171" t="str">
        <f>Config!$B$3&amp;"?room="&amp;A171</f>
        <v>https://wph-bujv.github.io/wph-rooms/?room=A-L06-Q02C2-02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5" customHeight="1" x14ac:dyDescent="0.25">
      <c r="A172" t="s">
        <v>428</v>
      </c>
      <c r="B172" t="s">
        <v>45</v>
      </c>
      <c r="C172" t="s">
        <v>366</v>
      </c>
      <c r="D172" t="s">
        <v>429</v>
      </c>
      <c r="E172" t="s">
        <v>131</v>
      </c>
      <c r="F172" t="s">
        <v>110</v>
      </c>
      <c r="G172" s="9"/>
      <c r="H172" s="10"/>
      <c r="I172" s="9"/>
      <c r="J172" s="10"/>
      <c r="K172" s="9"/>
      <c r="L172" t="s">
        <v>56</v>
      </c>
      <c r="M172" t="str">
        <f>Config!$B$3&amp;"?room="&amp;A172</f>
        <v>https://wph-bujv.github.io/wph-rooms/?room=A-L06-Q02E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5" customHeight="1" x14ac:dyDescent="0.25">
      <c r="A173" t="s">
        <v>430</v>
      </c>
      <c r="B173" t="s">
        <v>45</v>
      </c>
      <c r="C173" t="s">
        <v>366</v>
      </c>
      <c r="D173" t="s">
        <v>431</v>
      </c>
      <c r="E173" t="s">
        <v>287</v>
      </c>
      <c r="F173" t="s">
        <v>138</v>
      </c>
      <c r="G173" s="9"/>
      <c r="H173" s="10"/>
      <c r="I173" s="9"/>
      <c r="J173" s="10"/>
      <c r="K173" s="9"/>
      <c r="L173" t="s">
        <v>56</v>
      </c>
      <c r="M173" t="str">
        <f>Config!$B$3&amp;"?room="&amp;A173</f>
        <v>https://wph-bujv.github.io/wph-rooms/?room=A-L06-QADA2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5" customHeight="1" x14ac:dyDescent="0.25">
      <c r="A174" t="s">
        <v>432</v>
      </c>
      <c r="B174" t="s">
        <v>45</v>
      </c>
      <c r="C174" t="s">
        <v>366</v>
      </c>
      <c r="D174" t="s">
        <v>433</v>
      </c>
      <c r="E174" t="s">
        <v>141</v>
      </c>
      <c r="F174" t="s">
        <v>49</v>
      </c>
      <c r="G174" s="9"/>
      <c r="H174" s="10"/>
      <c r="I174" s="9"/>
      <c r="J174" s="10"/>
      <c r="K174" s="9"/>
      <c r="L174" t="s">
        <v>56</v>
      </c>
      <c r="M174" t="str">
        <f>Config!$B$3&amp;"?room="&amp;A174</f>
        <v>https://wph-bujv.github.io/wph-rooms/?room=A-L06-S05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5" customHeight="1" x14ac:dyDescent="0.25">
      <c r="A175" t="s">
        <v>434</v>
      </c>
      <c r="B175" t="s">
        <v>45</v>
      </c>
      <c r="C175" t="s">
        <v>366</v>
      </c>
      <c r="D175" t="s">
        <v>435</v>
      </c>
      <c r="E175" t="s">
        <v>144</v>
      </c>
      <c r="F175" t="s">
        <v>49</v>
      </c>
      <c r="G175" s="9"/>
      <c r="H175" s="10"/>
      <c r="I175" s="9"/>
      <c r="J175" s="10"/>
      <c r="K175" s="9"/>
      <c r="L175" t="s">
        <v>56</v>
      </c>
      <c r="M175" t="str">
        <f>Config!$B$3&amp;"?room="&amp;A175</f>
        <v>https://wph-bujv.github.io/wph-rooms/?room=A-L06-S06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5" customHeight="1" x14ac:dyDescent="0.25">
      <c r="A176" t="s">
        <v>436</v>
      </c>
      <c r="B176" t="s">
        <v>45</v>
      </c>
      <c r="C176" t="s">
        <v>437</v>
      </c>
      <c r="D176" t="s">
        <v>438</v>
      </c>
      <c r="E176" t="s">
        <v>59</v>
      </c>
      <c r="F176" t="s">
        <v>54</v>
      </c>
      <c r="G176" s="9"/>
      <c r="H176" s="10"/>
      <c r="I176" s="9"/>
      <c r="J176" s="10"/>
      <c r="K176" s="9"/>
      <c r="L176" t="s">
        <v>56</v>
      </c>
      <c r="M176" t="str">
        <f>Config!$B$3&amp;"?room="&amp;A176</f>
        <v>https://wph-bujv.github.io/wph-rooms/?room=A-L07-F04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5" customHeight="1" x14ac:dyDescent="0.25">
      <c r="A177" t="s">
        <v>439</v>
      </c>
      <c r="B177" t="s">
        <v>45</v>
      </c>
      <c r="C177" t="s">
        <v>437</v>
      </c>
      <c r="D177" t="s">
        <v>440</v>
      </c>
      <c r="E177" t="s">
        <v>155</v>
      </c>
      <c r="F177" t="s">
        <v>54</v>
      </c>
      <c r="G177" s="9"/>
      <c r="H177" s="10"/>
      <c r="I177" s="9"/>
      <c r="J177" s="10"/>
      <c r="K177" s="9"/>
      <c r="L177" t="s">
        <v>56</v>
      </c>
      <c r="M177" t="str">
        <f>Config!$B$3&amp;"?room="&amp;A177</f>
        <v>https://wph-bujv.github.io/wph-rooms/?room=A-L07-F05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5" customHeight="1" x14ac:dyDescent="0.25">
      <c r="A178" t="s">
        <v>441</v>
      </c>
      <c r="B178" t="s">
        <v>45</v>
      </c>
      <c r="C178" t="s">
        <v>437</v>
      </c>
      <c r="D178" t="s">
        <v>442</v>
      </c>
      <c r="E178" t="s">
        <v>66</v>
      </c>
      <c r="F178" t="s">
        <v>67</v>
      </c>
      <c r="G178" s="9"/>
      <c r="H178" s="10"/>
      <c r="I178" s="9"/>
      <c r="J178" s="10"/>
      <c r="K178" s="9"/>
      <c r="L178" t="s">
        <v>56</v>
      </c>
      <c r="M178" t="str">
        <f>Config!$B$3&amp;"?room="&amp;A178</f>
        <v>https://wph-bujv.github.io/wph-rooms/?room=A-L07-K01-01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5" customHeight="1" x14ac:dyDescent="0.25">
      <c r="A179" t="s">
        <v>443</v>
      </c>
      <c r="B179" t="s">
        <v>45</v>
      </c>
      <c r="C179" t="s">
        <v>437</v>
      </c>
      <c r="D179" t="s">
        <v>444</v>
      </c>
      <c r="E179" t="s">
        <v>66</v>
      </c>
      <c r="F179" t="s">
        <v>67</v>
      </c>
      <c r="G179" s="9"/>
      <c r="H179" s="10"/>
      <c r="I179" s="9"/>
      <c r="J179" s="10"/>
      <c r="K179" s="9"/>
      <c r="L179" t="s">
        <v>56</v>
      </c>
      <c r="M179" t="str">
        <f>Config!$B$3&amp;"?room="&amp;A179</f>
        <v>https://wph-bujv.github.io/wph-rooms/?room=A-L07-K01-02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5" customHeight="1" x14ac:dyDescent="0.25">
      <c r="A180" t="s">
        <v>445</v>
      </c>
      <c r="B180" t="s">
        <v>45</v>
      </c>
      <c r="C180" t="s">
        <v>437</v>
      </c>
      <c r="D180" t="s">
        <v>446</v>
      </c>
      <c r="E180" t="s">
        <v>66</v>
      </c>
      <c r="F180" t="s">
        <v>67</v>
      </c>
      <c r="G180" s="9"/>
      <c r="H180" s="10"/>
      <c r="I180" s="9"/>
      <c r="J180" s="10"/>
      <c r="K180" s="9"/>
      <c r="L180" t="s">
        <v>56</v>
      </c>
      <c r="M180" t="str">
        <f>Config!$B$3&amp;"?room="&amp;A180</f>
        <v>https://wph-bujv.github.io/wph-rooms/?room=A-L07-K01-03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5" customHeight="1" x14ac:dyDescent="0.25">
      <c r="A181" t="s">
        <v>447</v>
      </c>
      <c r="B181" t="s">
        <v>45</v>
      </c>
      <c r="C181" t="s">
        <v>437</v>
      </c>
      <c r="D181" t="s">
        <v>448</v>
      </c>
      <c r="E181" t="s">
        <v>74</v>
      </c>
      <c r="F181" t="s">
        <v>67</v>
      </c>
      <c r="G181" s="9"/>
      <c r="H181" s="10"/>
      <c r="I181" s="9"/>
      <c r="J181" s="10"/>
      <c r="K181" s="9"/>
      <c r="L181" t="s">
        <v>56</v>
      </c>
      <c r="M181" t="str">
        <f>Config!$B$3&amp;"?room="&amp;A181</f>
        <v>https://wph-bujv.github.io/wph-rooms/?room=A-L07-K01B-01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5" customHeight="1" x14ac:dyDescent="0.25">
      <c r="A182" t="s">
        <v>449</v>
      </c>
      <c r="B182" t="s">
        <v>45</v>
      </c>
      <c r="C182" t="s">
        <v>437</v>
      </c>
      <c r="D182" t="s">
        <v>450</v>
      </c>
      <c r="E182" t="s">
        <v>74</v>
      </c>
      <c r="F182" t="s">
        <v>67</v>
      </c>
      <c r="G182" s="9"/>
      <c r="H182" s="10"/>
      <c r="I182" s="9"/>
      <c r="J182" s="10"/>
      <c r="K182" s="9"/>
      <c r="L182" t="s">
        <v>56</v>
      </c>
      <c r="M182" t="str">
        <f>Config!$B$3&amp;"?room="&amp;A182</f>
        <v>https://wph-bujv.github.io/wph-rooms/?room=A-L07-K01B-02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5" customHeight="1" x14ac:dyDescent="0.25">
      <c r="A183" t="s">
        <v>451</v>
      </c>
      <c r="B183" t="s">
        <v>45</v>
      </c>
      <c r="C183" t="s">
        <v>437</v>
      </c>
      <c r="D183" t="s">
        <v>452</v>
      </c>
      <c r="E183" t="s">
        <v>79</v>
      </c>
      <c r="F183" t="s">
        <v>67</v>
      </c>
      <c r="G183" s="9"/>
      <c r="H183" s="10"/>
      <c r="I183" s="9"/>
      <c r="J183" s="10"/>
      <c r="K183" s="9"/>
      <c r="L183" t="s">
        <v>56</v>
      </c>
      <c r="M183" t="str">
        <f>Config!$B$3&amp;"?room="&amp;A183</f>
        <v>https://wph-bujv.github.io/wph-rooms/?room=A-L07-K01C-01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5" customHeight="1" x14ac:dyDescent="0.25">
      <c r="A184" t="s">
        <v>453</v>
      </c>
      <c r="B184" t="s">
        <v>45</v>
      </c>
      <c r="C184" t="s">
        <v>437</v>
      </c>
      <c r="D184" t="s">
        <v>454</v>
      </c>
      <c r="E184" t="s">
        <v>79</v>
      </c>
      <c r="F184" t="s">
        <v>67</v>
      </c>
      <c r="G184" s="9"/>
      <c r="H184" s="10"/>
      <c r="I184" s="9"/>
      <c r="J184" s="10"/>
      <c r="K184" s="9"/>
      <c r="L184" t="s">
        <v>56</v>
      </c>
      <c r="M184" t="str">
        <f>Config!$B$3&amp;"?room="&amp;A184</f>
        <v>https://wph-bujv.github.io/wph-rooms/?room=A-L07-K01C-02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5" customHeight="1" x14ac:dyDescent="0.25">
      <c r="A185" t="s">
        <v>455</v>
      </c>
      <c r="B185" t="s">
        <v>45</v>
      </c>
      <c r="C185" t="s">
        <v>437</v>
      </c>
      <c r="D185" t="s">
        <v>456</v>
      </c>
      <c r="E185" t="s">
        <v>79</v>
      </c>
      <c r="F185" t="s">
        <v>67</v>
      </c>
      <c r="G185" s="9"/>
      <c r="H185" s="10"/>
      <c r="I185" s="9"/>
      <c r="J185" s="10"/>
      <c r="K185" s="9"/>
      <c r="L185" t="s">
        <v>56</v>
      </c>
      <c r="M185" t="str">
        <f>Config!$B$3&amp;"?room="&amp;A185</f>
        <v>https://wph-bujv.github.io/wph-rooms/?room=A-L07-K01C-03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5" customHeight="1" x14ac:dyDescent="0.25">
      <c r="A186" t="s">
        <v>457</v>
      </c>
      <c r="B186" t="s">
        <v>45</v>
      </c>
      <c r="C186" t="s">
        <v>437</v>
      </c>
      <c r="D186" t="s">
        <v>458</v>
      </c>
      <c r="E186" t="s">
        <v>86</v>
      </c>
      <c r="F186" t="s">
        <v>67</v>
      </c>
      <c r="G186" s="9"/>
      <c r="H186" s="10"/>
      <c r="I186" s="9"/>
      <c r="J186" s="10"/>
      <c r="K186" s="9"/>
      <c r="L186" t="s">
        <v>56</v>
      </c>
      <c r="M186" t="str">
        <f>Config!$B$3&amp;"?room="&amp;A186</f>
        <v>https://wph-bujv.github.io/wph-rooms/?room=A-L07-K01D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5" customHeight="1" x14ac:dyDescent="0.25">
      <c r="A187" t="s">
        <v>459</v>
      </c>
      <c r="B187" t="s">
        <v>45</v>
      </c>
      <c r="C187" t="s">
        <v>437</v>
      </c>
      <c r="D187" t="s">
        <v>460</v>
      </c>
      <c r="E187" t="s">
        <v>89</v>
      </c>
      <c r="F187" t="s">
        <v>67</v>
      </c>
      <c r="G187" s="9"/>
      <c r="H187" s="10"/>
      <c r="I187" s="9"/>
      <c r="J187" s="10"/>
      <c r="K187" s="9"/>
      <c r="L187" t="s">
        <v>56</v>
      </c>
      <c r="M187" t="str">
        <f>Config!$B$3&amp;"?room="&amp;A187</f>
        <v>https://wph-bujv.github.io/wph-rooms/?room=A-L07-K02-01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5" customHeight="1" x14ac:dyDescent="0.25">
      <c r="A188" t="s">
        <v>461</v>
      </c>
      <c r="B188" t="s">
        <v>45</v>
      </c>
      <c r="C188" t="s">
        <v>437</v>
      </c>
      <c r="D188" t="s">
        <v>462</v>
      </c>
      <c r="E188" t="s">
        <v>89</v>
      </c>
      <c r="F188" t="s">
        <v>67</v>
      </c>
      <c r="G188" s="9"/>
      <c r="H188" s="10"/>
      <c r="I188" s="9"/>
      <c r="J188" s="10"/>
      <c r="K188" s="9"/>
      <c r="L188" t="s">
        <v>56</v>
      </c>
      <c r="M188" t="str">
        <f>Config!$B$3&amp;"?room="&amp;A188</f>
        <v>https://wph-bujv.github.io/wph-rooms/?room=A-L07-K02-02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5" customHeight="1" x14ac:dyDescent="0.25">
      <c r="A189" t="s">
        <v>463</v>
      </c>
      <c r="B189" t="s">
        <v>45</v>
      </c>
      <c r="C189" t="s">
        <v>437</v>
      </c>
      <c r="D189" t="s">
        <v>464</v>
      </c>
      <c r="E189" t="s">
        <v>94</v>
      </c>
      <c r="F189" t="s">
        <v>67</v>
      </c>
      <c r="G189" s="9"/>
      <c r="H189" s="10"/>
      <c r="I189" s="9"/>
      <c r="J189" s="10"/>
      <c r="K189" s="9"/>
      <c r="L189" t="s">
        <v>56</v>
      </c>
      <c r="M189" t="str">
        <f>Config!$B$3&amp;"?room="&amp;A189</f>
        <v>https://wph-bujv.github.io/wph-rooms/?room=A-L07-K02B-01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5" customHeight="1" x14ac:dyDescent="0.25">
      <c r="A190" t="s">
        <v>465</v>
      </c>
      <c r="B190" t="s">
        <v>45</v>
      </c>
      <c r="C190" t="s">
        <v>437</v>
      </c>
      <c r="D190" t="s">
        <v>466</v>
      </c>
      <c r="E190" t="s">
        <v>94</v>
      </c>
      <c r="F190" t="s">
        <v>67</v>
      </c>
      <c r="G190" s="9"/>
      <c r="H190" s="10"/>
      <c r="I190" s="9"/>
      <c r="J190" s="10"/>
      <c r="K190" s="9"/>
      <c r="L190" t="s">
        <v>56</v>
      </c>
      <c r="M190" t="str">
        <f>Config!$B$3&amp;"?room="&amp;A190</f>
        <v>https://wph-bujv.github.io/wph-rooms/?room=A-L07-K02B-02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5" customHeight="1" x14ac:dyDescent="0.25">
      <c r="A191" t="s">
        <v>467</v>
      </c>
      <c r="B191" t="s">
        <v>45</v>
      </c>
      <c r="C191" t="s">
        <v>437</v>
      </c>
      <c r="D191" t="s">
        <v>468</v>
      </c>
      <c r="E191" t="s">
        <v>94</v>
      </c>
      <c r="F191" t="s">
        <v>67</v>
      </c>
      <c r="G191" s="9"/>
      <c r="H191" s="10"/>
      <c r="I191" s="9"/>
      <c r="J191" s="10"/>
      <c r="K191" s="9"/>
      <c r="L191" t="s">
        <v>56</v>
      </c>
      <c r="M191" t="str">
        <f>Config!$B$3&amp;"?room="&amp;A191</f>
        <v>https://wph-bujv.github.io/wph-rooms/?room=A-L07-K02B-03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5" customHeight="1" x14ac:dyDescent="0.25">
      <c r="A192" t="s">
        <v>469</v>
      </c>
      <c r="B192" t="s">
        <v>45</v>
      </c>
      <c r="C192" t="s">
        <v>437</v>
      </c>
      <c r="D192" t="s">
        <v>470</v>
      </c>
      <c r="E192" t="s">
        <v>186</v>
      </c>
      <c r="F192" t="s">
        <v>67</v>
      </c>
      <c r="G192" s="9"/>
      <c r="H192" s="10"/>
      <c r="I192" s="9"/>
      <c r="J192" s="10"/>
      <c r="K192" s="9"/>
      <c r="L192" t="s">
        <v>56</v>
      </c>
      <c r="M192" t="str">
        <f>Config!$B$3&amp;"?room="&amp;A192</f>
        <v>https://wph-bujv.github.io/wph-rooms/?room=A-L07-K02C1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5" customHeight="1" x14ac:dyDescent="0.25">
      <c r="A193" t="s">
        <v>471</v>
      </c>
      <c r="B193" t="s">
        <v>45</v>
      </c>
      <c r="C193" t="s">
        <v>437</v>
      </c>
      <c r="D193" t="s">
        <v>472</v>
      </c>
      <c r="E193" t="s">
        <v>101</v>
      </c>
      <c r="F193" t="s">
        <v>67</v>
      </c>
      <c r="G193" s="9"/>
      <c r="H193" s="10"/>
      <c r="I193" s="9"/>
      <c r="J193" s="10"/>
      <c r="K193" s="9"/>
      <c r="L193" t="s">
        <v>56</v>
      </c>
      <c r="M193" t="str">
        <f>Config!$B$3&amp;"?room="&amp;A193</f>
        <v>https://wph-bujv.github.io/wph-rooms/?room=A-L07-K02C2-01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5" customHeight="1" x14ac:dyDescent="0.25">
      <c r="A194" t="s">
        <v>473</v>
      </c>
      <c r="B194" t="s">
        <v>45</v>
      </c>
      <c r="C194" t="s">
        <v>437</v>
      </c>
      <c r="D194" t="s">
        <v>474</v>
      </c>
      <c r="E194" t="s">
        <v>101</v>
      </c>
      <c r="F194" t="s">
        <v>67</v>
      </c>
      <c r="G194" s="9"/>
      <c r="H194" s="10"/>
      <c r="I194" s="9"/>
      <c r="J194" s="10"/>
      <c r="K194" s="9"/>
      <c r="L194" t="s">
        <v>56</v>
      </c>
      <c r="M194" t="str">
        <f>Config!$B$3&amp;"?room="&amp;A194</f>
        <v>https://wph-bujv.github.io/wph-rooms/?room=A-L07-K02C2-02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5" customHeight="1" x14ac:dyDescent="0.25">
      <c r="A195" t="s">
        <v>475</v>
      </c>
      <c r="B195" t="s">
        <v>45</v>
      </c>
      <c r="C195" t="s">
        <v>437</v>
      </c>
      <c r="D195" t="s">
        <v>476</v>
      </c>
      <c r="E195" t="s">
        <v>106</v>
      </c>
      <c r="F195" t="s">
        <v>67</v>
      </c>
      <c r="G195" s="9"/>
      <c r="H195" s="10"/>
      <c r="I195" s="9"/>
      <c r="J195" s="10"/>
      <c r="K195" s="9"/>
      <c r="L195" t="s">
        <v>56</v>
      </c>
      <c r="M195" t="str">
        <f>Config!$B$3&amp;"?room="&amp;A195</f>
        <v>https://wph-bujv.github.io/wph-rooms/?room=A-L07-K02D1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" customHeight="1" x14ac:dyDescent="0.25">
      <c r="A196" t="s">
        <v>477</v>
      </c>
      <c r="B196" t="s">
        <v>45</v>
      </c>
      <c r="C196" t="s">
        <v>437</v>
      </c>
      <c r="D196" t="s">
        <v>478</v>
      </c>
      <c r="E196" t="s">
        <v>109</v>
      </c>
      <c r="F196" t="s">
        <v>110</v>
      </c>
      <c r="G196" s="9"/>
      <c r="H196" s="10"/>
      <c r="I196" s="9"/>
      <c r="J196" s="10"/>
      <c r="K196" s="9"/>
      <c r="L196" t="s">
        <v>56</v>
      </c>
      <c r="M196" t="str">
        <f>Config!$B$3&amp;"?room="&amp;A196</f>
        <v>https://wph-bujv.github.io/wph-rooms/?room=A-L07-Q01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" customHeight="1" x14ac:dyDescent="0.25">
      <c r="A197" t="s">
        <v>479</v>
      </c>
      <c r="B197" t="s">
        <v>45</v>
      </c>
      <c r="C197" t="s">
        <v>437</v>
      </c>
      <c r="D197" t="s">
        <v>480</v>
      </c>
      <c r="E197" t="s">
        <v>113</v>
      </c>
      <c r="F197" t="s">
        <v>110</v>
      </c>
      <c r="G197" s="9"/>
      <c r="H197" s="10"/>
      <c r="I197" s="9"/>
      <c r="J197" s="10"/>
      <c r="K197" s="9"/>
      <c r="L197" t="s">
        <v>56</v>
      </c>
      <c r="M197" t="str">
        <f>Config!$B$3&amp;"?room="&amp;A197</f>
        <v>https://wph-bujv.github.io/wph-rooms/?room=A-L07-Q01C-01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" customHeight="1" x14ac:dyDescent="0.25">
      <c r="A198" t="s">
        <v>481</v>
      </c>
      <c r="B198" t="s">
        <v>45</v>
      </c>
      <c r="C198" t="s">
        <v>437</v>
      </c>
      <c r="D198" t="s">
        <v>482</v>
      </c>
      <c r="E198" t="s">
        <v>113</v>
      </c>
      <c r="F198" t="s">
        <v>110</v>
      </c>
      <c r="G198" s="9"/>
      <c r="H198" s="10"/>
      <c r="I198" s="9"/>
      <c r="J198" s="10"/>
      <c r="K198" s="9"/>
      <c r="L198" t="s">
        <v>56</v>
      </c>
      <c r="M198" t="str">
        <f>Config!$B$3&amp;"?room="&amp;A198</f>
        <v>https://wph-bujv.github.io/wph-rooms/?room=A-L07-Q01C-02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" customHeight="1" x14ac:dyDescent="0.25">
      <c r="A199" t="s">
        <v>483</v>
      </c>
      <c r="B199" t="s">
        <v>45</v>
      </c>
      <c r="C199" t="s">
        <v>437</v>
      </c>
      <c r="D199" t="s">
        <v>484</v>
      </c>
      <c r="E199" t="s">
        <v>113</v>
      </c>
      <c r="F199" t="s">
        <v>110</v>
      </c>
      <c r="G199" s="9"/>
      <c r="H199" s="10"/>
      <c r="I199" s="9"/>
      <c r="J199" s="10"/>
      <c r="K199" s="9"/>
      <c r="L199" t="s">
        <v>56</v>
      </c>
      <c r="M199" t="str">
        <f>Config!$B$3&amp;"?room="&amp;A199</f>
        <v>https://wph-bujv.github.io/wph-rooms/?room=A-L07-Q01C-03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" customHeight="1" x14ac:dyDescent="0.25">
      <c r="A200" t="s">
        <v>485</v>
      </c>
      <c r="B200" t="s">
        <v>45</v>
      </c>
      <c r="C200" t="s">
        <v>437</v>
      </c>
      <c r="D200" t="s">
        <v>486</v>
      </c>
      <c r="E200" t="s">
        <v>120</v>
      </c>
      <c r="F200" t="s">
        <v>110</v>
      </c>
      <c r="G200" s="9"/>
      <c r="H200" s="10"/>
      <c r="I200" s="9"/>
      <c r="J200" s="10"/>
      <c r="K200" s="9"/>
      <c r="L200" t="s">
        <v>56</v>
      </c>
      <c r="M200" t="str">
        <f>Config!$B$3&amp;"?room="&amp;A200</f>
        <v>https://wph-bujv.github.io/wph-rooms/?room=A-L07-Q01C1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" customHeight="1" x14ac:dyDescent="0.25">
      <c r="A201" t="s">
        <v>487</v>
      </c>
      <c r="B201" t="s">
        <v>45</v>
      </c>
      <c r="C201" t="s">
        <v>437</v>
      </c>
      <c r="D201" t="s">
        <v>488</v>
      </c>
      <c r="E201" t="s">
        <v>205</v>
      </c>
      <c r="F201" t="s">
        <v>110</v>
      </c>
      <c r="G201" s="9"/>
      <c r="H201" s="10"/>
      <c r="I201" s="9"/>
      <c r="J201" s="10"/>
      <c r="K201" s="9"/>
      <c r="L201" t="s">
        <v>56</v>
      </c>
      <c r="M201" t="str">
        <f>Config!$B$3&amp;"?room="&amp;A201</f>
        <v>https://wph-bujv.github.io/wph-rooms/?room=A-L07-Q02C1-01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" customHeight="1" x14ac:dyDescent="0.25">
      <c r="A202" t="s">
        <v>489</v>
      </c>
      <c r="B202" t="s">
        <v>45</v>
      </c>
      <c r="C202" t="s">
        <v>437</v>
      </c>
      <c r="D202" t="s">
        <v>490</v>
      </c>
      <c r="E202" t="s">
        <v>205</v>
      </c>
      <c r="F202" t="s">
        <v>110</v>
      </c>
      <c r="G202" s="9"/>
      <c r="H202" s="10"/>
      <c r="I202" s="9"/>
      <c r="J202" s="10"/>
      <c r="K202" s="9"/>
      <c r="L202" t="s">
        <v>56</v>
      </c>
      <c r="M202" t="str">
        <f>Config!$B$3&amp;"?room="&amp;A202</f>
        <v>https://wph-bujv.github.io/wph-rooms/?room=A-L07-Q02C1-02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" customHeight="1" x14ac:dyDescent="0.25">
      <c r="A203" t="s">
        <v>491</v>
      </c>
      <c r="B203" t="s">
        <v>45</v>
      </c>
      <c r="C203" t="s">
        <v>437</v>
      </c>
      <c r="D203" t="s">
        <v>492</v>
      </c>
      <c r="E203" t="s">
        <v>126</v>
      </c>
      <c r="F203" t="s">
        <v>110</v>
      </c>
      <c r="G203" s="9"/>
      <c r="H203" s="10"/>
      <c r="I203" s="9"/>
      <c r="J203" s="10"/>
      <c r="K203" s="9"/>
      <c r="L203" t="s">
        <v>56</v>
      </c>
      <c r="M203" t="str">
        <f>Config!$B$3&amp;"?room="&amp;A203</f>
        <v>https://wph-bujv.github.io/wph-rooms/?room=A-L07-Q02C2-01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" customHeight="1" x14ac:dyDescent="0.25">
      <c r="A204" t="s">
        <v>493</v>
      </c>
      <c r="B204" t="s">
        <v>45</v>
      </c>
      <c r="C204" t="s">
        <v>437</v>
      </c>
      <c r="D204" t="s">
        <v>494</v>
      </c>
      <c r="E204" t="s">
        <v>126</v>
      </c>
      <c r="F204" t="s">
        <v>110</v>
      </c>
      <c r="G204" s="9"/>
      <c r="H204" s="10"/>
      <c r="I204" s="9"/>
      <c r="J204" s="10"/>
      <c r="K204" s="9"/>
      <c r="L204" t="s">
        <v>56</v>
      </c>
      <c r="M204" t="str">
        <f>Config!$B$3&amp;"?room="&amp;A204</f>
        <v>https://wph-bujv.github.io/wph-rooms/?room=A-L07-Q02C2-02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" customHeight="1" x14ac:dyDescent="0.25">
      <c r="A205" t="s">
        <v>495</v>
      </c>
      <c r="B205" t="s">
        <v>45</v>
      </c>
      <c r="C205" t="s">
        <v>437</v>
      </c>
      <c r="D205" t="s">
        <v>496</v>
      </c>
      <c r="E205" t="s">
        <v>131</v>
      </c>
      <c r="F205" t="s">
        <v>110</v>
      </c>
      <c r="G205" s="9"/>
      <c r="H205" s="10"/>
      <c r="I205" s="9"/>
      <c r="J205" s="10"/>
      <c r="K205" s="9"/>
      <c r="L205" t="s">
        <v>56</v>
      </c>
      <c r="M205" t="str">
        <f>Config!$B$3&amp;"?room="&amp;A205</f>
        <v>https://wph-bujv.github.io/wph-rooms/?room=A-L07-Q02E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" customHeight="1" x14ac:dyDescent="0.25">
      <c r="A206" t="s">
        <v>497</v>
      </c>
      <c r="B206" t="s">
        <v>45</v>
      </c>
      <c r="C206" t="s">
        <v>437</v>
      </c>
      <c r="D206" t="s">
        <v>498</v>
      </c>
      <c r="E206" t="s">
        <v>287</v>
      </c>
      <c r="F206" t="s">
        <v>138</v>
      </c>
      <c r="G206" s="9"/>
      <c r="H206" s="10"/>
      <c r="I206" s="9"/>
      <c r="J206" s="10"/>
      <c r="K206" s="9"/>
      <c r="L206" t="s">
        <v>56</v>
      </c>
      <c r="M206" t="str">
        <f>Config!$B$3&amp;"?room="&amp;A206</f>
        <v>https://wph-bujv.github.io/wph-rooms/?room=A-L07-QADA2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" customHeight="1" x14ac:dyDescent="0.25">
      <c r="A207" t="s">
        <v>499</v>
      </c>
      <c r="B207" t="s">
        <v>45</v>
      </c>
      <c r="C207" t="s">
        <v>437</v>
      </c>
      <c r="D207" t="s">
        <v>500</v>
      </c>
      <c r="E207" t="s">
        <v>141</v>
      </c>
      <c r="F207" t="s">
        <v>49</v>
      </c>
      <c r="G207" s="9"/>
      <c r="H207" s="10"/>
      <c r="I207" s="9"/>
      <c r="J207" s="10"/>
      <c r="K207" s="9"/>
      <c r="L207" t="s">
        <v>56</v>
      </c>
      <c r="M207" t="str">
        <f>Config!$B$3&amp;"?room="&amp;A207</f>
        <v>https://wph-bujv.github.io/wph-rooms/?room=A-L07-S05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" customHeight="1" x14ac:dyDescent="0.25">
      <c r="A208" t="s">
        <v>501</v>
      </c>
      <c r="B208" t="s">
        <v>45</v>
      </c>
      <c r="C208" t="s">
        <v>437</v>
      </c>
      <c r="D208" t="s">
        <v>502</v>
      </c>
      <c r="E208" t="s">
        <v>144</v>
      </c>
      <c r="F208" t="s">
        <v>49</v>
      </c>
      <c r="G208" s="9"/>
      <c r="H208" s="10"/>
      <c r="I208" s="9"/>
      <c r="J208" s="10"/>
      <c r="K208" s="9"/>
      <c r="L208" t="s">
        <v>56</v>
      </c>
      <c r="M208" t="str">
        <f>Config!$B$3&amp;"?room="&amp;A208</f>
        <v>https://wph-bujv.github.io/wph-rooms/?room=A-L07-S06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" customHeight="1" x14ac:dyDescent="0.25">
      <c r="A209" t="s">
        <v>503</v>
      </c>
      <c r="B209" t="s">
        <v>45</v>
      </c>
      <c r="C209" t="s">
        <v>437</v>
      </c>
      <c r="D209" t="s">
        <v>504</v>
      </c>
      <c r="E209" t="s">
        <v>505</v>
      </c>
      <c r="F209" t="s">
        <v>49</v>
      </c>
      <c r="G209" s="9"/>
      <c r="H209" s="10"/>
      <c r="I209" s="9"/>
      <c r="J209" s="10"/>
      <c r="K209" s="9"/>
      <c r="L209" t="s">
        <v>506</v>
      </c>
      <c r="M209" t="str">
        <f>Config!$B$3&amp;"?room="&amp;A209</f>
        <v>https://wph-bujv.github.io/wph-rooms/?room=A-L07-S08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" customHeight="1" x14ac:dyDescent="0.25">
      <c r="A210" t="s">
        <v>507</v>
      </c>
      <c r="B210" t="s">
        <v>45</v>
      </c>
      <c r="C210" t="s">
        <v>437</v>
      </c>
      <c r="D210" t="s">
        <v>508</v>
      </c>
      <c r="E210" t="s">
        <v>509</v>
      </c>
      <c r="F210" t="s">
        <v>49</v>
      </c>
      <c r="G210" s="9"/>
      <c r="H210" s="10"/>
      <c r="I210" s="9"/>
      <c r="J210" s="10"/>
      <c r="K210" s="9"/>
      <c r="L210" t="s">
        <v>56</v>
      </c>
      <c r="M210" t="str">
        <f>Config!$B$3&amp;"?room="&amp;A210</f>
        <v>https://wph-bujv.github.io/wph-rooms/?room=A-L07-S08A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" customHeight="1" x14ac:dyDescent="0.25">
      <c r="A211" t="s">
        <v>510</v>
      </c>
      <c r="B211" t="s">
        <v>45</v>
      </c>
      <c r="C211" t="s">
        <v>511</v>
      </c>
      <c r="D211" t="s">
        <v>512</v>
      </c>
      <c r="E211" t="s">
        <v>59</v>
      </c>
      <c r="F211" t="s">
        <v>54</v>
      </c>
      <c r="G211" s="9"/>
      <c r="H211" s="10"/>
      <c r="I211" s="9"/>
      <c r="J211" s="10"/>
      <c r="K211" s="9"/>
      <c r="L211" t="s">
        <v>56</v>
      </c>
      <c r="M211" t="str">
        <f>Config!$B$3&amp;"?room="&amp;A211</f>
        <v>https://wph-bujv.github.io/wph-rooms/?room=A-L08-F04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" customHeight="1" x14ac:dyDescent="0.25">
      <c r="A212" t="s">
        <v>513</v>
      </c>
      <c r="B212" t="s">
        <v>45</v>
      </c>
      <c r="C212" t="s">
        <v>511</v>
      </c>
      <c r="D212" t="s">
        <v>514</v>
      </c>
      <c r="E212" t="s">
        <v>155</v>
      </c>
      <c r="F212" t="s">
        <v>54</v>
      </c>
      <c r="G212" s="9"/>
      <c r="H212" s="10"/>
      <c r="I212" s="9"/>
      <c r="J212" s="10"/>
      <c r="K212" s="9"/>
      <c r="L212" t="s">
        <v>56</v>
      </c>
      <c r="M212" t="str">
        <f>Config!$B$3&amp;"?room="&amp;A212</f>
        <v>https://wph-bujv.github.io/wph-rooms/?room=A-L08-F05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" customHeight="1" x14ac:dyDescent="0.25">
      <c r="A213" t="s">
        <v>515</v>
      </c>
      <c r="B213" t="s">
        <v>45</v>
      </c>
      <c r="C213" t="s">
        <v>511</v>
      </c>
      <c r="D213" t="s">
        <v>516</v>
      </c>
      <c r="E213" t="s">
        <v>66</v>
      </c>
      <c r="F213" t="s">
        <v>67</v>
      </c>
      <c r="G213" s="9"/>
      <c r="H213" s="10"/>
      <c r="I213" s="9"/>
      <c r="J213" s="10"/>
      <c r="K213" s="9"/>
      <c r="L213" t="s">
        <v>56</v>
      </c>
      <c r="M213" t="str">
        <f>Config!$B$3&amp;"?room="&amp;A213</f>
        <v>https://wph-bujv.github.io/wph-rooms/?room=A-L08-K01-01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" customHeight="1" x14ac:dyDescent="0.25">
      <c r="A214" t="s">
        <v>517</v>
      </c>
      <c r="B214" t="s">
        <v>45</v>
      </c>
      <c r="C214" t="s">
        <v>511</v>
      </c>
      <c r="D214" t="s">
        <v>518</v>
      </c>
      <c r="E214" t="s">
        <v>66</v>
      </c>
      <c r="F214" t="s">
        <v>67</v>
      </c>
      <c r="G214" s="9"/>
      <c r="H214" s="10"/>
      <c r="I214" s="9"/>
      <c r="J214" s="10"/>
      <c r="K214" s="9"/>
      <c r="L214" t="s">
        <v>56</v>
      </c>
      <c r="M214" t="str">
        <f>Config!$B$3&amp;"?room="&amp;A214</f>
        <v>https://wph-bujv.github.io/wph-rooms/?room=A-L08-K01-02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" customHeight="1" x14ac:dyDescent="0.25">
      <c r="A215" t="s">
        <v>519</v>
      </c>
      <c r="B215" t="s">
        <v>45</v>
      </c>
      <c r="C215" t="s">
        <v>511</v>
      </c>
      <c r="D215" t="s">
        <v>520</v>
      </c>
      <c r="E215" t="s">
        <v>66</v>
      </c>
      <c r="F215" t="s">
        <v>67</v>
      </c>
      <c r="G215" s="9"/>
      <c r="H215" s="10"/>
      <c r="I215" s="9"/>
      <c r="J215" s="10"/>
      <c r="K215" s="9"/>
      <c r="L215" t="s">
        <v>56</v>
      </c>
      <c r="M215" t="str">
        <f>Config!$B$3&amp;"?room="&amp;A215</f>
        <v>https://wph-bujv.github.io/wph-rooms/?room=A-L08-K01-03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" customHeight="1" x14ac:dyDescent="0.25">
      <c r="A216" t="s">
        <v>521</v>
      </c>
      <c r="B216" t="s">
        <v>45</v>
      </c>
      <c r="C216" t="s">
        <v>511</v>
      </c>
      <c r="D216" t="s">
        <v>522</v>
      </c>
      <c r="E216" t="s">
        <v>74</v>
      </c>
      <c r="F216" t="s">
        <v>67</v>
      </c>
      <c r="G216" s="9"/>
      <c r="H216" s="10"/>
      <c r="I216" s="9"/>
      <c r="J216" s="10"/>
      <c r="K216" s="9"/>
      <c r="L216" t="s">
        <v>56</v>
      </c>
      <c r="M216" t="str">
        <f>Config!$B$3&amp;"?room="&amp;A216</f>
        <v>https://wph-bujv.github.io/wph-rooms/?room=A-L08-K01B-01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" customHeight="1" x14ac:dyDescent="0.25">
      <c r="A217" t="s">
        <v>523</v>
      </c>
      <c r="B217" t="s">
        <v>45</v>
      </c>
      <c r="C217" t="s">
        <v>511</v>
      </c>
      <c r="D217" t="s">
        <v>524</v>
      </c>
      <c r="E217" t="s">
        <v>74</v>
      </c>
      <c r="F217" t="s">
        <v>67</v>
      </c>
      <c r="G217" s="9"/>
      <c r="H217" s="10"/>
      <c r="I217" s="9"/>
      <c r="J217" s="10"/>
      <c r="K217" s="9"/>
      <c r="L217" t="s">
        <v>56</v>
      </c>
      <c r="M217" t="str">
        <f>Config!$B$3&amp;"?room="&amp;A217</f>
        <v>https://wph-bujv.github.io/wph-rooms/?room=A-L08-K01B-02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" customHeight="1" x14ac:dyDescent="0.25">
      <c r="A218" t="s">
        <v>525</v>
      </c>
      <c r="B218" t="s">
        <v>45</v>
      </c>
      <c r="C218" t="s">
        <v>511</v>
      </c>
      <c r="D218" t="s">
        <v>526</v>
      </c>
      <c r="E218" t="s">
        <v>79</v>
      </c>
      <c r="F218" t="s">
        <v>67</v>
      </c>
      <c r="G218" s="9"/>
      <c r="H218" s="10"/>
      <c r="I218" s="9"/>
      <c r="J218" s="10"/>
      <c r="K218" s="9"/>
      <c r="L218" t="s">
        <v>56</v>
      </c>
      <c r="M218" t="str">
        <f>Config!$B$3&amp;"?room="&amp;A218</f>
        <v>https://wph-bujv.github.io/wph-rooms/?room=A-L08-K01C-01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" customHeight="1" x14ac:dyDescent="0.25">
      <c r="A219" t="s">
        <v>527</v>
      </c>
      <c r="B219" t="s">
        <v>45</v>
      </c>
      <c r="C219" t="s">
        <v>511</v>
      </c>
      <c r="D219" t="s">
        <v>528</v>
      </c>
      <c r="E219" t="s">
        <v>79</v>
      </c>
      <c r="F219" t="s">
        <v>67</v>
      </c>
      <c r="G219" s="9"/>
      <c r="H219" s="10"/>
      <c r="I219" s="9"/>
      <c r="J219" s="10"/>
      <c r="K219" s="9"/>
      <c r="L219" t="s">
        <v>56</v>
      </c>
      <c r="M219" t="str">
        <f>Config!$B$3&amp;"?room="&amp;A219</f>
        <v>https://wph-bujv.github.io/wph-rooms/?room=A-L08-K01C-02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" customHeight="1" x14ac:dyDescent="0.25">
      <c r="A220" t="s">
        <v>529</v>
      </c>
      <c r="B220" t="s">
        <v>45</v>
      </c>
      <c r="C220" t="s">
        <v>511</v>
      </c>
      <c r="D220" t="s">
        <v>530</v>
      </c>
      <c r="E220" t="s">
        <v>79</v>
      </c>
      <c r="F220" t="s">
        <v>67</v>
      </c>
      <c r="G220" s="9"/>
      <c r="H220" s="10"/>
      <c r="I220" s="9"/>
      <c r="J220" s="10"/>
      <c r="K220" s="9"/>
      <c r="L220" t="s">
        <v>56</v>
      </c>
      <c r="M220" t="str">
        <f>Config!$B$3&amp;"?room="&amp;A220</f>
        <v>https://wph-bujv.github.io/wph-rooms/?room=A-L08-K01C-03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" customHeight="1" x14ac:dyDescent="0.25">
      <c r="A221" t="s">
        <v>531</v>
      </c>
      <c r="B221" t="s">
        <v>45</v>
      </c>
      <c r="C221" t="s">
        <v>511</v>
      </c>
      <c r="D221" t="s">
        <v>532</v>
      </c>
      <c r="E221" t="s">
        <v>86</v>
      </c>
      <c r="F221" t="s">
        <v>67</v>
      </c>
      <c r="G221" s="9"/>
      <c r="H221" s="10"/>
      <c r="I221" s="9"/>
      <c r="J221" s="10"/>
      <c r="K221" s="9"/>
      <c r="L221" t="s">
        <v>56</v>
      </c>
      <c r="M221" t="str">
        <f>Config!$B$3&amp;"?room="&amp;A221</f>
        <v>https://wph-bujv.github.io/wph-rooms/?room=A-L08-K01D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" customHeight="1" x14ac:dyDescent="0.25">
      <c r="A222" t="s">
        <v>533</v>
      </c>
      <c r="B222" t="s">
        <v>45</v>
      </c>
      <c r="C222" t="s">
        <v>511</v>
      </c>
      <c r="D222" t="s">
        <v>534</v>
      </c>
      <c r="E222" t="s">
        <v>89</v>
      </c>
      <c r="F222" t="s">
        <v>67</v>
      </c>
      <c r="G222" s="9"/>
      <c r="H222" s="10"/>
      <c r="I222" s="9"/>
      <c r="J222" s="10"/>
      <c r="K222" s="9"/>
      <c r="L222" t="s">
        <v>56</v>
      </c>
      <c r="M222" t="str">
        <f>Config!$B$3&amp;"?room="&amp;A222</f>
        <v>https://wph-bujv.github.io/wph-rooms/?room=A-L08-K02-01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" customHeight="1" x14ac:dyDescent="0.25">
      <c r="A223" t="s">
        <v>535</v>
      </c>
      <c r="B223" t="s">
        <v>45</v>
      </c>
      <c r="C223" t="s">
        <v>511</v>
      </c>
      <c r="D223" t="s">
        <v>536</v>
      </c>
      <c r="E223" t="s">
        <v>89</v>
      </c>
      <c r="F223" t="s">
        <v>67</v>
      </c>
      <c r="G223" s="9"/>
      <c r="H223" s="10"/>
      <c r="I223" s="9"/>
      <c r="J223" s="10"/>
      <c r="K223" s="9"/>
      <c r="L223" t="s">
        <v>56</v>
      </c>
      <c r="M223" t="str">
        <f>Config!$B$3&amp;"?room="&amp;A223</f>
        <v>https://wph-bujv.github.io/wph-rooms/?room=A-L08-K02-02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" customHeight="1" x14ac:dyDescent="0.25">
      <c r="A224" t="s">
        <v>537</v>
      </c>
      <c r="B224" t="s">
        <v>45</v>
      </c>
      <c r="C224" t="s">
        <v>511</v>
      </c>
      <c r="D224" t="s">
        <v>538</v>
      </c>
      <c r="E224" t="s">
        <v>94</v>
      </c>
      <c r="F224" t="s">
        <v>67</v>
      </c>
      <c r="G224" s="9"/>
      <c r="H224" s="10"/>
      <c r="I224" s="9"/>
      <c r="J224" s="10"/>
      <c r="K224" s="9"/>
      <c r="L224" t="s">
        <v>56</v>
      </c>
      <c r="M224" t="str">
        <f>Config!$B$3&amp;"?room="&amp;A224</f>
        <v>https://wph-bujv.github.io/wph-rooms/?room=A-L08-K02B-01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" customHeight="1" x14ac:dyDescent="0.25">
      <c r="A225" t="s">
        <v>539</v>
      </c>
      <c r="B225" t="s">
        <v>45</v>
      </c>
      <c r="C225" t="s">
        <v>511</v>
      </c>
      <c r="D225" t="s">
        <v>540</v>
      </c>
      <c r="E225" t="s">
        <v>94</v>
      </c>
      <c r="F225" t="s">
        <v>67</v>
      </c>
      <c r="G225" s="9"/>
      <c r="H225" s="10"/>
      <c r="I225" s="9"/>
      <c r="J225" s="10"/>
      <c r="K225" s="9"/>
      <c r="L225" t="s">
        <v>56</v>
      </c>
      <c r="M225" t="str">
        <f>Config!$B$3&amp;"?room="&amp;A225</f>
        <v>https://wph-bujv.github.io/wph-rooms/?room=A-L08-K02B-02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" customHeight="1" x14ac:dyDescent="0.25">
      <c r="A226" t="s">
        <v>541</v>
      </c>
      <c r="B226" t="s">
        <v>45</v>
      </c>
      <c r="C226" t="s">
        <v>511</v>
      </c>
      <c r="D226" t="s">
        <v>542</v>
      </c>
      <c r="E226" t="s">
        <v>94</v>
      </c>
      <c r="F226" t="s">
        <v>67</v>
      </c>
      <c r="G226" s="9"/>
      <c r="H226" s="10"/>
      <c r="I226" s="9"/>
      <c r="J226" s="10"/>
      <c r="K226" s="9"/>
      <c r="L226" t="s">
        <v>56</v>
      </c>
      <c r="M226" t="str">
        <f>Config!$B$3&amp;"?room="&amp;A226</f>
        <v>https://wph-bujv.github.io/wph-rooms/?room=A-L08-K02B-03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" customHeight="1" x14ac:dyDescent="0.25">
      <c r="A227" t="s">
        <v>543</v>
      </c>
      <c r="B227" t="s">
        <v>45</v>
      </c>
      <c r="C227" t="s">
        <v>511</v>
      </c>
      <c r="D227" t="s">
        <v>544</v>
      </c>
      <c r="E227" t="s">
        <v>186</v>
      </c>
      <c r="F227" t="s">
        <v>67</v>
      </c>
      <c r="G227" s="9"/>
      <c r="H227" s="10"/>
      <c r="I227" s="9"/>
      <c r="J227" s="10"/>
      <c r="K227" s="9"/>
      <c r="L227" t="s">
        <v>56</v>
      </c>
      <c r="M227" t="str">
        <f>Config!$B$3&amp;"?room="&amp;A227</f>
        <v>https://wph-bujv.github.io/wph-rooms/?room=A-L08-K02C1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" customHeight="1" x14ac:dyDescent="0.25">
      <c r="A228" t="s">
        <v>545</v>
      </c>
      <c r="B228" t="s">
        <v>45</v>
      </c>
      <c r="C228" t="s">
        <v>511</v>
      </c>
      <c r="D228" t="s">
        <v>546</v>
      </c>
      <c r="E228" t="s">
        <v>101</v>
      </c>
      <c r="F228" t="s">
        <v>67</v>
      </c>
      <c r="G228" s="9"/>
      <c r="H228" s="10"/>
      <c r="I228" s="9"/>
      <c r="J228" s="10"/>
      <c r="K228" s="9"/>
      <c r="L228" t="s">
        <v>56</v>
      </c>
      <c r="M228" t="str">
        <f>Config!$B$3&amp;"?room="&amp;A228</f>
        <v>https://wph-bujv.github.io/wph-rooms/?room=A-L08-K02C2-01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" customHeight="1" x14ac:dyDescent="0.25">
      <c r="A229" t="s">
        <v>547</v>
      </c>
      <c r="B229" t="s">
        <v>45</v>
      </c>
      <c r="C229" t="s">
        <v>511</v>
      </c>
      <c r="D229" t="s">
        <v>548</v>
      </c>
      <c r="E229" t="s">
        <v>101</v>
      </c>
      <c r="F229" t="s">
        <v>67</v>
      </c>
      <c r="G229" s="9"/>
      <c r="H229" s="10"/>
      <c r="I229" s="9"/>
      <c r="J229" s="10"/>
      <c r="K229" s="9"/>
      <c r="L229" t="s">
        <v>56</v>
      </c>
      <c r="M229" t="str">
        <f>Config!$B$3&amp;"?room="&amp;A229</f>
        <v>https://wph-bujv.github.io/wph-rooms/?room=A-L08-K02C2-02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" customHeight="1" x14ac:dyDescent="0.25">
      <c r="A230" t="s">
        <v>549</v>
      </c>
      <c r="B230" t="s">
        <v>45</v>
      </c>
      <c r="C230" t="s">
        <v>511</v>
      </c>
      <c r="D230" t="s">
        <v>550</v>
      </c>
      <c r="E230" t="s">
        <v>106</v>
      </c>
      <c r="F230" t="s">
        <v>67</v>
      </c>
      <c r="G230" s="9"/>
      <c r="H230" s="10"/>
      <c r="I230" s="9"/>
      <c r="J230" s="10"/>
      <c r="K230" s="9"/>
      <c r="L230" t="s">
        <v>56</v>
      </c>
      <c r="M230" t="str">
        <f>Config!$B$3&amp;"?room="&amp;A230</f>
        <v>https://wph-bujv.github.io/wph-rooms/?room=A-L08-K02D1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" customHeight="1" x14ac:dyDescent="0.25">
      <c r="A231" t="s">
        <v>551</v>
      </c>
      <c r="B231" t="s">
        <v>45</v>
      </c>
      <c r="C231" t="s">
        <v>511</v>
      </c>
      <c r="D231" t="s">
        <v>552</v>
      </c>
      <c r="E231" t="s">
        <v>109</v>
      </c>
      <c r="F231" t="s">
        <v>110</v>
      </c>
      <c r="G231" s="9"/>
      <c r="H231" s="10"/>
      <c r="I231" s="9"/>
      <c r="J231" s="10"/>
      <c r="K231" s="9"/>
      <c r="L231" t="s">
        <v>56</v>
      </c>
      <c r="M231" t="str">
        <f>Config!$B$3&amp;"?room="&amp;A231</f>
        <v>https://wph-bujv.github.io/wph-rooms/?room=A-L08-Q01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" customHeight="1" x14ac:dyDescent="0.25">
      <c r="A232" t="s">
        <v>553</v>
      </c>
      <c r="B232" t="s">
        <v>45</v>
      </c>
      <c r="C232" t="s">
        <v>511</v>
      </c>
      <c r="D232" t="s">
        <v>554</v>
      </c>
      <c r="E232" t="s">
        <v>113</v>
      </c>
      <c r="F232" t="s">
        <v>110</v>
      </c>
      <c r="G232" s="9"/>
      <c r="H232" s="10"/>
      <c r="I232" s="9"/>
      <c r="J232" s="10"/>
      <c r="K232" s="9"/>
      <c r="L232" t="s">
        <v>56</v>
      </c>
      <c r="M232" t="str">
        <f>Config!$B$3&amp;"?room="&amp;A232</f>
        <v>https://wph-bujv.github.io/wph-rooms/?room=A-L08-Q01C-01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" customHeight="1" x14ac:dyDescent="0.25">
      <c r="A233" t="s">
        <v>555</v>
      </c>
      <c r="B233" t="s">
        <v>45</v>
      </c>
      <c r="C233" t="s">
        <v>511</v>
      </c>
      <c r="D233" t="s">
        <v>556</v>
      </c>
      <c r="E233" t="s">
        <v>113</v>
      </c>
      <c r="F233" t="s">
        <v>110</v>
      </c>
      <c r="G233" s="9"/>
      <c r="H233" s="10"/>
      <c r="I233" s="9"/>
      <c r="J233" s="10"/>
      <c r="K233" s="9"/>
      <c r="L233" t="s">
        <v>56</v>
      </c>
      <c r="M233" t="str">
        <f>Config!$B$3&amp;"?room="&amp;A233</f>
        <v>https://wph-bujv.github.io/wph-rooms/?room=A-L08-Q01C-02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" customHeight="1" x14ac:dyDescent="0.25">
      <c r="A234" t="s">
        <v>557</v>
      </c>
      <c r="B234" t="s">
        <v>45</v>
      </c>
      <c r="C234" t="s">
        <v>511</v>
      </c>
      <c r="D234" t="s">
        <v>558</v>
      </c>
      <c r="E234" t="s">
        <v>113</v>
      </c>
      <c r="F234" t="s">
        <v>110</v>
      </c>
      <c r="G234" s="9"/>
      <c r="H234" s="10"/>
      <c r="I234" s="9"/>
      <c r="J234" s="10"/>
      <c r="K234" s="9"/>
      <c r="L234" t="s">
        <v>56</v>
      </c>
      <c r="M234" t="str">
        <f>Config!$B$3&amp;"?room="&amp;A234</f>
        <v>https://wph-bujv.github.io/wph-rooms/?room=A-L08-Q01C-03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" customHeight="1" x14ac:dyDescent="0.25">
      <c r="A235" t="s">
        <v>559</v>
      </c>
      <c r="B235" t="s">
        <v>45</v>
      </c>
      <c r="C235" t="s">
        <v>511</v>
      </c>
      <c r="D235" t="s">
        <v>560</v>
      </c>
      <c r="E235" t="s">
        <v>113</v>
      </c>
      <c r="F235" t="s">
        <v>110</v>
      </c>
      <c r="G235" s="9"/>
      <c r="H235" s="10"/>
      <c r="I235" s="9"/>
      <c r="J235" s="10"/>
      <c r="K235" s="9"/>
      <c r="L235" t="s">
        <v>56</v>
      </c>
      <c r="M235" t="str">
        <f>Config!$B$3&amp;"?room="&amp;A235</f>
        <v>https://wph-bujv.github.io/wph-rooms/?room=A-L08-Q01C-04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" customHeight="1" x14ac:dyDescent="0.25">
      <c r="A236" t="s">
        <v>561</v>
      </c>
      <c r="B236" t="s">
        <v>45</v>
      </c>
      <c r="C236" t="s">
        <v>511</v>
      </c>
      <c r="D236" t="s">
        <v>562</v>
      </c>
      <c r="E236" t="s">
        <v>120</v>
      </c>
      <c r="F236" t="s">
        <v>110</v>
      </c>
      <c r="G236" s="9"/>
      <c r="H236" s="10"/>
      <c r="I236" s="9"/>
      <c r="J236" s="10"/>
      <c r="K236" s="9"/>
      <c r="L236" t="s">
        <v>56</v>
      </c>
      <c r="M236" t="str">
        <f>Config!$B$3&amp;"?room="&amp;A236</f>
        <v>https://wph-bujv.github.io/wph-rooms/?room=A-L08-Q01C1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" customHeight="1" x14ac:dyDescent="0.25">
      <c r="A237" t="s">
        <v>563</v>
      </c>
      <c r="B237" t="s">
        <v>45</v>
      </c>
      <c r="C237" t="s">
        <v>511</v>
      </c>
      <c r="D237" t="s">
        <v>564</v>
      </c>
      <c r="E237" t="s">
        <v>205</v>
      </c>
      <c r="F237" t="s">
        <v>110</v>
      </c>
      <c r="G237" s="9"/>
      <c r="H237" s="10"/>
      <c r="I237" s="9"/>
      <c r="J237" s="10"/>
      <c r="K237" s="9"/>
      <c r="L237" t="s">
        <v>56</v>
      </c>
      <c r="M237" t="str">
        <f>Config!$B$3&amp;"?room="&amp;A237</f>
        <v>https://wph-bujv.github.io/wph-rooms/?room=A-L08-Q02C1-01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" customHeight="1" x14ac:dyDescent="0.25">
      <c r="A238" t="s">
        <v>565</v>
      </c>
      <c r="B238" t="s">
        <v>45</v>
      </c>
      <c r="C238" t="s">
        <v>511</v>
      </c>
      <c r="D238" t="s">
        <v>566</v>
      </c>
      <c r="E238" t="s">
        <v>205</v>
      </c>
      <c r="F238" t="s">
        <v>110</v>
      </c>
      <c r="G238" s="9"/>
      <c r="H238" s="10"/>
      <c r="I238" s="9"/>
      <c r="J238" s="10"/>
      <c r="K238" s="9"/>
      <c r="L238" t="s">
        <v>56</v>
      </c>
      <c r="M238" t="str">
        <f>Config!$B$3&amp;"?room="&amp;A238</f>
        <v>https://wph-bujv.github.io/wph-rooms/?room=A-L08-Q02C1-02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" customHeight="1" x14ac:dyDescent="0.25">
      <c r="A239" t="s">
        <v>567</v>
      </c>
      <c r="B239" t="s">
        <v>45</v>
      </c>
      <c r="C239" t="s">
        <v>511</v>
      </c>
      <c r="D239" t="s">
        <v>568</v>
      </c>
      <c r="E239" t="s">
        <v>126</v>
      </c>
      <c r="F239" t="s">
        <v>110</v>
      </c>
      <c r="G239" s="9"/>
      <c r="H239" s="10"/>
      <c r="I239" s="9"/>
      <c r="J239" s="10"/>
      <c r="K239" s="9"/>
      <c r="L239" t="s">
        <v>56</v>
      </c>
      <c r="M239" t="str">
        <f>Config!$B$3&amp;"?room="&amp;A239</f>
        <v>https://wph-bujv.github.io/wph-rooms/?room=A-L08-Q02C2-01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" customHeight="1" x14ac:dyDescent="0.25">
      <c r="A240" t="s">
        <v>569</v>
      </c>
      <c r="B240" t="s">
        <v>45</v>
      </c>
      <c r="C240" t="s">
        <v>511</v>
      </c>
      <c r="D240" t="s">
        <v>570</v>
      </c>
      <c r="E240" t="s">
        <v>126</v>
      </c>
      <c r="F240" t="s">
        <v>110</v>
      </c>
      <c r="G240" s="9"/>
      <c r="H240" s="10"/>
      <c r="I240" s="9"/>
      <c r="J240" s="10"/>
      <c r="K240" s="9"/>
      <c r="L240" t="s">
        <v>56</v>
      </c>
      <c r="M240" t="str">
        <f>Config!$B$3&amp;"?room="&amp;A240</f>
        <v>https://wph-bujv.github.io/wph-rooms/?room=A-L08-Q02C2-02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" customHeight="1" x14ac:dyDescent="0.25">
      <c r="A241" t="s">
        <v>571</v>
      </c>
      <c r="B241" t="s">
        <v>45</v>
      </c>
      <c r="C241" t="s">
        <v>511</v>
      </c>
      <c r="D241" t="s">
        <v>572</v>
      </c>
      <c r="E241" t="s">
        <v>131</v>
      </c>
      <c r="F241" t="s">
        <v>110</v>
      </c>
      <c r="G241" s="9"/>
      <c r="H241" s="10"/>
      <c r="I241" s="9"/>
      <c r="J241" s="10"/>
      <c r="K241" s="9"/>
      <c r="L241" t="s">
        <v>56</v>
      </c>
      <c r="M241" t="str">
        <f>Config!$B$3&amp;"?room="&amp;A241</f>
        <v>https://wph-bujv.github.io/wph-rooms/?room=A-L08-Q02E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" customHeight="1" x14ac:dyDescent="0.25">
      <c r="A242" t="s">
        <v>573</v>
      </c>
      <c r="B242" t="s">
        <v>45</v>
      </c>
      <c r="C242" t="s">
        <v>511</v>
      </c>
      <c r="D242" t="s">
        <v>574</v>
      </c>
      <c r="E242" t="s">
        <v>141</v>
      </c>
      <c r="F242" t="s">
        <v>49</v>
      </c>
      <c r="G242" s="9"/>
      <c r="H242" s="10"/>
      <c r="I242" s="9"/>
      <c r="J242" s="10"/>
      <c r="K242" s="9"/>
      <c r="L242" t="s">
        <v>56</v>
      </c>
      <c r="M242" t="str">
        <f>Config!$B$3&amp;"?room="&amp;A242</f>
        <v>https://wph-bujv.github.io/wph-rooms/?room=A-L08-S05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" customHeight="1" x14ac:dyDescent="0.25">
      <c r="A243" t="s">
        <v>575</v>
      </c>
      <c r="B243" t="s">
        <v>45</v>
      </c>
      <c r="C243" t="s">
        <v>511</v>
      </c>
      <c r="D243" t="s">
        <v>576</v>
      </c>
      <c r="E243" t="s">
        <v>144</v>
      </c>
      <c r="F243" t="s">
        <v>49</v>
      </c>
      <c r="G243" s="9"/>
      <c r="H243" s="10"/>
      <c r="I243" s="9"/>
      <c r="J243" s="10"/>
      <c r="K243" s="9"/>
      <c r="L243" t="s">
        <v>56</v>
      </c>
      <c r="M243" t="str">
        <f>Config!$B$3&amp;"?room="&amp;A243</f>
        <v>https://wph-bujv.github.io/wph-rooms/?room=A-L08-S06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" customHeight="1" x14ac:dyDescent="0.25">
      <c r="A244" t="s">
        <v>577</v>
      </c>
      <c r="B244" t="s">
        <v>45</v>
      </c>
      <c r="C244" t="s">
        <v>511</v>
      </c>
      <c r="D244" t="s">
        <v>578</v>
      </c>
      <c r="E244" t="s">
        <v>505</v>
      </c>
      <c r="F244" t="s">
        <v>49</v>
      </c>
      <c r="G244" s="9"/>
      <c r="H244" s="10"/>
      <c r="I244" s="9"/>
      <c r="J244" s="10"/>
      <c r="K244" s="9"/>
      <c r="L244" t="s">
        <v>56</v>
      </c>
      <c r="M244" t="str">
        <f>Config!$B$3&amp;"?room="&amp;A244</f>
        <v>https://wph-bujv.github.io/wph-rooms/?room=A-L08-S08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" customHeight="1" x14ac:dyDescent="0.25">
      <c r="A245" t="s">
        <v>579</v>
      </c>
      <c r="B245" t="s">
        <v>45</v>
      </c>
      <c r="C245" t="s">
        <v>511</v>
      </c>
      <c r="D245" t="s">
        <v>580</v>
      </c>
      <c r="E245" t="s">
        <v>509</v>
      </c>
      <c r="F245" t="s">
        <v>49</v>
      </c>
      <c r="G245" s="9"/>
      <c r="H245" s="10"/>
      <c r="I245" s="9"/>
      <c r="J245" s="10"/>
      <c r="K245" s="9"/>
      <c r="L245" t="s">
        <v>56</v>
      </c>
      <c r="M245" t="str">
        <f>Config!$B$3&amp;"?room="&amp;A245</f>
        <v>https://wph-bujv.github.io/wph-rooms/?room=A-L08-S08A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" customHeight="1" x14ac:dyDescent="0.25">
      <c r="A246" t="s">
        <v>581</v>
      </c>
      <c r="B246" t="s">
        <v>45</v>
      </c>
      <c r="C246" t="s">
        <v>582</v>
      </c>
      <c r="D246" t="s">
        <v>583</v>
      </c>
      <c r="E246" t="s">
        <v>59</v>
      </c>
      <c r="F246" t="s">
        <v>54</v>
      </c>
      <c r="G246" s="9"/>
      <c r="H246" s="10"/>
      <c r="I246" s="9"/>
      <c r="J246" s="10"/>
      <c r="K246" s="9"/>
      <c r="L246" t="s">
        <v>56</v>
      </c>
      <c r="M246" t="str">
        <f>Config!$B$3&amp;"?room="&amp;A246</f>
        <v>https://wph-bujv.github.io/wph-rooms/?room=A-L09-F04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" customHeight="1" x14ac:dyDescent="0.25">
      <c r="A247" t="s">
        <v>584</v>
      </c>
      <c r="B247" t="s">
        <v>45</v>
      </c>
      <c r="C247" t="s">
        <v>582</v>
      </c>
      <c r="D247" t="s">
        <v>585</v>
      </c>
      <c r="E247" t="s">
        <v>155</v>
      </c>
      <c r="F247" t="s">
        <v>54</v>
      </c>
      <c r="G247" s="9"/>
      <c r="H247" s="10"/>
      <c r="I247" s="9"/>
      <c r="J247" s="10"/>
      <c r="K247" s="9"/>
      <c r="L247" t="s">
        <v>56</v>
      </c>
      <c r="M247" t="str">
        <f>Config!$B$3&amp;"?room="&amp;A247</f>
        <v>https://wph-bujv.github.io/wph-rooms/?room=A-L09-F05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" customHeight="1" x14ac:dyDescent="0.25">
      <c r="A248" t="s">
        <v>586</v>
      </c>
      <c r="B248" t="s">
        <v>45</v>
      </c>
      <c r="C248" t="s">
        <v>582</v>
      </c>
      <c r="D248" t="s">
        <v>587</v>
      </c>
      <c r="E248" t="s">
        <v>66</v>
      </c>
      <c r="F248" t="s">
        <v>67</v>
      </c>
      <c r="G248" s="9"/>
      <c r="H248" s="10"/>
      <c r="I248" s="9"/>
      <c r="J248" s="10"/>
      <c r="K248" s="9"/>
      <c r="L248" t="s">
        <v>56</v>
      </c>
      <c r="M248" t="str">
        <f>Config!$B$3&amp;"?room="&amp;A248</f>
        <v>https://wph-bujv.github.io/wph-rooms/?room=A-L09-K01-01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" customHeight="1" x14ac:dyDescent="0.25">
      <c r="A249" t="s">
        <v>588</v>
      </c>
      <c r="B249" t="s">
        <v>45</v>
      </c>
      <c r="C249" t="s">
        <v>582</v>
      </c>
      <c r="D249" t="s">
        <v>589</v>
      </c>
      <c r="E249" t="s">
        <v>66</v>
      </c>
      <c r="F249" t="s">
        <v>67</v>
      </c>
      <c r="G249" s="9"/>
      <c r="H249" s="10"/>
      <c r="I249" s="9"/>
      <c r="J249" s="10"/>
      <c r="K249" s="9"/>
      <c r="L249" t="s">
        <v>56</v>
      </c>
      <c r="M249" t="str">
        <f>Config!$B$3&amp;"?room="&amp;A249</f>
        <v>https://wph-bujv.github.io/wph-rooms/?room=A-L09-K01-02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" customHeight="1" x14ac:dyDescent="0.25">
      <c r="A250" t="s">
        <v>590</v>
      </c>
      <c r="B250" t="s">
        <v>45</v>
      </c>
      <c r="C250" t="s">
        <v>582</v>
      </c>
      <c r="D250" t="s">
        <v>591</v>
      </c>
      <c r="E250" t="s">
        <v>66</v>
      </c>
      <c r="F250" t="s">
        <v>67</v>
      </c>
      <c r="G250" s="9"/>
      <c r="H250" s="10"/>
      <c r="I250" s="9"/>
      <c r="J250" s="10"/>
      <c r="K250" s="9"/>
      <c r="L250" t="s">
        <v>56</v>
      </c>
      <c r="M250" t="str">
        <f>Config!$B$3&amp;"?room="&amp;A250</f>
        <v>https://wph-bujv.github.io/wph-rooms/?room=A-L09-K01-03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" customHeight="1" x14ac:dyDescent="0.25">
      <c r="A251" t="s">
        <v>592</v>
      </c>
      <c r="B251" t="s">
        <v>45</v>
      </c>
      <c r="C251" t="s">
        <v>582</v>
      </c>
      <c r="D251" t="s">
        <v>593</v>
      </c>
      <c r="E251" t="s">
        <v>74</v>
      </c>
      <c r="F251" t="s">
        <v>67</v>
      </c>
      <c r="G251" s="9"/>
      <c r="H251" s="10"/>
      <c r="I251" s="9"/>
      <c r="J251" s="10"/>
      <c r="K251" s="9"/>
      <c r="L251" t="s">
        <v>56</v>
      </c>
      <c r="M251" t="str">
        <f>Config!$B$3&amp;"?room="&amp;A251</f>
        <v>https://wph-bujv.github.io/wph-rooms/?room=A-L09-K01B-01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" customHeight="1" x14ac:dyDescent="0.25">
      <c r="A252" t="s">
        <v>594</v>
      </c>
      <c r="B252" t="s">
        <v>45</v>
      </c>
      <c r="C252" t="s">
        <v>582</v>
      </c>
      <c r="D252" t="s">
        <v>595</v>
      </c>
      <c r="E252" t="s">
        <v>74</v>
      </c>
      <c r="F252" t="s">
        <v>67</v>
      </c>
      <c r="G252" s="9"/>
      <c r="H252" s="10"/>
      <c r="I252" s="9"/>
      <c r="J252" s="10"/>
      <c r="K252" s="9"/>
      <c r="L252" t="s">
        <v>56</v>
      </c>
      <c r="M252" t="str">
        <f>Config!$B$3&amp;"?room="&amp;A252</f>
        <v>https://wph-bujv.github.io/wph-rooms/?room=A-L09-K01B-02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" customHeight="1" x14ac:dyDescent="0.25">
      <c r="A253" t="s">
        <v>596</v>
      </c>
      <c r="B253" t="s">
        <v>45</v>
      </c>
      <c r="C253" t="s">
        <v>582</v>
      </c>
      <c r="D253" t="s">
        <v>597</v>
      </c>
      <c r="E253" t="s">
        <v>79</v>
      </c>
      <c r="F253" t="s">
        <v>67</v>
      </c>
      <c r="G253" s="9"/>
      <c r="H253" s="10"/>
      <c r="I253" s="9"/>
      <c r="J253" s="10"/>
      <c r="K253" s="9"/>
      <c r="L253" t="s">
        <v>56</v>
      </c>
      <c r="M253" t="str">
        <f>Config!$B$3&amp;"?room="&amp;A253</f>
        <v>https://wph-bujv.github.io/wph-rooms/?room=A-L09-K01C-01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" customHeight="1" x14ac:dyDescent="0.25">
      <c r="A254" t="s">
        <v>598</v>
      </c>
      <c r="B254" t="s">
        <v>45</v>
      </c>
      <c r="C254" t="s">
        <v>582</v>
      </c>
      <c r="D254" t="s">
        <v>599</v>
      </c>
      <c r="E254" t="s">
        <v>79</v>
      </c>
      <c r="F254" t="s">
        <v>67</v>
      </c>
      <c r="G254" s="9"/>
      <c r="H254" s="10"/>
      <c r="I254" s="9"/>
      <c r="J254" s="10"/>
      <c r="K254" s="9"/>
      <c r="L254" t="s">
        <v>56</v>
      </c>
      <c r="M254" t="str">
        <f>Config!$B$3&amp;"?room="&amp;A254</f>
        <v>https://wph-bujv.github.io/wph-rooms/?room=A-L09-K01C-02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" customHeight="1" x14ac:dyDescent="0.25">
      <c r="A255" t="s">
        <v>600</v>
      </c>
      <c r="B255" t="s">
        <v>45</v>
      </c>
      <c r="C255" t="s">
        <v>582</v>
      </c>
      <c r="D255" t="s">
        <v>601</v>
      </c>
      <c r="E255" t="s">
        <v>79</v>
      </c>
      <c r="F255" t="s">
        <v>67</v>
      </c>
      <c r="G255" s="9"/>
      <c r="H255" s="10"/>
      <c r="I255" s="9"/>
      <c r="J255" s="10"/>
      <c r="K255" s="9"/>
      <c r="L255" t="s">
        <v>56</v>
      </c>
      <c r="M255" t="str">
        <f>Config!$B$3&amp;"?room="&amp;A255</f>
        <v>https://wph-bujv.github.io/wph-rooms/?room=A-L09-K01C-03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" customHeight="1" x14ac:dyDescent="0.25">
      <c r="A256" t="s">
        <v>602</v>
      </c>
      <c r="B256" t="s">
        <v>45</v>
      </c>
      <c r="C256" t="s">
        <v>582</v>
      </c>
      <c r="D256" t="s">
        <v>603</v>
      </c>
      <c r="E256" t="s">
        <v>86</v>
      </c>
      <c r="F256" t="s">
        <v>67</v>
      </c>
      <c r="G256" s="9"/>
      <c r="H256" s="10"/>
      <c r="I256" s="9"/>
      <c r="J256" s="10"/>
      <c r="K256" s="9"/>
      <c r="L256" t="s">
        <v>56</v>
      </c>
      <c r="M256" t="str">
        <f>Config!$B$3&amp;"?room="&amp;A256</f>
        <v>https://wph-bujv.github.io/wph-rooms/?room=A-L09-K01D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" customHeight="1" x14ac:dyDescent="0.25">
      <c r="A257" t="s">
        <v>604</v>
      </c>
      <c r="B257" t="s">
        <v>45</v>
      </c>
      <c r="C257" t="s">
        <v>582</v>
      </c>
      <c r="D257" t="s">
        <v>605</v>
      </c>
      <c r="E257" t="s">
        <v>89</v>
      </c>
      <c r="F257" t="s">
        <v>67</v>
      </c>
      <c r="G257" s="9"/>
      <c r="H257" s="10"/>
      <c r="I257" s="9"/>
      <c r="J257" s="10"/>
      <c r="K257" s="9"/>
      <c r="L257" t="s">
        <v>56</v>
      </c>
      <c r="M257" t="str">
        <f>Config!$B$3&amp;"?room="&amp;A257</f>
        <v>https://wph-bujv.github.io/wph-rooms/?room=A-L09-K02-01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" customHeight="1" x14ac:dyDescent="0.25">
      <c r="A258" t="s">
        <v>606</v>
      </c>
      <c r="B258" t="s">
        <v>45</v>
      </c>
      <c r="C258" t="s">
        <v>582</v>
      </c>
      <c r="D258" t="s">
        <v>607</v>
      </c>
      <c r="E258" t="s">
        <v>89</v>
      </c>
      <c r="F258" t="s">
        <v>67</v>
      </c>
      <c r="G258" s="9"/>
      <c r="H258" s="10"/>
      <c r="I258" s="9"/>
      <c r="J258" s="10"/>
      <c r="K258" s="9"/>
      <c r="L258" t="s">
        <v>56</v>
      </c>
      <c r="M258" t="str">
        <f>Config!$B$3&amp;"?room="&amp;A258</f>
        <v>https://wph-bujv.github.io/wph-rooms/?room=A-L09-K02-02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" customHeight="1" x14ac:dyDescent="0.25">
      <c r="A259" t="s">
        <v>608</v>
      </c>
      <c r="B259" t="s">
        <v>45</v>
      </c>
      <c r="C259" t="s">
        <v>582</v>
      </c>
      <c r="D259" t="s">
        <v>609</v>
      </c>
      <c r="E259" t="s">
        <v>94</v>
      </c>
      <c r="F259" t="s">
        <v>67</v>
      </c>
      <c r="G259" s="9"/>
      <c r="H259" s="10"/>
      <c r="I259" s="9"/>
      <c r="J259" s="10"/>
      <c r="K259" s="9"/>
      <c r="L259" t="s">
        <v>56</v>
      </c>
      <c r="M259" t="str">
        <f>Config!$B$3&amp;"?room="&amp;A259</f>
        <v>https://wph-bujv.github.io/wph-rooms/?room=A-L09-K02B-01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" customHeight="1" x14ac:dyDescent="0.25">
      <c r="A260" t="s">
        <v>610</v>
      </c>
      <c r="B260" t="s">
        <v>45</v>
      </c>
      <c r="C260" t="s">
        <v>582</v>
      </c>
      <c r="D260" t="s">
        <v>611</v>
      </c>
      <c r="E260" t="s">
        <v>94</v>
      </c>
      <c r="F260" t="s">
        <v>67</v>
      </c>
      <c r="G260" s="9"/>
      <c r="H260" s="10"/>
      <c r="I260" s="9"/>
      <c r="J260" s="10"/>
      <c r="K260" s="9"/>
      <c r="L260" t="s">
        <v>56</v>
      </c>
      <c r="M260" t="str">
        <f>Config!$B$3&amp;"?room="&amp;A260</f>
        <v>https://wph-bujv.github.io/wph-rooms/?room=A-L09-K02B-02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" customHeight="1" x14ac:dyDescent="0.25">
      <c r="A261" t="s">
        <v>612</v>
      </c>
      <c r="B261" t="s">
        <v>45</v>
      </c>
      <c r="C261" t="s">
        <v>582</v>
      </c>
      <c r="D261" t="s">
        <v>613</v>
      </c>
      <c r="E261" t="s">
        <v>94</v>
      </c>
      <c r="F261" t="s">
        <v>67</v>
      </c>
      <c r="G261" s="9"/>
      <c r="H261" s="10"/>
      <c r="I261" s="9"/>
      <c r="J261" s="10"/>
      <c r="K261" s="9"/>
      <c r="L261" t="s">
        <v>56</v>
      </c>
      <c r="M261" t="str">
        <f>Config!$B$3&amp;"?room="&amp;A261</f>
        <v>https://wph-bujv.github.io/wph-rooms/?room=A-L09-K02B-03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" customHeight="1" x14ac:dyDescent="0.25">
      <c r="A262" t="s">
        <v>614</v>
      </c>
      <c r="B262" t="s">
        <v>45</v>
      </c>
      <c r="C262" t="s">
        <v>582</v>
      </c>
      <c r="D262" t="s">
        <v>615</v>
      </c>
      <c r="E262" t="s">
        <v>186</v>
      </c>
      <c r="F262" t="s">
        <v>67</v>
      </c>
      <c r="G262" s="9"/>
      <c r="H262" s="10"/>
      <c r="I262" s="9"/>
      <c r="J262" s="10"/>
      <c r="K262" s="9"/>
      <c r="L262" t="s">
        <v>56</v>
      </c>
      <c r="M262" t="str">
        <f>Config!$B$3&amp;"?room="&amp;A262</f>
        <v>https://wph-bujv.github.io/wph-rooms/?room=A-L09-K02C1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" customHeight="1" x14ac:dyDescent="0.25">
      <c r="A263" t="s">
        <v>616</v>
      </c>
      <c r="B263" t="s">
        <v>45</v>
      </c>
      <c r="C263" t="s">
        <v>582</v>
      </c>
      <c r="D263" t="s">
        <v>617</v>
      </c>
      <c r="E263" t="s">
        <v>101</v>
      </c>
      <c r="F263" t="s">
        <v>67</v>
      </c>
      <c r="G263" s="9"/>
      <c r="H263" s="10"/>
      <c r="I263" s="9"/>
      <c r="J263" s="10"/>
      <c r="K263" s="9"/>
      <c r="L263" t="s">
        <v>56</v>
      </c>
      <c r="M263" t="str">
        <f>Config!$B$3&amp;"?room="&amp;A263</f>
        <v>https://wph-bujv.github.io/wph-rooms/?room=A-L09-K02C2-01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" customHeight="1" x14ac:dyDescent="0.25">
      <c r="A264" t="s">
        <v>618</v>
      </c>
      <c r="B264" t="s">
        <v>45</v>
      </c>
      <c r="C264" t="s">
        <v>582</v>
      </c>
      <c r="D264" t="s">
        <v>619</v>
      </c>
      <c r="E264" t="s">
        <v>101</v>
      </c>
      <c r="F264" t="s">
        <v>67</v>
      </c>
      <c r="G264" s="9"/>
      <c r="H264" s="10"/>
      <c r="I264" s="9"/>
      <c r="J264" s="10"/>
      <c r="K264" s="9"/>
      <c r="L264" t="s">
        <v>56</v>
      </c>
      <c r="M264" t="str">
        <f>Config!$B$3&amp;"?room="&amp;A264</f>
        <v>https://wph-bujv.github.io/wph-rooms/?room=A-L09-K02C2-02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" customHeight="1" x14ac:dyDescent="0.25">
      <c r="A265" t="s">
        <v>620</v>
      </c>
      <c r="B265" t="s">
        <v>45</v>
      </c>
      <c r="C265" t="s">
        <v>582</v>
      </c>
      <c r="D265" t="s">
        <v>621</v>
      </c>
      <c r="E265" t="s">
        <v>106</v>
      </c>
      <c r="F265" t="s">
        <v>67</v>
      </c>
      <c r="G265" s="9"/>
      <c r="H265" s="10"/>
      <c r="I265" s="9"/>
      <c r="J265" s="10"/>
      <c r="K265" s="9"/>
      <c r="L265" t="s">
        <v>56</v>
      </c>
      <c r="M265" t="str">
        <f>Config!$B$3&amp;"?room="&amp;A265</f>
        <v>https://wph-bujv.github.io/wph-rooms/?room=A-L09-K02D1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" customHeight="1" x14ac:dyDescent="0.25">
      <c r="A266" t="s">
        <v>622</v>
      </c>
      <c r="B266" t="s">
        <v>45</v>
      </c>
      <c r="C266" t="s">
        <v>582</v>
      </c>
      <c r="D266" t="s">
        <v>623</v>
      </c>
      <c r="E266" t="s">
        <v>109</v>
      </c>
      <c r="F266" t="s">
        <v>110</v>
      </c>
      <c r="G266" s="9"/>
      <c r="H266" s="10"/>
      <c r="I266" s="9"/>
      <c r="J266" s="10"/>
      <c r="K266" s="9"/>
      <c r="L266" t="s">
        <v>56</v>
      </c>
      <c r="M266" t="str">
        <f>Config!$B$3&amp;"?room="&amp;A266</f>
        <v>https://wph-bujv.github.io/wph-rooms/?room=A-L09-Q01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" customHeight="1" x14ac:dyDescent="0.25">
      <c r="A267" t="s">
        <v>624</v>
      </c>
      <c r="B267" t="s">
        <v>45</v>
      </c>
      <c r="C267" t="s">
        <v>582</v>
      </c>
      <c r="D267" t="s">
        <v>625</v>
      </c>
      <c r="E267" t="s">
        <v>113</v>
      </c>
      <c r="F267" t="s">
        <v>110</v>
      </c>
      <c r="G267" s="9"/>
      <c r="H267" s="10"/>
      <c r="I267" s="9"/>
      <c r="J267" s="10"/>
      <c r="K267" s="9"/>
      <c r="L267" t="s">
        <v>56</v>
      </c>
      <c r="M267" t="str">
        <f>Config!$B$3&amp;"?room="&amp;A267</f>
        <v>https://wph-bujv.github.io/wph-rooms/?room=A-L09-Q01C-01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" customHeight="1" x14ac:dyDescent="0.25">
      <c r="A268" t="s">
        <v>626</v>
      </c>
      <c r="B268" t="s">
        <v>45</v>
      </c>
      <c r="C268" t="s">
        <v>582</v>
      </c>
      <c r="D268" t="s">
        <v>627</v>
      </c>
      <c r="E268" t="s">
        <v>113</v>
      </c>
      <c r="F268" t="s">
        <v>110</v>
      </c>
      <c r="G268" s="9"/>
      <c r="H268" s="10"/>
      <c r="I268" s="9"/>
      <c r="J268" s="10"/>
      <c r="K268" s="9"/>
      <c r="L268" t="s">
        <v>56</v>
      </c>
      <c r="M268" t="str">
        <f>Config!$B$3&amp;"?room="&amp;A268</f>
        <v>https://wph-bujv.github.io/wph-rooms/?room=A-L09-Q01C-02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" customHeight="1" x14ac:dyDescent="0.25">
      <c r="A269" t="s">
        <v>628</v>
      </c>
      <c r="B269" t="s">
        <v>45</v>
      </c>
      <c r="C269" t="s">
        <v>582</v>
      </c>
      <c r="D269" t="s">
        <v>629</v>
      </c>
      <c r="E269" t="s">
        <v>113</v>
      </c>
      <c r="F269" t="s">
        <v>110</v>
      </c>
      <c r="G269" s="9"/>
      <c r="H269" s="10"/>
      <c r="I269" s="9"/>
      <c r="J269" s="10"/>
      <c r="K269" s="9"/>
      <c r="L269" t="s">
        <v>56</v>
      </c>
      <c r="M269" t="str">
        <f>Config!$B$3&amp;"?room="&amp;A269</f>
        <v>https://wph-bujv.github.io/wph-rooms/?room=A-L09-Q01C-03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" customHeight="1" x14ac:dyDescent="0.25">
      <c r="A270" t="s">
        <v>630</v>
      </c>
      <c r="B270" t="s">
        <v>45</v>
      </c>
      <c r="C270" t="s">
        <v>582</v>
      </c>
      <c r="D270" t="s">
        <v>631</v>
      </c>
      <c r="E270" t="s">
        <v>113</v>
      </c>
      <c r="F270" t="s">
        <v>110</v>
      </c>
      <c r="G270" s="9"/>
      <c r="H270" s="10"/>
      <c r="I270" s="9"/>
      <c r="J270" s="10"/>
      <c r="K270" s="9"/>
      <c r="L270" t="s">
        <v>56</v>
      </c>
      <c r="M270" t="str">
        <f>Config!$B$3&amp;"?room="&amp;A270</f>
        <v>https://wph-bujv.github.io/wph-rooms/?room=A-L09-Q01C-04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" customHeight="1" x14ac:dyDescent="0.25">
      <c r="A271" t="s">
        <v>632</v>
      </c>
      <c r="B271" t="s">
        <v>45</v>
      </c>
      <c r="C271" t="s">
        <v>582</v>
      </c>
      <c r="D271" t="s">
        <v>633</v>
      </c>
      <c r="E271" t="s">
        <v>120</v>
      </c>
      <c r="F271" t="s">
        <v>110</v>
      </c>
      <c r="G271" s="9"/>
      <c r="H271" s="10"/>
      <c r="I271" s="9"/>
      <c r="J271" s="10"/>
      <c r="K271" s="9"/>
      <c r="L271" t="s">
        <v>56</v>
      </c>
      <c r="M271" t="str">
        <f>Config!$B$3&amp;"?room="&amp;A271</f>
        <v>https://wph-bujv.github.io/wph-rooms/?room=A-L09-Q01C1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" customHeight="1" x14ac:dyDescent="0.25">
      <c r="A272" t="s">
        <v>634</v>
      </c>
      <c r="B272" t="s">
        <v>45</v>
      </c>
      <c r="C272" t="s">
        <v>582</v>
      </c>
      <c r="D272" t="s">
        <v>635</v>
      </c>
      <c r="E272" t="s">
        <v>205</v>
      </c>
      <c r="F272" t="s">
        <v>110</v>
      </c>
      <c r="G272" s="9"/>
      <c r="H272" s="10"/>
      <c r="I272" s="9"/>
      <c r="J272" s="10"/>
      <c r="K272" s="9"/>
      <c r="L272" t="s">
        <v>56</v>
      </c>
      <c r="M272" t="str">
        <f>Config!$B$3&amp;"?room="&amp;A272</f>
        <v>https://wph-bujv.github.io/wph-rooms/?room=A-L09-Q02C1-01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" customHeight="1" x14ac:dyDescent="0.25">
      <c r="A273" t="s">
        <v>636</v>
      </c>
      <c r="B273" t="s">
        <v>45</v>
      </c>
      <c r="C273" t="s">
        <v>582</v>
      </c>
      <c r="D273" t="s">
        <v>637</v>
      </c>
      <c r="E273" t="s">
        <v>205</v>
      </c>
      <c r="F273" t="s">
        <v>110</v>
      </c>
      <c r="G273" s="9"/>
      <c r="H273" s="10"/>
      <c r="I273" s="9"/>
      <c r="J273" s="10"/>
      <c r="K273" s="9"/>
      <c r="L273" t="s">
        <v>56</v>
      </c>
      <c r="M273" t="str">
        <f>Config!$B$3&amp;"?room="&amp;A273</f>
        <v>https://wph-bujv.github.io/wph-rooms/?room=A-L09-Q02C1-02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" customHeight="1" x14ac:dyDescent="0.25">
      <c r="A274" t="s">
        <v>638</v>
      </c>
      <c r="B274" t="s">
        <v>45</v>
      </c>
      <c r="C274" t="s">
        <v>582</v>
      </c>
      <c r="D274" t="s">
        <v>639</v>
      </c>
      <c r="E274" t="s">
        <v>126</v>
      </c>
      <c r="F274" t="s">
        <v>110</v>
      </c>
      <c r="G274" s="9"/>
      <c r="H274" s="10"/>
      <c r="I274" s="9"/>
      <c r="J274" s="10"/>
      <c r="K274" s="9"/>
      <c r="L274" t="s">
        <v>56</v>
      </c>
      <c r="M274" t="str">
        <f>Config!$B$3&amp;"?room="&amp;A274</f>
        <v>https://wph-bujv.github.io/wph-rooms/?room=A-L09-Q02C2-01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" customHeight="1" x14ac:dyDescent="0.25">
      <c r="A275" t="s">
        <v>640</v>
      </c>
      <c r="B275" t="s">
        <v>45</v>
      </c>
      <c r="C275" t="s">
        <v>582</v>
      </c>
      <c r="D275" t="s">
        <v>641</v>
      </c>
      <c r="E275" t="s">
        <v>126</v>
      </c>
      <c r="F275" t="s">
        <v>110</v>
      </c>
      <c r="G275" s="9"/>
      <c r="H275" s="10"/>
      <c r="I275" s="9"/>
      <c r="J275" s="10"/>
      <c r="K275" s="9"/>
      <c r="L275" t="s">
        <v>56</v>
      </c>
      <c r="M275" t="str">
        <f>Config!$B$3&amp;"?room="&amp;A275</f>
        <v>https://wph-bujv.github.io/wph-rooms/?room=A-L09-Q02C2-02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" customHeight="1" x14ac:dyDescent="0.25">
      <c r="A276" t="s">
        <v>642</v>
      </c>
      <c r="B276" t="s">
        <v>45</v>
      </c>
      <c r="C276" t="s">
        <v>582</v>
      </c>
      <c r="D276" t="s">
        <v>643</v>
      </c>
      <c r="E276" t="s">
        <v>131</v>
      </c>
      <c r="F276" t="s">
        <v>110</v>
      </c>
      <c r="G276" s="9"/>
      <c r="H276" s="10"/>
      <c r="I276" s="9"/>
      <c r="J276" s="10"/>
      <c r="K276" s="9"/>
      <c r="L276" t="s">
        <v>56</v>
      </c>
      <c r="M276" t="str">
        <f>Config!$B$3&amp;"?room="&amp;A276</f>
        <v>https://wph-bujv.github.io/wph-rooms/?room=A-L09-Q02E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" customHeight="1" x14ac:dyDescent="0.25">
      <c r="A277" t="s">
        <v>644</v>
      </c>
      <c r="B277" t="s">
        <v>45</v>
      </c>
      <c r="C277" t="s">
        <v>582</v>
      </c>
      <c r="D277" t="s">
        <v>645</v>
      </c>
      <c r="E277" t="s">
        <v>141</v>
      </c>
      <c r="F277" t="s">
        <v>49</v>
      </c>
      <c r="G277" s="9"/>
      <c r="H277" s="10"/>
      <c r="I277" s="9"/>
      <c r="J277" s="10"/>
      <c r="K277" s="9"/>
      <c r="L277" t="s">
        <v>56</v>
      </c>
      <c r="M277" t="str">
        <f>Config!$B$3&amp;"?room="&amp;A277</f>
        <v>https://wph-bujv.github.io/wph-rooms/?room=A-L09-S05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" customHeight="1" x14ac:dyDescent="0.25">
      <c r="A278" t="s">
        <v>646</v>
      </c>
      <c r="B278" t="s">
        <v>45</v>
      </c>
      <c r="C278" t="s">
        <v>582</v>
      </c>
      <c r="D278" t="s">
        <v>647</v>
      </c>
      <c r="E278" t="s">
        <v>144</v>
      </c>
      <c r="F278" t="s">
        <v>49</v>
      </c>
      <c r="G278" s="9"/>
      <c r="H278" s="10"/>
      <c r="I278" s="9"/>
      <c r="J278" s="10"/>
      <c r="K278" s="9"/>
      <c r="L278" t="s">
        <v>56</v>
      </c>
      <c r="M278" t="str">
        <f>Config!$B$3&amp;"?room="&amp;A278</f>
        <v>https://wph-bujv.github.io/wph-rooms/?room=A-L09-S06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" customHeight="1" x14ac:dyDescent="0.25">
      <c r="A279" t="s">
        <v>648</v>
      </c>
      <c r="B279" t="s">
        <v>45</v>
      </c>
      <c r="C279" t="s">
        <v>582</v>
      </c>
      <c r="D279" t="s">
        <v>649</v>
      </c>
      <c r="E279" t="s">
        <v>505</v>
      </c>
      <c r="F279" t="s">
        <v>49</v>
      </c>
      <c r="G279" s="9"/>
      <c r="H279" s="10"/>
      <c r="I279" s="9"/>
      <c r="J279" s="10"/>
      <c r="K279" s="9"/>
      <c r="L279" t="s">
        <v>56</v>
      </c>
      <c r="M279" t="str">
        <f>Config!$B$3&amp;"?room="&amp;A279</f>
        <v>https://wph-bujv.github.io/wph-rooms/?room=A-L09-S08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" customHeight="1" x14ac:dyDescent="0.25">
      <c r="A280" t="s">
        <v>650</v>
      </c>
      <c r="B280" t="s">
        <v>45</v>
      </c>
      <c r="C280" t="s">
        <v>582</v>
      </c>
      <c r="D280" t="s">
        <v>651</v>
      </c>
      <c r="E280" t="s">
        <v>509</v>
      </c>
      <c r="F280" t="s">
        <v>49</v>
      </c>
      <c r="G280" s="9"/>
      <c r="H280" s="10"/>
      <c r="I280" s="9"/>
      <c r="J280" s="10"/>
      <c r="K280" s="9"/>
      <c r="L280" t="s">
        <v>56</v>
      </c>
      <c r="M280" t="str">
        <f>Config!$B$3&amp;"?room="&amp;A280</f>
        <v>https://wph-bujv.github.io/wph-rooms/?room=A-L09-S08A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" customHeight="1" x14ac:dyDescent="0.25">
      <c r="A281" t="s">
        <v>652</v>
      </c>
      <c r="B281" t="s">
        <v>653</v>
      </c>
      <c r="C281" t="s">
        <v>654</v>
      </c>
      <c r="D281" t="s">
        <v>655</v>
      </c>
      <c r="E281" t="s">
        <v>656</v>
      </c>
      <c r="F281" t="s">
        <v>54</v>
      </c>
      <c r="G281" s="9"/>
      <c r="H281" s="10"/>
      <c r="I281" s="9"/>
      <c r="J281" s="10"/>
      <c r="K281" s="9"/>
      <c r="L281" t="s">
        <v>56</v>
      </c>
      <c r="M281" t="str">
        <f>Config!$B$3&amp;"?room="&amp;A281</f>
        <v>https://wph-bujv.github.io/wph-rooms/?room=B-L01-F01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" customHeight="1" x14ac:dyDescent="0.25">
      <c r="A282" t="s">
        <v>657</v>
      </c>
      <c r="B282" t="s">
        <v>653</v>
      </c>
      <c r="C282" t="s">
        <v>654</v>
      </c>
      <c r="D282" t="s">
        <v>658</v>
      </c>
      <c r="E282" t="s">
        <v>659</v>
      </c>
      <c r="F282" t="s">
        <v>54</v>
      </c>
      <c r="G282" s="9"/>
      <c r="H282" s="10"/>
      <c r="I282" s="9"/>
      <c r="J282" s="10"/>
      <c r="K282" s="9"/>
      <c r="L282" t="s">
        <v>56</v>
      </c>
      <c r="M282" t="str">
        <f>Config!$B$3&amp;"?room="&amp;A282</f>
        <v>https://wph-bujv.github.io/wph-rooms/?room=B-L01-F02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" customHeight="1" x14ac:dyDescent="0.25">
      <c r="A283" t="s">
        <v>660</v>
      </c>
      <c r="B283" t="s">
        <v>653</v>
      </c>
      <c r="C283" t="s">
        <v>654</v>
      </c>
      <c r="D283" t="s">
        <v>661</v>
      </c>
      <c r="E283" t="s">
        <v>662</v>
      </c>
      <c r="F283" t="s">
        <v>67</v>
      </c>
      <c r="G283" s="9"/>
      <c r="H283" s="10"/>
      <c r="I283" s="9"/>
      <c r="J283" s="10"/>
      <c r="K283" s="9"/>
      <c r="L283" t="s">
        <v>56</v>
      </c>
      <c r="M283" t="str">
        <f>Config!$B$3&amp;"?room="&amp;A283</f>
        <v>https://wph-bujv.github.io/wph-rooms/?room=B-L01-K01A-01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" customHeight="1" x14ac:dyDescent="0.25">
      <c r="A284" t="s">
        <v>663</v>
      </c>
      <c r="B284" t="s">
        <v>653</v>
      </c>
      <c r="C284" t="s">
        <v>654</v>
      </c>
      <c r="D284" t="s">
        <v>664</v>
      </c>
      <c r="E284" t="s">
        <v>662</v>
      </c>
      <c r="F284" t="s">
        <v>67</v>
      </c>
      <c r="G284" s="9"/>
      <c r="H284" s="10"/>
      <c r="I284" s="9"/>
      <c r="J284" s="10"/>
      <c r="K284" s="9"/>
      <c r="L284" t="s">
        <v>56</v>
      </c>
      <c r="M284" t="str">
        <f>Config!$B$3&amp;"?room="&amp;A284</f>
        <v>https://wph-bujv.github.io/wph-rooms/?room=B-L01-K01A-02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" customHeight="1" x14ac:dyDescent="0.25">
      <c r="A285" t="s">
        <v>665</v>
      </c>
      <c r="B285" t="s">
        <v>653</v>
      </c>
      <c r="C285" t="s">
        <v>654</v>
      </c>
      <c r="D285" t="s">
        <v>666</v>
      </c>
      <c r="E285" t="s">
        <v>667</v>
      </c>
      <c r="F285" t="s">
        <v>67</v>
      </c>
      <c r="G285" s="9"/>
      <c r="H285" s="10"/>
      <c r="I285" s="9"/>
      <c r="J285" s="10"/>
      <c r="K285" s="9"/>
      <c r="L285" t="s">
        <v>56</v>
      </c>
      <c r="M285" t="str">
        <f>Config!$B$3&amp;"?room="&amp;A285</f>
        <v>https://wph-bujv.github.io/wph-rooms/?room=B-L01-K01C1-01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" customHeight="1" x14ac:dyDescent="0.25">
      <c r="A286" t="s">
        <v>668</v>
      </c>
      <c r="B286" t="s">
        <v>653</v>
      </c>
      <c r="C286" t="s">
        <v>654</v>
      </c>
      <c r="D286" t="s">
        <v>669</v>
      </c>
      <c r="E286" t="s">
        <v>667</v>
      </c>
      <c r="F286" t="s">
        <v>67</v>
      </c>
      <c r="G286" s="9"/>
      <c r="H286" s="10"/>
      <c r="I286" s="9"/>
      <c r="J286" s="10"/>
      <c r="K286" s="9"/>
      <c r="L286" t="s">
        <v>56</v>
      </c>
      <c r="M286" t="str">
        <f>Config!$B$3&amp;"?room="&amp;A286</f>
        <v>https://wph-bujv.github.io/wph-rooms/?room=B-L01-K01C1-02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" customHeight="1" x14ac:dyDescent="0.25">
      <c r="A287" t="s">
        <v>670</v>
      </c>
      <c r="B287" t="s">
        <v>653</v>
      </c>
      <c r="C287" t="s">
        <v>654</v>
      </c>
      <c r="D287" t="s">
        <v>671</v>
      </c>
      <c r="E287" t="s">
        <v>667</v>
      </c>
      <c r="F287" t="s">
        <v>67</v>
      </c>
      <c r="G287" s="9"/>
      <c r="H287" s="10"/>
      <c r="I287" s="9"/>
      <c r="J287" s="10"/>
      <c r="K287" s="9"/>
      <c r="L287" t="s">
        <v>56</v>
      </c>
      <c r="M287" t="str">
        <f>Config!$B$3&amp;"?room="&amp;A287</f>
        <v>https://wph-bujv.github.io/wph-rooms/?room=B-L01-K01C1-03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" customHeight="1" x14ac:dyDescent="0.25">
      <c r="A288" t="s">
        <v>672</v>
      </c>
      <c r="B288" t="s">
        <v>653</v>
      </c>
      <c r="C288" t="s">
        <v>654</v>
      </c>
      <c r="D288" t="s">
        <v>673</v>
      </c>
      <c r="E288" t="s">
        <v>674</v>
      </c>
      <c r="F288" t="s">
        <v>67</v>
      </c>
      <c r="G288" s="9"/>
      <c r="H288" s="10"/>
      <c r="I288" s="9"/>
      <c r="J288" s="10"/>
      <c r="K288" s="9"/>
      <c r="L288" t="s">
        <v>56</v>
      </c>
      <c r="M288" t="str">
        <f>Config!$B$3&amp;"?room="&amp;A288</f>
        <v>https://wph-bujv.github.io/wph-rooms/?room=B-L01-K02A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" customHeight="1" x14ac:dyDescent="0.25">
      <c r="A289" t="s">
        <v>675</v>
      </c>
      <c r="B289" t="s">
        <v>653</v>
      </c>
      <c r="C289" t="s">
        <v>654</v>
      </c>
      <c r="D289" t="s">
        <v>676</v>
      </c>
      <c r="E289" t="s">
        <v>186</v>
      </c>
      <c r="F289" t="s">
        <v>67</v>
      </c>
      <c r="G289" s="9"/>
      <c r="H289" s="10"/>
      <c r="I289" s="9"/>
      <c r="J289" s="10"/>
      <c r="K289" s="9"/>
      <c r="L289" t="s">
        <v>56</v>
      </c>
      <c r="M289" t="str">
        <f>Config!$B$3&amp;"?room="&amp;A289</f>
        <v>https://wph-bujv.github.io/wph-rooms/?room=B-L01-K02C1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" customHeight="1" x14ac:dyDescent="0.25">
      <c r="A290" t="s">
        <v>677</v>
      </c>
      <c r="B290" t="s">
        <v>653</v>
      </c>
      <c r="C290" t="s">
        <v>654</v>
      </c>
      <c r="D290" t="s">
        <v>678</v>
      </c>
      <c r="E290" t="s">
        <v>679</v>
      </c>
      <c r="F290" t="s">
        <v>67</v>
      </c>
      <c r="G290" s="9"/>
      <c r="H290" s="10"/>
      <c r="I290" s="9"/>
      <c r="J290" s="10"/>
      <c r="K290" s="9"/>
      <c r="L290" t="s">
        <v>56</v>
      </c>
      <c r="M290" t="str">
        <f>Config!$B$3&amp;"?room="&amp;A290</f>
        <v>https://wph-bujv.github.io/wph-rooms/?room=B-L01-K03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" customHeight="1" x14ac:dyDescent="0.25">
      <c r="A291" t="s">
        <v>680</v>
      </c>
      <c r="B291" t="s">
        <v>653</v>
      </c>
      <c r="C291" t="s">
        <v>654</v>
      </c>
      <c r="D291" t="s">
        <v>681</v>
      </c>
      <c r="E291" t="s">
        <v>682</v>
      </c>
      <c r="F291" t="s">
        <v>683</v>
      </c>
      <c r="G291" s="9"/>
      <c r="H291" s="10"/>
      <c r="I291" s="9"/>
      <c r="J291" s="10"/>
      <c r="K291" s="9"/>
      <c r="L291" t="s">
        <v>56</v>
      </c>
      <c r="M291" t="str">
        <f>Config!$B$3&amp;"?room="&amp;A291</f>
        <v>https://wph-bujv.github.io/wph-rooms/?room=B-L01-KADA1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" customHeight="1" x14ac:dyDescent="0.25">
      <c r="A292" t="s">
        <v>684</v>
      </c>
      <c r="B292" t="s">
        <v>653</v>
      </c>
      <c r="C292" t="s">
        <v>654</v>
      </c>
      <c r="D292" t="s">
        <v>685</v>
      </c>
      <c r="E292" t="s">
        <v>686</v>
      </c>
      <c r="F292" t="s">
        <v>687</v>
      </c>
      <c r="G292" s="9"/>
      <c r="H292" s="10"/>
      <c r="I292" s="9"/>
      <c r="J292" s="10"/>
      <c r="K292" s="9"/>
      <c r="L292" t="s">
        <v>56</v>
      </c>
      <c r="M292" t="str">
        <f>Config!$B$3&amp;"?room="&amp;A292</f>
        <v>https://wph-bujv.github.io/wph-rooms/?room=B-L01-PS01-01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" customHeight="1" x14ac:dyDescent="0.25">
      <c r="A293" t="s">
        <v>688</v>
      </c>
      <c r="B293" t="s">
        <v>653</v>
      </c>
      <c r="C293" t="s">
        <v>654</v>
      </c>
      <c r="D293" t="s">
        <v>689</v>
      </c>
      <c r="E293" t="s">
        <v>686</v>
      </c>
      <c r="F293" t="s">
        <v>687</v>
      </c>
      <c r="G293" s="9"/>
      <c r="H293" s="10"/>
      <c r="I293" s="9"/>
      <c r="J293" s="10"/>
      <c r="K293" s="9"/>
      <c r="L293" t="s">
        <v>56</v>
      </c>
      <c r="M293" t="str">
        <f>Config!$B$3&amp;"?room="&amp;A293</f>
        <v>https://wph-bujv.github.io/wph-rooms/?room=B-L01-PS01-02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" customHeight="1" x14ac:dyDescent="0.25">
      <c r="A294" t="s">
        <v>690</v>
      </c>
      <c r="B294" t="s">
        <v>653</v>
      </c>
      <c r="C294" t="s">
        <v>654</v>
      </c>
      <c r="D294" t="s">
        <v>691</v>
      </c>
      <c r="E294" t="s">
        <v>113</v>
      </c>
      <c r="F294" t="s">
        <v>110</v>
      </c>
      <c r="G294" s="9"/>
      <c r="H294" s="10"/>
      <c r="I294" s="9"/>
      <c r="J294" s="10"/>
      <c r="K294" s="9"/>
      <c r="L294" t="s">
        <v>56</v>
      </c>
      <c r="M294" t="str">
        <f>Config!$B$3&amp;"?room="&amp;A294</f>
        <v>https://wph-bujv.github.io/wph-rooms/?room=B-L01-Q01C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" customHeight="1" x14ac:dyDescent="0.25">
      <c r="A295" t="s">
        <v>692</v>
      </c>
      <c r="B295" t="s">
        <v>653</v>
      </c>
      <c r="C295" t="s">
        <v>654</v>
      </c>
      <c r="D295" t="s">
        <v>693</v>
      </c>
      <c r="E295" t="s">
        <v>120</v>
      </c>
      <c r="F295" t="s">
        <v>110</v>
      </c>
      <c r="G295" s="9"/>
      <c r="H295" s="10"/>
      <c r="I295" s="9"/>
      <c r="J295" s="10"/>
      <c r="K295" s="9"/>
      <c r="L295" t="s">
        <v>56</v>
      </c>
      <c r="M295" t="str">
        <f>Config!$B$3&amp;"?room="&amp;A295</f>
        <v>https://wph-bujv.github.io/wph-rooms/?room=B-L01-Q01C1-01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" customHeight="1" x14ac:dyDescent="0.25">
      <c r="A296" t="s">
        <v>694</v>
      </c>
      <c r="B296" t="s">
        <v>653</v>
      </c>
      <c r="C296" t="s">
        <v>654</v>
      </c>
      <c r="D296" t="s">
        <v>695</v>
      </c>
      <c r="E296" t="s">
        <v>120</v>
      </c>
      <c r="F296" t="s">
        <v>110</v>
      </c>
      <c r="G296" s="9"/>
      <c r="H296" s="10"/>
      <c r="I296" s="9"/>
      <c r="J296" s="10"/>
      <c r="K296" s="9"/>
      <c r="L296" t="s">
        <v>56</v>
      </c>
      <c r="M296" t="str">
        <f>Config!$B$3&amp;"?room="&amp;A296</f>
        <v>https://wph-bujv.github.io/wph-rooms/?room=B-L01-Q01C1-02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" customHeight="1" x14ac:dyDescent="0.25">
      <c r="A297" t="s">
        <v>696</v>
      </c>
      <c r="B297" t="s">
        <v>653</v>
      </c>
      <c r="C297" t="s">
        <v>654</v>
      </c>
      <c r="D297" t="s">
        <v>697</v>
      </c>
      <c r="E297" t="s">
        <v>120</v>
      </c>
      <c r="F297" t="s">
        <v>110</v>
      </c>
      <c r="G297" s="9"/>
      <c r="H297" s="10"/>
      <c r="I297" s="9"/>
      <c r="J297" s="10"/>
      <c r="K297" s="9"/>
      <c r="L297" t="s">
        <v>56</v>
      </c>
      <c r="M297" t="str">
        <f>Config!$B$3&amp;"?room="&amp;A297</f>
        <v>https://wph-bujv.github.io/wph-rooms/?room=B-L01-Q01C1-03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" customHeight="1" x14ac:dyDescent="0.25">
      <c r="A298" t="s">
        <v>698</v>
      </c>
      <c r="B298" t="s">
        <v>653</v>
      </c>
      <c r="C298" t="s">
        <v>654</v>
      </c>
      <c r="D298" t="s">
        <v>699</v>
      </c>
      <c r="E298" t="s">
        <v>700</v>
      </c>
      <c r="F298" t="s">
        <v>110</v>
      </c>
      <c r="G298" s="9"/>
      <c r="H298" s="10"/>
      <c r="I298" s="9"/>
      <c r="J298" s="10"/>
      <c r="K298" s="9"/>
      <c r="L298" t="s">
        <v>56</v>
      </c>
      <c r="M298" t="str">
        <f>Config!$B$3&amp;"?room="&amp;A298</f>
        <v>https://wph-bujv.github.io/wph-rooms/?room=B-L01-Q02C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" customHeight="1" x14ac:dyDescent="0.25">
      <c r="A299" t="s">
        <v>701</v>
      </c>
      <c r="B299" t="s">
        <v>653</v>
      </c>
      <c r="C299" t="s">
        <v>654</v>
      </c>
      <c r="D299" t="s">
        <v>702</v>
      </c>
      <c r="E299" t="s">
        <v>205</v>
      </c>
      <c r="F299" t="s">
        <v>110</v>
      </c>
      <c r="G299" s="9"/>
      <c r="H299" s="10"/>
      <c r="I299" s="9"/>
      <c r="J299" s="10"/>
      <c r="K299" s="9"/>
      <c r="L299" t="s">
        <v>56</v>
      </c>
      <c r="M299" t="str">
        <f>Config!$B$3&amp;"?room="&amp;A299</f>
        <v>https://wph-bujv.github.io/wph-rooms/?room=B-L01-Q02C1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" customHeight="1" x14ac:dyDescent="0.25">
      <c r="A300" t="s">
        <v>703</v>
      </c>
      <c r="B300" t="s">
        <v>653</v>
      </c>
      <c r="C300" t="s">
        <v>654</v>
      </c>
      <c r="D300" t="s">
        <v>704</v>
      </c>
      <c r="E300" t="s">
        <v>705</v>
      </c>
      <c r="F300" t="s">
        <v>110</v>
      </c>
      <c r="G300" s="9"/>
      <c r="H300" s="10"/>
      <c r="I300" s="9"/>
      <c r="J300" s="10"/>
      <c r="K300" s="9"/>
      <c r="L300" t="s">
        <v>56</v>
      </c>
      <c r="M300" t="str">
        <f>Config!$B$3&amp;"?room="&amp;A300</f>
        <v>https://wph-bujv.github.io/wph-rooms/?room=B-L01-Q02D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" customHeight="1" x14ac:dyDescent="0.25">
      <c r="A301" t="s">
        <v>706</v>
      </c>
      <c r="B301" t="s">
        <v>653</v>
      </c>
      <c r="C301" t="s">
        <v>654</v>
      </c>
      <c r="D301" t="s">
        <v>707</v>
      </c>
      <c r="E301" t="s">
        <v>708</v>
      </c>
      <c r="F301" t="s">
        <v>110</v>
      </c>
      <c r="G301" s="9"/>
      <c r="H301" s="10"/>
      <c r="I301" s="9"/>
      <c r="J301" s="10"/>
      <c r="K301" s="9"/>
      <c r="L301" t="s">
        <v>56</v>
      </c>
      <c r="M301" t="str">
        <f>Config!$B$3&amp;"?room="&amp;A301</f>
        <v>https://wph-bujv.github.io/wph-rooms/?room=B-L01-Q04*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" customHeight="1" x14ac:dyDescent="0.25">
      <c r="A302" t="s">
        <v>709</v>
      </c>
      <c r="B302" t="s">
        <v>653</v>
      </c>
      <c r="C302" t="s">
        <v>654</v>
      </c>
      <c r="D302" t="s">
        <v>710</v>
      </c>
      <c r="E302" t="s">
        <v>711</v>
      </c>
      <c r="F302" t="s">
        <v>110</v>
      </c>
      <c r="G302" s="9"/>
      <c r="H302" s="10"/>
      <c r="I302" s="9"/>
      <c r="J302" s="10"/>
      <c r="K302" s="9"/>
      <c r="L302" t="s">
        <v>56</v>
      </c>
      <c r="M302" t="str">
        <f>Config!$B$3&amp;"?room="&amp;A302</f>
        <v>https://wph-bujv.github.io/wph-rooms/?room=B-L01-Q06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" customHeight="1" x14ac:dyDescent="0.25">
      <c r="A303" t="s">
        <v>712</v>
      </c>
      <c r="B303" t="s">
        <v>653</v>
      </c>
      <c r="C303" t="s">
        <v>654</v>
      </c>
      <c r="D303" t="s">
        <v>713</v>
      </c>
      <c r="E303" t="s">
        <v>714</v>
      </c>
      <c r="F303" t="s">
        <v>110</v>
      </c>
      <c r="G303" s="9"/>
      <c r="H303" s="10"/>
      <c r="I303" s="9"/>
      <c r="J303" s="10"/>
      <c r="K303" s="9"/>
      <c r="L303" t="s">
        <v>56</v>
      </c>
      <c r="M303" t="str">
        <f>Config!$B$3&amp;"?room="&amp;A303</f>
        <v>https://wph-bujv.github.io/wph-rooms/?room=B-L01-Q07*-01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" customHeight="1" x14ac:dyDescent="0.25">
      <c r="A304" t="s">
        <v>715</v>
      </c>
      <c r="B304" t="s">
        <v>653</v>
      </c>
      <c r="C304" t="s">
        <v>654</v>
      </c>
      <c r="D304" t="s">
        <v>716</v>
      </c>
      <c r="E304" t="s">
        <v>714</v>
      </c>
      <c r="F304" t="s">
        <v>110</v>
      </c>
      <c r="G304" s="9"/>
      <c r="H304" s="10"/>
      <c r="I304" s="9"/>
      <c r="J304" s="10"/>
      <c r="K304" s="9"/>
      <c r="L304" t="s">
        <v>56</v>
      </c>
      <c r="M304" t="str">
        <f>Config!$B$3&amp;"?room="&amp;A304</f>
        <v>https://wph-bujv.github.io/wph-rooms/?room=B-L01-Q07*-02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" customHeight="1" x14ac:dyDescent="0.25">
      <c r="A305" t="s">
        <v>717</v>
      </c>
      <c r="B305" t="s">
        <v>653</v>
      </c>
      <c r="C305" t="s">
        <v>654</v>
      </c>
      <c r="D305" t="s">
        <v>718</v>
      </c>
      <c r="E305" t="s">
        <v>719</v>
      </c>
      <c r="F305" t="s">
        <v>49</v>
      </c>
      <c r="G305" s="9"/>
      <c r="H305" s="10"/>
      <c r="I305" s="9"/>
      <c r="J305" s="10"/>
      <c r="K305" s="9"/>
      <c r="L305" t="s">
        <v>56</v>
      </c>
      <c r="M305" t="str">
        <f>Config!$B$3&amp;"?room="&amp;A305</f>
        <v>https://wph-bujv.github.io/wph-rooms/?room=B-L01-S01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" customHeight="1" x14ac:dyDescent="0.25">
      <c r="A306" t="s">
        <v>720</v>
      </c>
      <c r="B306" t="s">
        <v>653</v>
      </c>
      <c r="C306" t="s">
        <v>654</v>
      </c>
      <c r="D306" t="s">
        <v>721</v>
      </c>
      <c r="E306" t="s">
        <v>722</v>
      </c>
      <c r="F306" t="s">
        <v>49</v>
      </c>
      <c r="G306" s="9"/>
      <c r="H306" s="10"/>
      <c r="I306" s="9"/>
      <c r="J306" s="10"/>
      <c r="K306" s="9"/>
      <c r="L306" t="s">
        <v>56</v>
      </c>
      <c r="M306" t="str">
        <f>Config!$B$3&amp;"?room="&amp;A306</f>
        <v>https://wph-bujv.github.io/wph-rooms/?room=B-L01-S02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" customHeight="1" x14ac:dyDescent="0.25">
      <c r="A307" t="s">
        <v>723</v>
      </c>
      <c r="B307" t="s">
        <v>653</v>
      </c>
      <c r="C307" t="s">
        <v>654</v>
      </c>
      <c r="D307" t="s">
        <v>724</v>
      </c>
      <c r="E307" t="s">
        <v>725</v>
      </c>
      <c r="F307" t="s">
        <v>49</v>
      </c>
      <c r="G307" s="9"/>
      <c r="H307" s="10"/>
      <c r="I307" s="9"/>
      <c r="J307" s="10"/>
      <c r="K307" s="9"/>
      <c r="L307" t="s">
        <v>56</v>
      </c>
      <c r="M307" t="str">
        <f>Config!$B$3&amp;"?room="&amp;A307</f>
        <v>https://wph-bujv.github.io/wph-rooms/?room=B-L01-S03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" customHeight="1" x14ac:dyDescent="0.25">
      <c r="A308" t="s">
        <v>726</v>
      </c>
      <c r="B308" t="s">
        <v>653</v>
      </c>
      <c r="C308" t="s">
        <v>654</v>
      </c>
      <c r="D308" t="s">
        <v>727</v>
      </c>
      <c r="E308" t="s">
        <v>728</v>
      </c>
      <c r="F308" t="s">
        <v>49</v>
      </c>
      <c r="G308" s="9"/>
      <c r="H308" s="10"/>
      <c r="I308" s="9"/>
      <c r="J308" s="10"/>
      <c r="K308" s="9"/>
      <c r="L308" t="s">
        <v>56</v>
      </c>
      <c r="M308" t="str">
        <f>Config!$B$3&amp;"?room="&amp;A308</f>
        <v>https://wph-bujv.github.io/wph-rooms/?room=B-L01-S04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" customHeight="1" x14ac:dyDescent="0.25">
      <c r="A309" t="s">
        <v>729</v>
      </c>
      <c r="B309" t="s">
        <v>653</v>
      </c>
      <c r="C309" t="s">
        <v>46</v>
      </c>
      <c r="D309" t="s">
        <v>730</v>
      </c>
      <c r="E309" t="s">
        <v>659</v>
      </c>
      <c r="F309" t="s">
        <v>54</v>
      </c>
      <c r="G309" s="9"/>
      <c r="H309" s="10"/>
      <c r="I309" s="9"/>
      <c r="J309" s="10"/>
      <c r="K309" s="9"/>
      <c r="L309" t="s">
        <v>56</v>
      </c>
      <c r="M309" t="str">
        <f>Config!$B$3&amp;"?room="&amp;A309</f>
        <v>https://wph-bujv.github.io/wph-rooms/?room=B-L02-F02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" customHeight="1" x14ac:dyDescent="0.25">
      <c r="A310" t="s">
        <v>731</v>
      </c>
      <c r="B310" t="s">
        <v>653</v>
      </c>
      <c r="C310" t="s">
        <v>46</v>
      </c>
      <c r="D310" t="s">
        <v>732</v>
      </c>
      <c r="E310" t="s">
        <v>733</v>
      </c>
      <c r="F310" t="s">
        <v>54</v>
      </c>
      <c r="G310" s="9"/>
      <c r="H310" s="10"/>
      <c r="I310" s="9"/>
      <c r="J310" s="10"/>
      <c r="K310" s="9"/>
      <c r="L310" t="s">
        <v>56</v>
      </c>
      <c r="M310" t="str">
        <f>Config!$B$3&amp;"?room="&amp;A310</f>
        <v>https://wph-bujv.github.io/wph-rooms/?room=B-L02-F06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" customHeight="1" x14ac:dyDescent="0.25">
      <c r="A311" t="s">
        <v>734</v>
      </c>
      <c r="B311" t="s">
        <v>653</v>
      </c>
      <c r="C311" t="s">
        <v>46</v>
      </c>
      <c r="D311" t="s">
        <v>735</v>
      </c>
      <c r="E311" t="s">
        <v>66</v>
      </c>
      <c r="F311" t="s">
        <v>67</v>
      </c>
      <c r="G311" s="9"/>
      <c r="H311" s="10"/>
      <c r="I311" s="9"/>
      <c r="J311" s="10"/>
      <c r="K311" s="9"/>
      <c r="L311" t="s">
        <v>56</v>
      </c>
      <c r="M311" t="str">
        <f>Config!$B$3&amp;"?room="&amp;A311</f>
        <v>https://wph-bujv.github.io/wph-rooms/?room=B-L02-K01-01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" customHeight="1" x14ac:dyDescent="0.25">
      <c r="A312" t="s">
        <v>736</v>
      </c>
      <c r="B312" t="s">
        <v>653</v>
      </c>
      <c r="C312" t="s">
        <v>46</v>
      </c>
      <c r="D312" t="s">
        <v>737</v>
      </c>
      <c r="E312" t="s">
        <v>66</v>
      </c>
      <c r="F312" t="s">
        <v>67</v>
      </c>
      <c r="G312" s="9"/>
      <c r="H312" s="10"/>
      <c r="I312" s="9"/>
      <c r="J312" s="10"/>
      <c r="K312" s="9"/>
      <c r="L312" t="s">
        <v>56</v>
      </c>
      <c r="M312" t="str">
        <f>Config!$B$3&amp;"?room="&amp;A312</f>
        <v>https://wph-bujv.github.io/wph-rooms/?room=B-L02-K01-02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" customHeight="1" x14ac:dyDescent="0.25">
      <c r="A313" t="s">
        <v>738</v>
      </c>
      <c r="B313" t="s">
        <v>653</v>
      </c>
      <c r="C313" t="s">
        <v>46</v>
      </c>
      <c r="D313" t="s">
        <v>739</v>
      </c>
      <c r="E313" t="s">
        <v>662</v>
      </c>
      <c r="F313" t="s">
        <v>67</v>
      </c>
      <c r="G313" s="9"/>
      <c r="H313" s="10"/>
      <c r="I313" s="9"/>
      <c r="J313" s="10"/>
      <c r="K313" s="9"/>
      <c r="L313" t="s">
        <v>56</v>
      </c>
      <c r="M313" t="str">
        <f>Config!$B$3&amp;"?room="&amp;A313</f>
        <v>https://wph-bujv.github.io/wph-rooms/?room=B-L02-K01A-01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" customHeight="1" x14ac:dyDescent="0.25">
      <c r="A314" t="s">
        <v>740</v>
      </c>
      <c r="B314" t="s">
        <v>653</v>
      </c>
      <c r="C314" t="s">
        <v>46</v>
      </c>
      <c r="D314" t="s">
        <v>741</v>
      </c>
      <c r="E314" t="s">
        <v>662</v>
      </c>
      <c r="F314" t="s">
        <v>67</v>
      </c>
      <c r="G314" s="9"/>
      <c r="H314" s="10"/>
      <c r="I314" s="9"/>
      <c r="J314" s="10"/>
      <c r="K314" s="9"/>
      <c r="L314" t="s">
        <v>56</v>
      </c>
      <c r="M314" t="str">
        <f>Config!$B$3&amp;"?room="&amp;A314</f>
        <v>https://wph-bujv.github.io/wph-rooms/?room=B-L02-K01A-02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" customHeight="1" x14ac:dyDescent="0.25">
      <c r="A315" t="s">
        <v>742</v>
      </c>
      <c r="B315" t="s">
        <v>653</v>
      </c>
      <c r="C315" t="s">
        <v>46</v>
      </c>
      <c r="D315" t="s">
        <v>743</v>
      </c>
      <c r="E315" t="s">
        <v>662</v>
      </c>
      <c r="F315" t="s">
        <v>67</v>
      </c>
      <c r="G315" s="9"/>
      <c r="H315" s="10"/>
      <c r="I315" s="9"/>
      <c r="J315" s="10"/>
      <c r="K315" s="9"/>
      <c r="L315" t="s">
        <v>56</v>
      </c>
      <c r="M315" t="str">
        <f>Config!$B$3&amp;"?room="&amp;A315</f>
        <v>https://wph-bujv.github.io/wph-rooms/?room=B-L02-K01A-03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" customHeight="1" x14ac:dyDescent="0.25">
      <c r="A316" t="s">
        <v>744</v>
      </c>
      <c r="B316" t="s">
        <v>653</v>
      </c>
      <c r="C316" t="s">
        <v>46</v>
      </c>
      <c r="D316" t="s">
        <v>745</v>
      </c>
      <c r="E316" t="s">
        <v>79</v>
      </c>
      <c r="F316" t="s">
        <v>67</v>
      </c>
      <c r="G316" s="9"/>
      <c r="H316" s="10"/>
      <c r="I316" s="9"/>
      <c r="J316" s="10"/>
      <c r="K316" s="9"/>
      <c r="L316" t="s">
        <v>56</v>
      </c>
      <c r="M316" t="str">
        <f>Config!$B$3&amp;"?room="&amp;A316</f>
        <v>https://wph-bujv.github.io/wph-rooms/?room=B-L02-K01C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" customHeight="1" x14ac:dyDescent="0.25">
      <c r="A317" t="s">
        <v>746</v>
      </c>
      <c r="B317" t="s">
        <v>653</v>
      </c>
      <c r="C317" t="s">
        <v>46</v>
      </c>
      <c r="D317" t="s">
        <v>747</v>
      </c>
      <c r="E317" t="s">
        <v>667</v>
      </c>
      <c r="F317" t="s">
        <v>67</v>
      </c>
      <c r="G317" s="9"/>
      <c r="H317" s="10"/>
      <c r="I317" s="9"/>
      <c r="J317" s="10"/>
      <c r="K317" s="9"/>
      <c r="L317" t="s">
        <v>56</v>
      </c>
      <c r="M317" t="str">
        <f>Config!$B$3&amp;"?room="&amp;A317</f>
        <v>https://wph-bujv.github.io/wph-rooms/?room=B-L02-K01C1-01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" customHeight="1" x14ac:dyDescent="0.25">
      <c r="A318" t="s">
        <v>748</v>
      </c>
      <c r="B318" t="s">
        <v>653</v>
      </c>
      <c r="C318" t="s">
        <v>46</v>
      </c>
      <c r="D318" t="s">
        <v>749</v>
      </c>
      <c r="E318" t="s">
        <v>667</v>
      </c>
      <c r="F318" t="s">
        <v>67</v>
      </c>
      <c r="G318" s="9"/>
      <c r="H318" s="10"/>
      <c r="I318" s="9"/>
      <c r="J318" s="10"/>
      <c r="K318" s="9"/>
      <c r="L318" t="s">
        <v>56</v>
      </c>
      <c r="M318" t="str">
        <f>Config!$B$3&amp;"?room="&amp;A318</f>
        <v>https://wph-bujv.github.io/wph-rooms/?room=B-L02-K01C1-02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" customHeight="1" x14ac:dyDescent="0.25">
      <c r="A319" t="s">
        <v>750</v>
      </c>
      <c r="B319" t="s">
        <v>653</v>
      </c>
      <c r="C319" t="s">
        <v>46</v>
      </c>
      <c r="D319" t="s">
        <v>751</v>
      </c>
      <c r="E319" t="s">
        <v>86</v>
      </c>
      <c r="F319" t="s">
        <v>67</v>
      </c>
      <c r="G319" s="9"/>
      <c r="H319" s="10"/>
      <c r="I319" s="9"/>
      <c r="J319" s="10"/>
      <c r="K319" s="9"/>
      <c r="L319" t="s">
        <v>56</v>
      </c>
      <c r="M319" t="str">
        <f>Config!$B$3&amp;"?room="&amp;A319</f>
        <v>https://wph-bujv.github.io/wph-rooms/?room=B-L02-K01D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" customHeight="1" x14ac:dyDescent="0.25">
      <c r="A320" t="s">
        <v>752</v>
      </c>
      <c r="B320" t="s">
        <v>653</v>
      </c>
      <c r="C320" t="s">
        <v>46</v>
      </c>
      <c r="D320" t="s">
        <v>753</v>
      </c>
      <c r="E320" t="s">
        <v>89</v>
      </c>
      <c r="F320" t="s">
        <v>67</v>
      </c>
      <c r="G320" s="9"/>
      <c r="H320" s="10"/>
      <c r="I320" s="9"/>
      <c r="J320" s="10"/>
      <c r="K320" s="9"/>
      <c r="L320" t="s">
        <v>56</v>
      </c>
      <c r="M320" t="str">
        <f>Config!$B$3&amp;"?room="&amp;A320</f>
        <v>https://wph-bujv.github.io/wph-rooms/?room=B-L02-K02-01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" customHeight="1" x14ac:dyDescent="0.25">
      <c r="A321" t="s">
        <v>754</v>
      </c>
      <c r="B321" t="s">
        <v>653</v>
      </c>
      <c r="C321" t="s">
        <v>46</v>
      </c>
      <c r="D321" t="s">
        <v>755</v>
      </c>
      <c r="E321" t="s">
        <v>89</v>
      </c>
      <c r="F321" t="s">
        <v>67</v>
      </c>
      <c r="G321" s="9"/>
      <c r="H321" s="10"/>
      <c r="I321" s="9"/>
      <c r="J321" s="10"/>
      <c r="K321" s="9"/>
      <c r="L321" t="s">
        <v>56</v>
      </c>
      <c r="M321" t="str">
        <f>Config!$B$3&amp;"?room="&amp;A321</f>
        <v>https://wph-bujv.github.io/wph-rooms/?room=B-L02-K02-02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" customHeight="1" x14ac:dyDescent="0.25">
      <c r="A322" t="s">
        <v>756</v>
      </c>
      <c r="B322" t="s">
        <v>653</v>
      </c>
      <c r="C322" t="s">
        <v>46</v>
      </c>
      <c r="D322" t="s">
        <v>757</v>
      </c>
      <c r="E322" t="s">
        <v>89</v>
      </c>
      <c r="F322" t="s">
        <v>67</v>
      </c>
      <c r="G322" s="9"/>
      <c r="H322" s="10"/>
      <c r="I322" s="9"/>
      <c r="J322" s="10"/>
      <c r="K322" s="9"/>
      <c r="L322" t="s">
        <v>56</v>
      </c>
      <c r="M322" t="str">
        <f>Config!$B$3&amp;"?room="&amp;A322</f>
        <v>https://wph-bujv.github.io/wph-rooms/?room=B-L02-K02-03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" customHeight="1" x14ac:dyDescent="0.25">
      <c r="A323" t="s">
        <v>758</v>
      </c>
      <c r="B323" t="s">
        <v>653</v>
      </c>
      <c r="C323" t="s">
        <v>46</v>
      </c>
      <c r="D323" t="s">
        <v>759</v>
      </c>
      <c r="E323" t="s">
        <v>674</v>
      </c>
      <c r="F323" t="s">
        <v>67</v>
      </c>
      <c r="G323" s="9"/>
      <c r="H323" s="10"/>
      <c r="I323" s="9"/>
      <c r="J323" s="10"/>
      <c r="K323" s="9"/>
      <c r="L323" t="s">
        <v>56</v>
      </c>
      <c r="M323" t="str">
        <f>Config!$B$3&amp;"?room="&amp;A323</f>
        <v>https://wph-bujv.github.io/wph-rooms/?room=B-L02-K02A-01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" customHeight="1" x14ac:dyDescent="0.25">
      <c r="A324" t="s">
        <v>760</v>
      </c>
      <c r="B324" t="s">
        <v>653</v>
      </c>
      <c r="C324" t="s">
        <v>46</v>
      </c>
      <c r="D324" t="s">
        <v>761</v>
      </c>
      <c r="E324" t="s">
        <v>674</v>
      </c>
      <c r="F324" t="s">
        <v>67</v>
      </c>
      <c r="G324" s="9"/>
      <c r="H324" s="10"/>
      <c r="I324" s="9"/>
      <c r="J324" s="10"/>
      <c r="K324" s="9"/>
      <c r="L324" t="s">
        <v>56</v>
      </c>
      <c r="M324" t="str">
        <f>Config!$B$3&amp;"?room="&amp;A324</f>
        <v>https://wph-bujv.github.io/wph-rooms/?room=B-L02-K02A-02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" customHeight="1" x14ac:dyDescent="0.25">
      <c r="A325" t="s">
        <v>762</v>
      </c>
      <c r="B325" t="s">
        <v>653</v>
      </c>
      <c r="C325" t="s">
        <v>46</v>
      </c>
      <c r="D325" t="s">
        <v>763</v>
      </c>
      <c r="E325" t="s">
        <v>764</v>
      </c>
      <c r="F325" t="s">
        <v>67</v>
      </c>
      <c r="G325" s="9"/>
      <c r="H325" s="10"/>
      <c r="I325" s="9"/>
      <c r="J325" s="10"/>
      <c r="K325" s="9"/>
      <c r="L325" t="s">
        <v>56</v>
      </c>
      <c r="M325" t="str">
        <f>Config!$B$3&amp;"?room="&amp;A325</f>
        <v>https://wph-bujv.github.io/wph-rooms/?room=B-L02-K02C-01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" customHeight="1" x14ac:dyDescent="0.25">
      <c r="A326" t="s">
        <v>765</v>
      </c>
      <c r="B326" t="s">
        <v>653</v>
      </c>
      <c r="C326" t="s">
        <v>46</v>
      </c>
      <c r="D326" t="s">
        <v>766</v>
      </c>
      <c r="E326" t="s">
        <v>764</v>
      </c>
      <c r="F326" t="s">
        <v>67</v>
      </c>
      <c r="G326" s="9"/>
      <c r="H326" s="10"/>
      <c r="I326" s="9"/>
      <c r="J326" s="10"/>
      <c r="K326" s="9"/>
      <c r="L326" t="s">
        <v>56</v>
      </c>
      <c r="M326" t="str">
        <f>Config!$B$3&amp;"?room="&amp;A326</f>
        <v>https://wph-bujv.github.io/wph-rooms/?room=B-L02-K02C-02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" customHeight="1" x14ac:dyDescent="0.25">
      <c r="A327" t="s">
        <v>767</v>
      </c>
      <c r="B327" t="s">
        <v>653</v>
      </c>
      <c r="C327" t="s">
        <v>46</v>
      </c>
      <c r="D327" t="s">
        <v>768</v>
      </c>
      <c r="E327" t="s">
        <v>679</v>
      </c>
      <c r="F327" t="s">
        <v>67</v>
      </c>
      <c r="G327" s="9"/>
      <c r="H327" s="10"/>
      <c r="I327" s="9"/>
      <c r="J327" s="10"/>
      <c r="K327" s="9"/>
      <c r="L327" t="s">
        <v>56</v>
      </c>
      <c r="M327" t="str">
        <f>Config!$B$3&amp;"?room="&amp;A327</f>
        <v>https://wph-bujv.github.io/wph-rooms/?room=B-L02-K03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" customHeight="1" x14ac:dyDescent="0.25">
      <c r="A328" t="s">
        <v>769</v>
      </c>
      <c r="B328" t="s">
        <v>653</v>
      </c>
      <c r="C328" t="s">
        <v>46</v>
      </c>
      <c r="D328" t="s">
        <v>770</v>
      </c>
      <c r="E328" t="s">
        <v>682</v>
      </c>
      <c r="F328" t="s">
        <v>683</v>
      </c>
      <c r="G328" s="9"/>
      <c r="H328" s="10"/>
      <c r="I328" s="9"/>
      <c r="J328" s="10"/>
      <c r="K328" s="9"/>
      <c r="L328" t="s">
        <v>56</v>
      </c>
      <c r="M328" t="str">
        <f>Config!$B$3&amp;"?room="&amp;A328</f>
        <v>https://wph-bujv.github.io/wph-rooms/?room=B-L02-KADA1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" customHeight="1" x14ac:dyDescent="0.25">
      <c r="A329" t="s">
        <v>771</v>
      </c>
      <c r="B329" t="s">
        <v>653</v>
      </c>
      <c r="C329" t="s">
        <v>46</v>
      </c>
      <c r="D329" t="s">
        <v>772</v>
      </c>
      <c r="E329" t="s">
        <v>113</v>
      </c>
      <c r="F329" t="s">
        <v>110</v>
      </c>
      <c r="G329" s="9"/>
      <c r="H329" s="10"/>
      <c r="I329" s="9"/>
      <c r="J329" s="10"/>
      <c r="K329" s="9"/>
      <c r="L329" t="s">
        <v>56</v>
      </c>
      <c r="M329" t="str">
        <f>Config!$B$3&amp;"?room="&amp;A329</f>
        <v>https://wph-bujv.github.io/wph-rooms/?room=B-L02-Q01C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" customHeight="1" x14ac:dyDescent="0.25">
      <c r="A330" t="s">
        <v>773</v>
      </c>
      <c r="B330" t="s">
        <v>653</v>
      </c>
      <c r="C330" t="s">
        <v>46</v>
      </c>
      <c r="D330" t="s">
        <v>774</v>
      </c>
      <c r="E330" t="s">
        <v>120</v>
      </c>
      <c r="F330" t="s">
        <v>110</v>
      </c>
      <c r="G330" s="9"/>
      <c r="H330" s="10"/>
      <c r="I330" s="9"/>
      <c r="J330" s="10"/>
      <c r="K330" s="9"/>
      <c r="L330" t="s">
        <v>56</v>
      </c>
      <c r="M330" t="str">
        <f>Config!$B$3&amp;"?room="&amp;A330</f>
        <v>https://wph-bujv.github.io/wph-rooms/?room=B-L02-Q01C1-01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" customHeight="1" x14ac:dyDescent="0.25">
      <c r="A331" t="s">
        <v>775</v>
      </c>
      <c r="B331" t="s">
        <v>653</v>
      </c>
      <c r="C331" t="s">
        <v>46</v>
      </c>
      <c r="D331" t="s">
        <v>776</v>
      </c>
      <c r="E331" t="s">
        <v>120</v>
      </c>
      <c r="F331" t="s">
        <v>110</v>
      </c>
      <c r="G331" s="9"/>
      <c r="H331" s="10"/>
      <c r="I331" s="9"/>
      <c r="J331" s="10"/>
      <c r="K331" s="9"/>
      <c r="L331" t="s">
        <v>56</v>
      </c>
      <c r="M331" t="str">
        <f>Config!$B$3&amp;"?room="&amp;A331</f>
        <v>https://wph-bujv.github.io/wph-rooms/?room=B-L02-Q01C1-02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" customHeight="1" x14ac:dyDescent="0.25">
      <c r="A332" t="s">
        <v>777</v>
      </c>
      <c r="B332" t="s">
        <v>653</v>
      </c>
      <c r="C332" t="s">
        <v>46</v>
      </c>
      <c r="D332" t="s">
        <v>778</v>
      </c>
      <c r="E332" t="s">
        <v>120</v>
      </c>
      <c r="F332" t="s">
        <v>110</v>
      </c>
      <c r="G332" s="9"/>
      <c r="H332" s="10"/>
      <c r="I332" s="9"/>
      <c r="J332" s="10"/>
      <c r="K332" s="9"/>
      <c r="L332" t="s">
        <v>56</v>
      </c>
      <c r="M332" t="str">
        <f>Config!$B$3&amp;"?room="&amp;A332</f>
        <v>https://wph-bujv.github.io/wph-rooms/?room=B-L02-Q01C1-03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" customHeight="1" x14ac:dyDescent="0.25">
      <c r="A333" t="s">
        <v>779</v>
      </c>
      <c r="B333" t="s">
        <v>653</v>
      </c>
      <c r="C333" t="s">
        <v>46</v>
      </c>
      <c r="D333" t="s">
        <v>780</v>
      </c>
      <c r="E333" t="s">
        <v>700</v>
      </c>
      <c r="F333" t="s">
        <v>110</v>
      </c>
      <c r="G333" s="9"/>
      <c r="H333" s="10"/>
      <c r="I333" s="9"/>
      <c r="J333" s="10"/>
      <c r="K333" s="9"/>
      <c r="L333" t="s">
        <v>56</v>
      </c>
      <c r="M333" t="str">
        <f>Config!$B$3&amp;"?room="&amp;A333</f>
        <v>https://wph-bujv.github.io/wph-rooms/?room=B-L02-Q02C-01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" customHeight="1" x14ac:dyDescent="0.25">
      <c r="A334" t="s">
        <v>781</v>
      </c>
      <c r="B334" t="s">
        <v>653</v>
      </c>
      <c r="C334" t="s">
        <v>46</v>
      </c>
      <c r="D334" t="s">
        <v>782</v>
      </c>
      <c r="E334" t="s">
        <v>700</v>
      </c>
      <c r="F334" t="s">
        <v>110</v>
      </c>
      <c r="G334" s="9"/>
      <c r="H334" s="10"/>
      <c r="I334" s="9"/>
      <c r="J334" s="10"/>
      <c r="K334" s="9"/>
      <c r="L334" t="s">
        <v>56</v>
      </c>
      <c r="M334" t="str">
        <f>Config!$B$3&amp;"?room="&amp;A334</f>
        <v>https://wph-bujv.github.io/wph-rooms/?room=B-L02-Q02C-02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" customHeight="1" x14ac:dyDescent="0.25">
      <c r="A335" t="s">
        <v>783</v>
      </c>
      <c r="B335" t="s">
        <v>653</v>
      </c>
      <c r="C335" t="s">
        <v>46</v>
      </c>
      <c r="D335" t="s">
        <v>784</v>
      </c>
      <c r="E335" t="s">
        <v>700</v>
      </c>
      <c r="F335" t="s">
        <v>110</v>
      </c>
      <c r="G335" s="9"/>
      <c r="H335" s="10"/>
      <c r="I335" s="9"/>
      <c r="J335" s="10"/>
      <c r="K335" s="9"/>
      <c r="L335" t="s">
        <v>56</v>
      </c>
      <c r="M335" t="str">
        <f>Config!$B$3&amp;"?room="&amp;A335</f>
        <v>https://wph-bujv.github.io/wph-rooms/?room=B-L02-Q02C-03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" customHeight="1" x14ac:dyDescent="0.25">
      <c r="A336" t="s">
        <v>785</v>
      </c>
      <c r="B336" t="s">
        <v>653</v>
      </c>
      <c r="C336" t="s">
        <v>46</v>
      </c>
      <c r="D336" t="s">
        <v>786</v>
      </c>
      <c r="E336" t="s">
        <v>205</v>
      </c>
      <c r="F336" t="s">
        <v>110</v>
      </c>
      <c r="G336" s="9"/>
      <c r="H336" s="10"/>
      <c r="I336" s="9"/>
      <c r="J336" s="10"/>
      <c r="K336" s="9"/>
      <c r="L336" t="s">
        <v>56</v>
      </c>
      <c r="M336" t="str">
        <f>Config!$B$3&amp;"?room="&amp;A336</f>
        <v>https://wph-bujv.github.io/wph-rooms/?room=B-L02-Q02C1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" customHeight="1" x14ac:dyDescent="0.25">
      <c r="A337" t="s">
        <v>787</v>
      </c>
      <c r="B337" t="s">
        <v>653</v>
      </c>
      <c r="C337" t="s">
        <v>46</v>
      </c>
      <c r="D337" t="s">
        <v>788</v>
      </c>
      <c r="E337" t="s">
        <v>705</v>
      </c>
      <c r="F337" t="s">
        <v>110</v>
      </c>
      <c r="G337" s="9"/>
      <c r="H337" s="10"/>
      <c r="I337" s="9"/>
      <c r="J337" s="10"/>
      <c r="K337" s="9"/>
      <c r="L337" t="s">
        <v>56</v>
      </c>
      <c r="M337" t="str">
        <f>Config!$B$3&amp;"?room="&amp;A337</f>
        <v>https://wph-bujv.github.io/wph-rooms/?room=B-L02-Q02D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" customHeight="1" x14ac:dyDescent="0.25">
      <c r="A338" t="s">
        <v>789</v>
      </c>
      <c r="B338" t="s">
        <v>653</v>
      </c>
      <c r="C338" t="s">
        <v>46</v>
      </c>
      <c r="D338" t="s">
        <v>790</v>
      </c>
      <c r="E338" t="s">
        <v>791</v>
      </c>
      <c r="F338" t="s">
        <v>110</v>
      </c>
      <c r="G338" s="9"/>
      <c r="H338" s="10"/>
      <c r="I338" s="9"/>
      <c r="J338" s="10"/>
      <c r="K338" s="9"/>
      <c r="L338" t="s">
        <v>56</v>
      </c>
      <c r="M338" t="str">
        <f>Config!$B$3&amp;"?room="&amp;A338</f>
        <v>https://wph-bujv.github.io/wph-rooms/?room=B-L02-Q04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" customHeight="1" x14ac:dyDescent="0.25">
      <c r="A339" t="s">
        <v>792</v>
      </c>
      <c r="B339" t="s">
        <v>653</v>
      </c>
      <c r="C339" t="s">
        <v>46</v>
      </c>
      <c r="D339" t="s">
        <v>793</v>
      </c>
      <c r="E339" t="s">
        <v>794</v>
      </c>
      <c r="F339" t="s">
        <v>110</v>
      </c>
      <c r="G339" s="9"/>
      <c r="H339" s="10"/>
      <c r="I339" s="9"/>
      <c r="J339" s="10"/>
      <c r="K339" s="9"/>
      <c r="L339" t="s">
        <v>56</v>
      </c>
      <c r="M339" t="str">
        <f>Config!$B$3&amp;"?room="&amp;A339</f>
        <v>https://wph-bujv.github.io/wph-rooms/?room=B-L02-Q05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" customHeight="1" x14ac:dyDescent="0.25">
      <c r="A340" t="s">
        <v>795</v>
      </c>
      <c r="B340" t="s">
        <v>653</v>
      </c>
      <c r="C340" t="s">
        <v>46</v>
      </c>
      <c r="D340" t="s">
        <v>796</v>
      </c>
      <c r="E340" t="s">
        <v>711</v>
      </c>
      <c r="F340" t="s">
        <v>110</v>
      </c>
      <c r="G340" s="9"/>
      <c r="H340" s="10"/>
      <c r="I340" s="9"/>
      <c r="J340" s="10"/>
      <c r="K340" s="9"/>
      <c r="L340" t="s">
        <v>56</v>
      </c>
      <c r="M340" t="str">
        <f>Config!$B$3&amp;"?room="&amp;A340</f>
        <v>https://wph-bujv.github.io/wph-rooms/?room=B-L02-Q06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" customHeight="1" x14ac:dyDescent="0.25">
      <c r="A341" t="s">
        <v>797</v>
      </c>
      <c r="B341" t="s">
        <v>653</v>
      </c>
      <c r="C341" t="s">
        <v>46</v>
      </c>
      <c r="D341" t="s">
        <v>798</v>
      </c>
      <c r="E341" t="s">
        <v>799</v>
      </c>
      <c r="F341" t="s">
        <v>49</v>
      </c>
      <c r="G341" s="9"/>
      <c r="H341" s="10"/>
      <c r="I341" s="9"/>
      <c r="J341" s="10"/>
      <c r="K341" s="9"/>
      <c r="L341" t="s">
        <v>56</v>
      </c>
      <c r="M341" t="str">
        <f>Config!$B$3&amp;"?room="&amp;A341</f>
        <v>https://wph-bujv.github.io/wph-rooms/?room=B-L02-S07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" customHeight="1" x14ac:dyDescent="0.25">
      <c r="A342" t="s">
        <v>800</v>
      </c>
      <c r="B342" t="s">
        <v>653</v>
      </c>
      <c r="C342" t="s">
        <v>46</v>
      </c>
      <c r="D342" t="s">
        <v>801</v>
      </c>
      <c r="E342" t="s">
        <v>802</v>
      </c>
      <c r="F342" t="s">
        <v>803</v>
      </c>
      <c r="G342" s="9"/>
      <c r="H342" s="10"/>
      <c r="I342" s="9"/>
      <c r="J342" s="10"/>
      <c r="K342" s="9"/>
      <c r="L342" t="s">
        <v>56</v>
      </c>
      <c r="M342" t="str">
        <f>Config!$B$3&amp;"?room="&amp;A342</f>
        <v>https://wph-bujv.github.io/wph-rooms/?room=B-L02-SADA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" customHeight="1" x14ac:dyDescent="0.25">
      <c r="A343" t="s">
        <v>804</v>
      </c>
      <c r="B343" t="s">
        <v>653</v>
      </c>
      <c r="C343" t="s">
        <v>146</v>
      </c>
      <c r="D343" t="s">
        <v>805</v>
      </c>
      <c r="E343" t="s">
        <v>659</v>
      </c>
      <c r="F343" t="s">
        <v>54</v>
      </c>
      <c r="G343" s="9"/>
      <c r="H343" s="10"/>
      <c r="I343" s="9"/>
      <c r="J343" s="10"/>
      <c r="K343" s="9"/>
      <c r="L343" t="s">
        <v>56</v>
      </c>
      <c r="M343" t="str">
        <f>Config!$B$3&amp;"?room="&amp;A343</f>
        <v>https://wph-bujv.github.io/wph-rooms/?room=B-L03-F02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" customHeight="1" x14ac:dyDescent="0.25">
      <c r="A344" t="s">
        <v>806</v>
      </c>
      <c r="B344" t="s">
        <v>653</v>
      </c>
      <c r="C344" t="s">
        <v>146</v>
      </c>
      <c r="D344" t="s">
        <v>807</v>
      </c>
      <c r="E344" t="s">
        <v>733</v>
      </c>
      <c r="F344" t="s">
        <v>54</v>
      </c>
      <c r="G344" s="9"/>
      <c r="H344" s="10"/>
      <c r="I344" s="9"/>
      <c r="J344" s="10"/>
      <c r="K344" s="9"/>
      <c r="L344" t="s">
        <v>56</v>
      </c>
      <c r="M344" t="str">
        <f>Config!$B$3&amp;"?room="&amp;A344</f>
        <v>https://wph-bujv.github.io/wph-rooms/?room=B-L03-F06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" customHeight="1" x14ac:dyDescent="0.25">
      <c r="A345" t="s">
        <v>808</v>
      </c>
      <c r="B345" t="s">
        <v>653</v>
      </c>
      <c r="C345" t="s">
        <v>146</v>
      </c>
      <c r="D345" t="s">
        <v>809</v>
      </c>
      <c r="E345" t="s">
        <v>66</v>
      </c>
      <c r="F345" t="s">
        <v>67</v>
      </c>
      <c r="G345" s="9"/>
      <c r="H345" s="10"/>
      <c r="I345" s="9"/>
      <c r="J345" s="10"/>
      <c r="K345" s="9"/>
      <c r="L345" t="s">
        <v>56</v>
      </c>
      <c r="M345" t="str">
        <f>Config!$B$3&amp;"?room="&amp;A345</f>
        <v>https://wph-bujv.github.io/wph-rooms/?room=B-L03-K01-01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" customHeight="1" x14ac:dyDescent="0.25">
      <c r="A346" t="s">
        <v>810</v>
      </c>
      <c r="B346" t="s">
        <v>653</v>
      </c>
      <c r="C346" t="s">
        <v>146</v>
      </c>
      <c r="D346" t="s">
        <v>811</v>
      </c>
      <c r="E346" t="s">
        <v>66</v>
      </c>
      <c r="F346" t="s">
        <v>67</v>
      </c>
      <c r="G346" s="9"/>
      <c r="H346" s="10"/>
      <c r="I346" s="9"/>
      <c r="J346" s="10"/>
      <c r="K346" s="9"/>
      <c r="L346" t="s">
        <v>56</v>
      </c>
      <c r="M346" t="str">
        <f>Config!$B$3&amp;"?room="&amp;A346</f>
        <v>https://wph-bujv.github.io/wph-rooms/?room=B-L03-K01-02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" customHeight="1" x14ac:dyDescent="0.25">
      <c r="A347" t="s">
        <v>812</v>
      </c>
      <c r="B347" t="s">
        <v>653</v>
      </c>
      <c r="C347" t="s">
        <v>146</v>
      </c>
      <c r="D347" t="s">
        <v>813</v>
      </c>
      <c r="E347" t="s">
        <v>662</v>
      </c>
      <c r="F347" t="s">
        <v>67</v>
      </c>
      <c r="G347" s="9"/>
      <c r="H347" s="10"/>
      <c r="I347" s="9"/>
      <c r="J347" s="10"/>
      <c r="K347" s="9"/>
      <c r="L347" t="s">
        <v>56</v>
      </c>
      <c r="M347" t="str">
        <f>Config!$B$3&amp;"?room="&amp;A347</f>
        <v>https://wph-bujv.github.io/wph-rooms/?room=B-L03-K01A-01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" customHeight="1" x14ac:dyDescent="0.25">
      <c r="A348" t="s">
        <v>814</v>
      </c>
      <c r="B348" t="s">
        <v>653</v>
      </c>
      <c r="C348" t="s">
        <v>146</v>
      </c>
      <c r="D348" t="s">
        <v>815</v>
      </c>
      <c r="E348" t="s">
        <v>662</v>
      </c>
      <c r="F348" t="s">
        <v>67</v>
      </c>
      <c r="G348" s="9"/>
      <c r="H348" s="10"/>
      <c r="I348" s="9"/>
      <c r="J348" s="10"/>
      <c r="K348" s="9"/>
      <c r="L348" t="s">
        <v>56</v>
      </c>
      <c r="M348" t="str">
        <f>Config!$B$3&amp;"?room="&amp;A348</f>
        <v>https://wph-bujv.github.io/wph-rooms/?room=B-L03-K01A-02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" customHeight="1" x14ac:dyDescent="0.25">
      <c r="A349" t="s">
        <v>816</v>
      </c>
      <c r="B349" t="s">
        <v>653</v>
      </c>
      <c r="C349" t="s">
        <v>146</v>
      </c>
      <c r="D349" t="s">
        <v>817</v>
      </c>
      <c r="E349" t="s">
        <v>662</v>
      </c>
      <c r="F349" t="s">
        <v>67</v>
      </c>
      <c r="G349" s="9"/>
      <c r="H349" s="10"/>
      <c r="I349" s="9"/>
      <c r="J349" s="10"/>
      <c r="K349" s="9"/>
      <c r="L349" t="s">
        <v>56</v>
      </c>
      <c r="M349" t="str">
        <f>Config!$B$3&amp;"?room="&amp;A349</f>
        <v>https://wph-bujv.github.io/wph-rooms/?room=B-L03-K01A-03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" customHeight="1" x14ac:dyDescent="0.25">
      <c r="A350" t="s">
        <v>818</v>
      </c>
      <c r="B350" t="s">
        <v>653</v>
      </c>
      <c r="C350" t="s">
        <v>146</v>
      </c>
      <c r="D350" t="s">
        <v>819</v>
      </c>
      <c r="E350" t="s">
        <v>79</v>
      </c>
      <c r="F350" t="s">
        <v>67</v>
      </c>
      <c r="G350" s="9"/>
      <c r="H350" s="10"/>
      <c r="I350" s="9"/>
      <c r="J350" s="10"/>
      <c r="K350" s="9"/>
      <c r="L350" t="s">
        <v>56</v>
      </c>
      <c r="M350" t="str">
        <f>Config!$B$3&amp;"?room="&amp;A350</f>
        <v>https://wph-bujv.github.io/wph-rooms/?room=B-L03-K01C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" customHeight="1" x14ac:dyDescent="0.25">
      <c r="A351" t="s">
        <v>820</v>
      </c>
      <c r="B351" t="s">
        <v>653</v>
      </c>
      <c r="C351" t="s">
        <v>146</v>
      </c>
      <c r="D351" t="s">
        <v>821</v>
      </c>
      <c r="E351" t="s">
        <v>667</v>
      </c>
      <c r="F351" t="s">
        <v>67</v>
      </c>
      <c r="G351" s="9"/>
      <c r="H351" s="10"/>
      <c r="I351" s="9"/>
      <c r="J351" s="10"/>
      <c r="K351" s="9"/>
      <c r="L351" t="s">
        <v>56</v>
      </c>
      <c r="M351" t="str">
        <f>Config!$B$3&amp;"?room="&amp;A351</f>
        <v>https://wph-bujv.github.io/wph-rooms/?room=B-L03-K01C1-01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" customHeight="1" x14ac:dyDescent="0.25">
      <c r="A352" t="s">
        <v>822</v>
      </c>
      <c r="B352" t="s">
        <v>653</v>
      </c>
      <c r="C352" t="s">
        <v>146</v>
      </c>
      <c r="D352" t="s">
        <v>823</v>
      </c>
      <c r="E352" t="s">
        <v>667</v>
      </c>
      <c r="F352" t="s">
        <v>67</v>
      </c>
      <c r="G352" s="9"/>
      <c r="H352" s="10"/>
      <c r="I352" s="9"/>
      <c r="J352" s="10"/>
      <c r="K352" s="9"/>
      <c r="L352" t="s">
        <v>56</v>
      </c>
      <c r="M352" t="str">
        <f>Config!$B$3&amp;"?room="&amp;A352</f>
        <v>https://wph-bujv.github.io/wph-rooms/?room=B-L03-K01C1-02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" customHeight="1" x14ac:dyDescent="0.25">
      <c r="A353" t="s">
        <v>824</v>
      </c>
      <c r="B353" t="s">
        <v>653</v>
      </c>
      <c r="C353" t="s">
        <v>146</v>
      </c>
      <c r="D353" t="s">
        <v>825</v>
      </c>
      <c r="E353" t="s">
        <v>86</v>
      </c>
      <c r="F353" t="s">
        <v>67</v>
      </c>
      <c r="G353" s="9"/>
      <c r="H353" s="10"/>
      <c r="I353" s="9"/>
      <c r="J353" s="10"/>
      <c r="K353" s="9"/>
      <c r="L353" t="s">
        <v>56</v>
      </c>
      <c r="M353" t="str">
        <f>Config!$B$3&amp;"?room="&amp;A353</f>
        <v>https://wph-bujv.github.io/wph-rooms/?room=B-L03-K01D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" customHeight="1" x14ac:dyDescent="0.25">
      <c r="A354" t="s">
        <v>826</v>
      </c>
      <c r="B354" t="s">
        <v>653</v>
      </c>
      <c r="C354" t="s">
        <v>146</v>
      </c>
      <c r="D354" t="s">
        <v>827</v>
      </c>
      <c r="E354" t="s">
        <v>89</v>
      </c>
      <c r="F354" t="s">
        <v>67</v>
      </c>
      <c r="G354" s="9"/>
      <c r="H354" s="10"/>
      <c r="I354" s="9"/>
      <c r="J354" s="10"/>
      <c r="K354" s="9"/>
      <c r="L354" t="s">
        <v>56</v>
      </c>
      <c r="M354" t="str">
        <f>Config!$B$3&amp;"?room="&amp;A354</f>
        <v>https://wph-bujv.github.io/wph-rooms/?room=B-L03-K02-01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" customHeight="1" x14ac:dyDescent="0.25">
      <c r="A355" t="s">
        <v>828</v>
      </c>
      <c r="B355" t="s">
        <v>653</v>
      </c>
      <c r="C355" t="s">
        <v>146</v>
      </c>
      <c r="D355" t="s">
        <v>829</v>
      </c>
      <c r="E355" t="s">
        <v>89</v>
      </c>
      <c r="F355" t="s">
        <v>67</v>
      </c>
      <c r="G355" s="9"/>
      <c r="H355" s="10"/>
      <c r="I355" s="9"/>
      <c r="J355" s="10"/>
      <c r="K355" s="9"/>
      <c r="L355" t="s">
        <v>56</v>
      </c>
      <c r="M355" t="str">
        <f>Config!$B$3&amp;"?room="&amp;A355</f>
        <v>https://wph-bujv.github.io/wph-rooms/?room=B-L03-K02-02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" customHeight="1" x14ac:dyDescent="0.25">
      <c r="A356" t="s">
        <v>830</v>
      </c>
      <c r="B356" t="s">
        <v>653</v>
      </c>
      <c r="C356" t="s">
        <v>146</v>
      </c>
      <c r="D356" t="s">
        <v>831</v>
      </c>
      <c r="E356" t="s">
        <v>89</v>
      </c>
      <c r="F356" t="s">
        <v>67</v>
      </c>
      <c r="G356" s="9"/>
      <c r="H356" s="10"/>
      <c r="I356" s="9"/>
      <c r="J356" s="10"/>
      <c r="K356" s="9"/>
      <c r="L356" t="s">
        <v>56</v>
      </c>
      <c r="M356" t="str">
        <f>Config!$B$3&amp;"?room="&amp;A356</f>
        <v>https://wph-bujv.github.io/wph-rooms/?room=B-L03-K02-03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" customHeight="1" x14ac:dyDescent="0.25">
      <c r="A357" t="s">
        <v>832</v>
      </c>
      <c r="B357" t="s">
        <v>653</v>
      </c>
      <c r="C357" t="s">
        <v>146</v>
      </c>
      <c r="D357" t="s">
        <v>833</v>
      </c>
      <c r="E357" t="s">
        <v>674</v>
      </c>
      <c r="F357" t="s">
        <v>67</v>
      </c>
      <c r="G357" s="9"/>
      <c r="H357" s="10"/>
      <c r="I357" s="9"/>
      <c r="J357" s="10"/>
      <c r="K357" s="9"/>
      <c r="L357" t="s">
        <v>56</v>
      </c>
      <c r="M357" t="str">
        <f>Config!$B$3&amp;"?room="&amp;A357</f>
        <v>https://wph-bujv.github.io/wph-rooms/?room=B-L03-K02A-01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" customHeight="1" x14ac:dyDescent="0.25">
      <c r="A358" t="s">
        <v>834</v>
      </c>
      <c r="B358" t="s">
        <v>653</v>
      </c>
      <c r="C358" t="s">
        <v>146</v>
      </c>
      <c r="D358" t="s">
        <v>835</v>
      </c>
      <c r="E358" t="s">
        <v>674</v>
      </c>
      <c r="F358" t="s">
        <v>67</v>
      </c>
      <c r="G358" s="9"/>
      <c r="H358" s="10"/>
      <c r="I358" s="9"/>
      <c r="J358" s="10"/>
      <c r="K358" s="9"/>
      <c r="L358" t="s">
        <v>56</v>
      </c>
      <c r="M358" t="str">
        <f>Config!$B$3&amp;"?room="&amp;A358</f>
        <v>https://wph-bujv.github.io/wph-rooms/?room=B-L03-K02A-02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" customHeight="1" x14ac:dyDescent="0.25">
      <c r="A359" t="s">
        <v>836</v>
      </c>
      <c r="B359" t="s">
        <v>653</v>
      </c>
      <c r="C359" t="s">
        <v>146</v>
      </c>
      <c r="D359" t="s">
        <v>837</v>
      </c>
      <c r="E359" t="s">
        <v>764</v>
      </c>
      <c r="F359" t="s">
        <v>67</v>
      </c>
      <c r="G359" s="9"/>
      <c r="H359" s="10"/>
      <c r="I359" s="9"/>
      <c r="J359" s="10"/>
      <c r="K359" s="9"/>
      <c r="L359" t="s">
        <v>56</v>
      </c>
      <c r="M359" t="str">
        <f>Config!$B$3&amp;"?room="&amp;A359</f>
        <v>https://wph-bujv.github.io/wph-rooms/?room=B-L03-K02C-01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" customHeight="1" x14ac:dyDescent="0.25">
      <c r="A360" t="s">
        <v>838</v>
      </c>
      <c r="B360" t="s">
        <v>653</v>
      </c>
      <c r="C360" t="s">
        <v>146</v>
      </c>
      <c r="D360" t="s">
        <v>839</v>
      </c>
      <c r="E360" t="s">
        <v>764</v>
      </c>
      <c r="F360" t="s">
        <v>67</v>
      </c>
      <c r="G360" s="9"/>
      <c r="H360" s="10"/>
      <c r="I360" s="9"/>
      <c r="J360" s="10"/>
      <c r="K360" s="9"/>
      <c r="L360" t="s">
        <v>56</v>
      </c>
      <c r="M360" t="str">
        <f>Config!$B$3&amp;"?room="&amp;A360</f>
        <v>https://wph-bujv.github.io/wph-rooms/?room=B-L03-K02C-02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" customHeight="1" x14ac:dyDescent="0.25">
      <c r="A361" t="s">
        <v>840</v>
      </c>
      <c r="B361" t="s">
        <v>653</v>
      </c>
      <c r="C361" t="s">
        <v>146</v>
      </c>
      <c r="D361" t="s">
        <v>841</v>
      </c>
      <c r="E361" t="s">
        <v>679</v>
      </c>
      <c r="F361" t="s">
        <v>67</v>
      </c>
      <c r="G361" s="9"/>
      <c r="H361" s="10"/>
      <c r="I361" s="9"/>
      <c r="J361" s="10"/>
      <c r="K361" s="9"/>
      <c r="L361" t="s">
        <v>56</v>
      </c>
      <c r="M361" t="str">
        <f>Config!$B$3&amp;"?room="&amp;A361</f>
        <v>https://wph-bujv.github.io/wph-rooms/?room=B-L03-K03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" customHeight="1" x14ac:dyDescent="0.25">
      <c r="A362" t="s">
        <v>842</v>
      </c>
      <c r="B362" t="s">
        <v>653</v>
      </c>
      <c r="C362" t="s">
        <v>146</v>
      </c>
      <c r="D362" t="s">
        <v>843</v>
      </c>
      <c r="E362" t="s">
        <v>682</v>
      </c>
      <c r="F362" t="s">
        <v>683</v>
      </c>
      <c r="G362" s="9"/>
      <c r="H362" s="10"/>
      <c r="I362" s="9"/>
      <c r="J362" s="10"/>
      <c r="K362" s="9"/>
      <c r="L362" t="s">
        <v>56</v>
      </c>
      <c r="M362" t="str">
        <f>Config!$B$3&amp;"?room="&amp;A362</f>
        <v>https://wph-bujv.github.io/wph-rooms/?room=B-L03-KADA1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" customHeight="1" x14ac:dyDescent="0.25">
      <c r="A363" t="s">
        <v>844</v>
      </c>
      <c r="B363" t="s">
        <v>653</v>
      </c>
      <c r="C363" t="s">
        <v>146</v>
      </c>
      <c r="D363" t="s">
        <v>845</v>
      </c>
      <c r="E363" t="s">
        <v>113</v>
      </c>
      <c r="F363" t="s">
        <v>110</v>
      </c>
      <c r="G363" s="9"/>
      <c r="H363" s="10"/>
      <c r="I363" s="9"/>
      <c r="J363" s="10"/>
      <c r="K363" s="9"/>
      <c r="L363" t="s">
        <v>56</v>
      </c>
      <c r="M363" t="str">
        <f>Config!$B$3&amp;"?room="&amp;A363</f>
        <v>https://wph-bujv.github.io/wph-rooms/?room=B-L03-Q01C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" customHeight="1" x14ac:dyDescent="0.25">
      <c r="A364" t="s">
        <v>846</v>
      </c>
      <c r="B364" t="s">
        <v>653</v>
      </c>
      <c r="C364" t="s">
        <v>146</v>
      </c>
      <c r="D364" t="s">
        <v>847</v>
      </c>
      <c r="E364" t="s">
        <v>120</v>
      </c>
      <c r="F364" t="s">
        <v>110</v>
      </c>
      <c r="G364" s="9"/>
      <c r="H364" s="10"/>
      <c r="I364" s="9"/>
      <c r="J364" s="10"/>
      <c r="K364" s="9"/>
      <c r="L364" t="s">
        <v>56</v>
      </c>
      <c r="M364" t="str">
        <f>Config!$B$3&amp;"?room="&amp;A364</f>
        <v>https://wph-bujv.github.io/wph-rooms/?room=B-L03-Q01C1-01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" customHeight="1" x14ac:dyDescent="0.25">
      <c r="A365" t="s">
        <v>848</v>
      </c>
      <c r="B365" t="s">
        <v>653</v>
      </c>
      <c r="C365" t="s">
        <v>146</v>
      </c>
      <c r="D365" t="s">
        <v>849</v>
      </c>
      <c r="E365" t="s">
        <v>120</v>
      </c>
      <c r="F365" t="s">
        <v>110</v>
      </c>
      <c r="G365" s="9"/>
      <c r="H365" s="10"/>
      <c r="I365" s="9"/>
      <c r="J365" s="10"/>
      <c r="K365" s="9"/>
      <c r="L365" t="s">
        <v>56</v>
      </c>
      <c r="M365" t="str">
        <f>Config!$B$3&amp;"?room="&amp;A365</f>
        <v>https://wph-bujv.github.io/wph-rooms/?room=B-L03-Q01C1-02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" customHeight="1" x14ac:dyDescent="0.25">
      <c r="A366" t="s">
        <v>850</v>
      </c>
      <c r="B366" t="s">
        <v>653</v>
      </c>
      <c r="C366" t="s">
        <v>146</v>
      </c>
      <c r="D366" t="s">
        <v>851</v>
      </c>
      <c r="E366" t="s">
        <v>120</v>
      </c>
      <c r="F366" t="s">
        <v>110</v>
      </c>
      <c r="G366" s="9"/>
      <c r="H366" s="10"/>
      <c r="I366" s="9"/>
      <c r="J366" s="10"/>
      <c r="K366" s="9"/>
      <c r="L366" t="s">
        <v>56</v>
      </c>
      <c r="M366" t="str">
        <f>Config!$B$3&amp;"?room="&amp;A366</f>
        <v>https://wph-bujv.github.io/wph-rooms/?room=B-L03-Q01C1-03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" customHeight="1" x14ac:dyDescent="0.25">
      <c r="A367" t="s">
        <v>852</v>
      </c>
      <c r="B367" t="s">
        <v>653</v>
      </c>
      <c r="C367" t="s">
        <v>146</v>
      </c>
      <c r="D367" t="s">
        <v>853</v>
      </c>
      <c r="E367" t="s">
        <v>700</v>
      </c>
      <c r="F367" t="s">
        <v>110</v>
      </c>
      <c r="G367" s="9"/>
      <c r="H367" s="10"/>
      <c r="I367" s="9"/>
      <c r="J367" s="10"/>
      <c r="K367" s="9"/>
      <c r="L367" t="s">
        <v>56</v>
      </c>
      <c r="M367" t="str">
        <f>Config!$B$3&amp;"?room="&amp;A367</f>
        <v>https://wph-bujv.github.io/wph-rooms/?room=B-L03-Q02C-01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" customHeight="1" x14ac:dyDescent="0.25">
      <c r="A368" t="s">
        <v>854</v>
      </c>
      <c r="B368" t="s">
        <v>653</v>
      </c>
      <c r="C368" t="s">
        <v>146</v>
      </c>
      <c r="D368" t="s">
        <v>855</v>
      </c>
      <c r="E368" t="s">
        <v>700</v>
      </c>
      <c r="F368" t="s">
        <v>110</v>
      </c>
      <c r="G368" s="9"/>
      <c r="H368" s="10"/>
      <c r="I368" s="9"/>
      <c r="J368" s="10"/>
      <c r="K368" s="9"/>
      <c r="L368" t="s">
        <v>56</v>
      </c>
      <c r="M368" t="str">
        <f>Config!$B$3&amp;"?room="&amp;A368</f>
        <v>https://wph-bujv.github.io/wph-rooms/?room=B-L03-Q02C-02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" customHeight="1" x14ac:dyDescent="0.25">
      <c r="A369" t="s">
        <v>856</v>
      </c>
      <c r="B369" t="s">
        <v>653</v>
      </c>
      <c r="C369" t="s">
        <v>146</v>
      </c>
      <c r="D369" t="s">
        <v>857</v>
      </c>
      <c r="E369" t="s">
        <v>700</v>
      </c>
      <c r="F369" t="s">
        <v>110</v>
      </c>
      <c r="G369" s="9"/>
      <c r="H369" s="10"/>
      <c r="I369" s="9"/>
      <c r="J369" s="10"/>
      <c r="K369" s="9"/>
      <c r="L369" t="s">
        <v>56</v>
      </c>
      <c r="M369" t="str">
        <f>Config!$B$3&amp;"?room="&amp;A369</f>
        <v>https://wph-bujv.github.io/wph-rooms/?room=B-L03-Q02C-03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" customHeight="1" x14ac:dyDescent="0.25">
      <c r="A370" t="s">
        <v>858</v>
      </c>
      <c r="B370" t="s">
        <v>653</v>
      </c>
      <c r="C370" t="s">
        <v>146</v>
      </c>
      <c r="D370" t="s">
        <v>859</v>
      </c>
      <c r="E370" t="s">
        <v>205</v>
      </c>
      <c r="F370" t="s">
        <v>110</v>
      </c>
      <c r="G370" s="9"/>
      <c r="H370" s="10"/>
      <c r="I370" s="9"/>
      <c r="J370" s="10"/>
      <c r="K370" s="9"/>
      <c r="L370" t="s">
        <v>56</v>
      </c>
      <c r="M370" t="str">
        <f>Config!$B$3&amp;"?room="&amp;A370</f>
        <v>https://wph-bujv.github.io/wph-rooms/?room=B-L03-Q02C1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" customHeight="1" x14ac:dyDescent="0.25">
      <c r="A371" t="s">
        <v>860</v>
      </c>
      <c r="B371" t="s">
        <v>653</v>
      </c>
      <c r="C371" t="s">
        <v>146</v>
      </c>
      <c r="D371" t="s">
        <v>861</v>
      </c>
      <c r="E371" t="s">
        <v>705</v>
      </c>
      <c r="F371" t="s">
        <v>110</v>
      </c>
      <c r="G371" s="9"/>
      <c r="H371" s="10"/>
      <c r="I371" s="9"/>
      <c r="J371" s="10"/>
      <c r="K371" s="9"/>
      <c r="L371" t="s">
        <v>56</v>
      </c>
      <c r="M371" t="str">
        <f>Config!$B$3&amp;"?room="&amp;A371</f>
        <v>https://wph-bujv.github.io/wph-rooms/?room=B-L03-Q02D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" customHeight="1" x14ac:dyDescent="0.25">
      <c r="A372" t="s">
        <v>862</v>
      </c>
      <c r="B372" t="s">
        <v>653</v>
      </c>
      <c r="C372" t="s">
        <v>146</v>
      </c>
      <c r="D372" t="s">
        <v>863</v>
      </c>
      <c r="E372" t="s">
        <v>791</v>
      </c>
      <c r="F372" t="s">
        <v>110</v>
      </c>
      <c r="G372" s="9"/>
      <c r="H372" s="10"/>
      <c r="I372" s="9"/>
      <c r="J372" s="10"/>
      <c r="K372" s="9"/>
      <c r="L372" t="s">
        <v>56</v>
      </c>
      <c r="M372" t="str">
        <f>Config!$B$3&amp;"?room="&amp;A372</f>
        <v>https://wph-bujv.github.io/wph-rooms/?room=B-L03-Q04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" customHeight="1" x14ac:dyDescent="0.25">
      <c r="A373" t="s">
        <v>864</v>
      </c>
      <c r="B373" t="s">
        <v>653</v>
      </c>
      <c r="C373" t="s">
        <v>146</v>
      </c>
      <c r="D373" t="s">
        <v>865</v>
      </c>
      <c r="E373" t="s">
        <v>794</v>
      </c>
      <c r="F373" t="s">
        <v>110</v>
      </c>
      <c r="G373" s="9"/>
      <c r="H373" s="10"/>
      <c r="I373" s="9"/>
      <c r="J373" s="10"/>
      <c r="K373" s="9"/>
      <c r="L373" t="s">
        <v>56</v>
      </c>
      <c r="M373" t="str">
        <f>Config!$B$3&amp;"?room="&amp;A373</f>
        <v>https://wph-bujv.github.io/wph-rooms/?room=B-L03-Q05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" customHeight="1" x14ac:dyDescent="0.25">
      <c r="A374" t="s">
        <v>866</v>
      </c>
      <c r="B374" t="s">
        <v>653</v>
      </c>
      <c r="C374" t="s">
        <v>146</v>
      </c>
      <c r="D374" t="s">
        <v>867</v>
      </c>
      <c r="E374" t="s">
        <v>711</v>
      </c>
      <c r="F374" t="s">
        <v>110</v>
      </c>
      <c r="G374" s="9"/>
      <c r="H374" s="10"/>
      <c r="I374" s="9"/>
      <c r="J374" s="10"/>
      <c r="K374" s="9"/>
      <c r="L374" t="s">
        <v>56</v>
      </c>
      <c r="M374" t="str">
        <f>Config!$B$3&amp;"?room="&amp;A374</f>
        <v>https://wph-bujv.github.io/wph-rooms/?room=B-L03-Q06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" customHeight="1" x14ac:dyDescent="0.25">
      <c r="A375" t="s">
        <v>868</v>
      </c>
      <c r="B375" t="s">
        <v>653</v>
      </c>
      <c r="C375" t="s">
        <v>146</v>
      </c>
      <c r="D375" t="s">
        <v>869</v>
      </c>
      <c r="E375" t="s">
        <v>725</v>
      </c>
      <c r="F375" t="s">
        <v>49</v>
      </c>
      <c r="G375" s="9"/>
      <c r="H375" s="10"/>
      <c r="I375" s="9"/>
      <c r="J375" s="10"/>
      <c r="K375" s="9"/>
      <c r="L375" t="s">
        <v>56</v>
      </c>
      <c r="M375" t="str">
        <f>Config!$B$3&amp;"?room="&amp;A375</f>
        <v>https://wph-bujv.github.io/wph-rooms/?room=B-L03-S03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" customHeight="1" x14ac:dyDescent="0.25">
      <c r="A376" t="s">
        <v>870</v>
      </c>
      <c r="B376" t="s">
        <v>653</v>
      </c>
      <c r="C376" t="s">
        <v>146</v>
      </c>
      <c r="D376" t="s">
        <v>871</v>
      </c>
      <c r="E376" t="s">
        <v>799</v>
      </c>
      <c r="F376" t="s">
        <v>49</v>
      </c>
      <c r="G376" s="9"/>
      <c r="H376" s="10"/>
      <c r="I376" s="9"/>
      <c r="J376" s="10"/>
      <c r="K376" s="9"/>
      <c r="L376" t="s">
        <v>56</v>
      </c>
      <c r="M376" t="str">
        <f>Config!$B$3&amp;"?room="&amp;A376</f>
        <v>https://wph-bujv.github.io/wph-rooms/?room=B-L03-S07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" customHeight="1" x14ac:dyDescent="0.25">
      <c r="A377" t="s">
        <v>872</v>
      </c>
      <c r="B377" t="s">
        <v>653</v>
      </c>
      <c r="C377" t="s">
        <v>221</v>
      </c>
      <c r="D377" t="s">
        <v>873</v>
      </c>
      <c r="E377" t="s">
        <v>659</v>
      </c>
      <c r="F377" t="s">
        <v>54</v>
      </c>
      <c r="G377" s="9"/>
      <c r="H377" s="10"/>
      <c r="I377" s="9"/>
      <c r="J377" s="10"/>
      <c r="K377" s="9"/>
      <c r="L377" t="s">
        <v>56</v>
      </c>
      <c r="M377" t="str">
        <f>Config!$B$3&amp;"?room="&amp;A377</f>
        <v>https://wph-bujv.github.io/wph-rooms/?room=B-L04-F02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" customHeight="1" x14ac:dyDescent="0.25">
      <c r="A378" t="s">
        <v>874</v>
      </c>
      <c r="B378" t="s">
        <v>653</v>
      </c>
      <c r="C378" t="s">
        <v>221</v>
      </c>
      <c r="D378" t="s">
        <v>875</v>
      </c>
      <c r="E378" t="s">
        <v>733</v>
      </c>
      <c r="F378" t="s">
        <v>54</v>
      </c>
      <c r="G378" s="9"/>
      <c r="H378" s="10"/>
      <c r="I378" s="9"/>
      <c r="J378" s="10"/>
      <c r="K378" s="9"/>
      <c r="L378" t="s">
        <v>56</v>
      </c>
      <c r="M378" t="str">
        <f>Config!$B$3&amp;"?room="&amp;A378</f>
        <v>https://wph-bujv.github.io/wph-rooms/?room=B-L04-F06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" customHeight="1" x14ac:dyDescent="0.25">
      <c r="A379" t="s">
        <v>876</v>
      </c>
      <c r="B379" t="s">
        <v>653</v>
      </c>
      <c r="C379" t="s">
        <v>221</v>
      </c>
      <c r="D379" t="s">
        <v>877</v>
      </c>
      <c r="E379" t="s">
        <v>66</v>
      </c>
      <c r="F379" t="s">
        <v>67</v>
      </c>
      <c r="G379" s="9"/>
      <c r="H379" s="10"/>
      <c r="I379" s="9"/>
      <c r="J379" s="10"/>
      <c r="K379" s="9"/>
      <c r="L379" t="s">
        <v>56</v>
      </c>
      <c r="M379" t="str">
        <f>Config!$B$3&amp;"?room="&amp;A379</f>
        <v>https://wph-bujv.github.io/wph-rooms/?room=B-L04-K01-01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" customHeight="1" x14ac:dyDescent="0.25">
      <c r="A380" t="s">
        <v>878</v>
      </c>
      <c r="B380" t="s">
        <v>653</v>
      </c>
      <c r="C380" t="s">
        <v>221</v>
      </c>
      <c r="D380" t="s">
        <v>879</v>
      </c>
      <c r="E380" t="s">
        <v>66</v>
      </c>
      <c r="F380" t="s">
        <v>67</v>
      </c>
      <c r="G380" s="9"/>
      <c r="H380" s="10"/>
      <c r="I380" s="9"/>
      <c r="J380" s="10"/>
      <c r="K380" s="9"/>
      <c r="L380" t="s">
        <v>56</v>
      </c>
      <c r="M380" t="str">
        <f>Config!$B$3&amp;"?room="&amp;A380</f>
        <v>https://wph-bujv.github.io/wph-rooms/?room=B-L04-K01-02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" customHeight="1" x14ac:dyDescent="0.25">
      <c r="A381" t="s">
        <v>880</v>
      </c>
      <c r="B381" t="s">
        <v>653</v>
      </c>
      <c r="C381" t="s">
        <v>221</v>
      </c>
      <c r="D381" t="s">
        <v>881</v>
      </c>
      <c r="E381" t="s">
        <v>662</v>
      </c>
      <c r="F381" t="s">
        <v>67</v>
      </c>
      <c r="G381" s="9"/>
      <c r="H381" s="10"/>
      <c r="I381" s="9"/>
      <c r="J381" s="10"/>
      <c r="K381" s="9"/>
      <c r="L381" t="s">
        <v>56</v>
      </c>
      <c r="M381" t="str">
        <f>Config!$B$3&amp;"?room="&amp;A381</f>
        <v>https://wph-bujv.github.io/wph-rooms/?room=B-L04-K01A-01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" customHeight="1" x14ac:dyDescent="0.25">
      <c r="A382" t="s">
        <v>882</v>
      </c>
      <c r="B382" t="s">
        <v>653</v>
      </c>
      <c r="C382" t="s">
        <v>221</v>
      </c>
      <c r="D382" t="s">
        <v>883</v>
      </c>
      <c r="E382" t="s">
        <v>662</v>
      </c>
      <c r="F382" t="s">
        <v>67</v>
      </c>
      <c r="G382" s="9"/>
      <c r="H382" s="10"/>
      <c r="I382" s="9"/>
      <c r="J382" s="10"/>
      <c r="K382" s="9"/>
      <c r="L382" t="s">
        <v>56</v>
      </c>
      <c r="M382" t="str">
        <f>Config!$B$3&amp;"?room="&amp;A382</f>
        <v>https://wph-bujv.github.io/wph-rooms/?room=B-L04-K01A-02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" customHeight="1" x14ac:dyDescent="0.25">
      <c r="A383" t="s">
        <v>884</v>
      </c>
      <c r="B383" t="s">
        <v>653</v>
      </c>
      <c r="C383" t="s">
        <v>221</v>
      </c>
      <c r="D383" t="s">
        <v>885</v>
      </c>
      <c r="E383" t="s">
        <v>662</v>
      </c>
      <c r="F383" t="s">
        <v>67</v>
      </c>
      <c r="G383" s="9"/>
      <c r="H383" s="10"/>
      <c r="I383" s="9"/>
      <c r="J383" s="10"/>
      <c r="K383" s="9"/>
      <c r="L383" t="s">
        <v>56</v>
      </c>
      <c r="M383" t="str">
        <f>Config!$B$3&amp;"?room="&amp;A383</f>
        <v>https://wph-bujv.github.io/wph-rooms/?room=B-L04-K01A-03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" customHeight="1" x14ac:dyDescent="0.25">
      <c r="A384" t="s">
        <v>886</v>
      </c>
      <c r="B384" t="s">
        <v>653</v>
      </c>
      <c r="C384" t="s">
        <v>221</v>
      </c>
      <c r="D384" t="s">
        <v>887</v>
      </c>
      <c r="E384" t="s">
        <v>79</v>
      </c>
      <c r="F384" t="s">
        <v>67</v>
      </c>
      <c r="G384" s="9"/>
      <c r="H384" s="10"/>
      <c r="I384" s="9"/>
      <c r="J384" s="10"/>
      <c r="K384" s="9"/>
      <c r="L384" t="s">
        <v>56</v>
      </c>
      <c r="M384" t="str">
        <f>Config!$B$3&amp;"?room="&amp;A384</f>
        <v>https://wph-bujv.github.io/wph-rooms/?room=B-L04-K01C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" customHeight="1" x14ac:dyDescent="0.25">
      <c r="A385" t="s">
        <v>888</v>
      </c>
      <c r="B385" t="s">
        <v>653</v>
      </c>
      <c r="C385" t="s">
        <v>221</v>
      </c>
      <c r="D385" t="s">
        <v>889</v>
      </c>
      <c r="E385" t="s">
        <v>667</v>
      </c>
      <c r="F385" t="s">
        <v>67</v>
      </c>
      <c r="G385" s="9"/>
      <c r="H385" s="10"/>
      <c r="I385" s="9"/>
      <c r="J385" s="10"/>
      <c r="K385" s="9"/>
      <c r="L385" t="s">
        <v>56</v>
      </c>
      <c r="M385" t="str">
        <f>Config!$B$3&amp;"?room="&amp;A385</f>
        <v>https://wph-bujv.github.io/wph-rooms/?room=B-L04-K01C1-01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" customHeight="1" x14ac:dyDescent="0.25">
      <c r="A386" t="s">
        <v>890</v>
      </c>
      <c r="B386" t="s">
        <v>653</v>
      </c>
      <c r="C386" t="s">
        <v>221</v>
      </c>
      <c r="D386" t="s">
        <v>891</v>
      </c>
      <c r="E386" t="s">
        <v>667</v>
      </c>
      <c r="F386" t="s">
        <v>67</v>
      </c>
      <c r="G386" s="9"/>
      <c r="H386" s="10"/>
      <c r="I386" s="9"/>
      <c r="J386" s="10"/>
      <c r="K386" s="9"/>
      <c r="L386" t="s">
        <v>56</v>
      </c>
      <c r="M386" t="str">
        <f>Config!$B$3&amp;"?room="&amp;A386</f>
        <v>https://wph-bujv.github.io/wph-rooms/?room=B-L04-K01C1-02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" customHeight="1" x14ac:dyDescent="0.25">
      <c r="A387" t="s">
        <v>892</v>
      </c>
      <c r="B387" t="s">
        <v>653</v>
      </c>
      <c r="C387" t="s">
        <v>221</v>
      </c>
      <c r="D387" t="s">
        <v>893</v>
      </c>
      <c r="E387" t="s">
        <v>86</v>
      </c>
      <c r="F387" t="s">
        <v>67</v>
      </c>
      <c r="G387" s="9"/>
      <c r="H387" s="10"/>
      <c r="I387" s="9"/>
      <c r="J387" s="10"/>
      <c r="K387" s="9"/>
      <c r="L387" t="s">
        <v>56</v>
      </c>
      <c r="M387" t="str">
        <f>Config!$B$3&amp;"?room="&amp;A387</f>
        <v>https://wph-bujv.github.io/wph-rooms/?room=B-L04-K01D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" customHeight="1" x14ac:dyDescent="0.25">
      <c r="A388" t="s">
        <v>894</v>
      </c>
      <c r="B388" t="s">
        <v>653</v>
      </c>
      <c r="C388" t="s">
        <v>221</v>
      </c>
      <c r="D388" t="s">
        <v>895</v>
      </c>
      <c r="E388" t="s">
        <v>89</v>
      </c>
      <c r="F388" t="s">
        <v>67</v>
      </c>
      <c r="G388" s="9"/>
      <c r="H388" s="10"/>
      <c r="I388" s="9"/>
      <c r="J388" s="10"/>
      <c r="K388" s="9"/>
      <c r="L388" t="s">
        <v>56</v>
      </c>
      <c r="M388" t="str">
        <f>Config!$B$3&amp;"?room="&amp;A388</f>
        <v>https://wph-bujv.github.io/wph-rooms/?room=B-L04-K02-01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" customHeight="1" x14ac:dyDescent="0.25">
      <c r="A389" t="s">
        <v>896</v>
      </c>
      <c r="B389" t="s">
        <v>653</v>
      </c>
      <c r="C389" t="s">
        <v>221</v>
      </c>
      <c r="D389" t="s">
        <v>897</v>
      </c>
      <c r="E389" t="s">
        <v>89</v>
      </c>
      <c r="F389" t="s">
        <v>67</v>
      </c>
      <c r="G389" s="9"/>
      <c r="H389" s="10"/>
      <c r="I389" s="9"/>
      <c r="J389" s="10"/>
      <c r="K389" s="9"/>
      <c r="L389" t="s">
        <v>56</v>
      </c>
      <c r="M389" t="str">
        <f>Config!$B$3&amp;"?room="&amp;A389</f>
        <v>https://wph-bujv.github.io/wph-rooms/?room=B-L04-K02-02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" customHeight="1" x14ac:dyDescent="0.25">
      <c r="A390" t="s">
        <v>898</v>
      </c>
      <c r="B390" t="s">
        <v>653</v>
      </c>
      <c r="C390" t="s">
        <v>221</v>
      </c>
      <c r="D390" t="s">
        <v>899</v>
      </c>
      <c r="E390" t="s">
        <v>89</v>
      </c>
      <c r="F390" t="s">
        <v>67</v>
      </c>
      <c r="G390" s="9"/>
      <c r="H390" s="10"/>
      <c r="I390" s="9"/>
      <c r="J390" s="10"/>
      <c r="K390" s="9"/>
      <c r="L390" t="s">
        <v>56</v>
      </c>
      <c r="M390" t="str">
        <f>Config!$B$3&amp;"?room="&amp;A390</f>
        <v>https://wph-bujv.github.io/wph-rooms/?room=B-L04-K02-03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" customHeight="1" x14ac:dyDescent="0.25">
      <c r="A391" t="s">
        <v>900</v>
      </c>
      <c r="B391" t="s">
        <v>653</v>
      </c>
      <c r="C391" t="s">
        <v>221</v>
      </c>
      <c r="D391" t="s">
        <v>901</v>
      </c>
      <c r="E391" t="s">
        <v>674</v>
      </c>
      <c r="F391" t="s">
        <v>67</v>
      </c>
      <c r="G391" s="9"/>
      <c r="H391" s="10"/>
      <c r="I391" s="9"/>
      <c r="J391" s="10"/>
      <c r="K391" s="9"/>
      <c r="L391" t="s">
        <v>56</v>
      </c>
      <c r="M391" t="str">
        <f>Config!$B$3&amp;"?room="&amp;A391</f>
        <v>https://wph-bujv.github.io/wph-rooms/?room=B-L04-K02A-01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" customHeight="1" x14ac:dyDescent="0.25">
      <c r="A392" t="s">
        <v>902</v>
      </c>
      <c r="B392" t="s">
        <v>653</v>
      </c>
      <c r="C392" t="s">
        <v>221</v>
      </c>
      <c r="D392" t="s">
        <v>903</v>
      </c>
      <c r="E392" t="s">
        <v>674</v>
      </c>
      <c r="F392" t="s">
        <v>67</v>
      </c>
      <c r="G392" s="9"/>
      <c r="H392" s="10"/>
      <c r="I392" s="9"/>
      <c r="J392" s="10"/>
      <c r="K392" s="9"/>
      <c r="L392" t="s">
        <v>56</v>
      </c>
      <c r="M392" t="str">
        <f>Config!$B$3&amp;"?room="&amp;A392</f>
        <v>https://wph-bujv.github.io/wph-rooms/?room=B-L04-K02A-02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" customHeight="1" x14ac:dyDescent="0.25">
      <c r="A393" t="s">
        <v>904</v>
      </c>
      <c r="B393" t="s">
        <v>653</v>
      </c>
      <c r="C393" t="s">
        <v>221</v>
      </c>
      <c r="D393" t="s">
        <v>905</v>
      </c>
      <c r="E393" t="s">
        <v>764</v>
      </c>
      <c r="F393" t="s">
        <v>67</v>
      </c>
      <c r="G393" s="9"/>
      <c r="H393" s="10"/>
      <c r="I393" s="9"/>
      <c r="J393" s="10"/>
      <c r="K393" s="9"/>
      <c r="L393" t="s">
        <v>56</v>
      </c>
      <c r="M393" t="str">
        <f>Config!$B$3&amp;"?room="&amp;A393</f>
        <v>https://wph-bujv.github.io/wph-rooms/?room=B-L04-K02C-01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" customHeight="1" x14ac:dyDescent="0.25">
      <c r="A394" t="s">
        <v>906</v>
      </c>
      <c r="B394" t="s">
        <v>653</v>
      </c>
      <c r="C394" t="s">
        <v>221</v>
      </c>
      <c r="D394" t="s">
        <v>907</v>
      </c>
      <c r="E394" t="s">
        <v>764</v>
      </c>
      <c r="F394" t="s">
        <v>67</v>
      </c>
      <c r="G394" s="9"/>
      <c r="H394" s="10"/>
      <c r="I394" s="9"/>
      <c r="J394" s="10"/>
      <c r="K394" s="9"/>
      <c r="L394" t="s">
        <v>56</v>
      </c>
      <c r="M394" t="str">
        <f>Config!$B$3&amp;"?room="&amp;A394</f>
        <v>https://wph-bujv.github.io/wph-rooms/?room=B-L04-K02C-02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" customHeight="1" x14ac:dyDescent="0.25">
      <c r="A395" t="s">
        <v>908</v>
      </c>
      <c r="B395" t="s">
        <v>653</v>
      </c>
      <c r="C395" t="s">
        <v>221</v>
      </c>
      <c r="D395" t="s">
        <v>909</v>
      </c>
      <c r="E395" t="s">
        <v>679</v>
      </c>
      <c r="F395" t="s">
        <v>67</v>
      </c>
      <c r="G395" s="9"/>
      <c r="H395" s="10"/>
      <c r="I395" s="9"/>
      <c r="J395" s="10"/>
      <c r="K395" s="9"/>
      <c r="L395" t="s">
        <v>56</v>
      </c>
      <c r="M395" t="str">
        <f>Config!$B$3&amp;"?room="&amp;A395</f>
        <v>https://wph-bujv.github.io/wph-rooms/?room=B-L04-K03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" customHeight="1" x14ac:dyDescent="0.25">
      <c r="A396" t="s">
        <v>910</v>
      </c>
      <c r="B396" t="s">
        <v>653</v>
      </c>
      <c r="C396" t="s">
        <v>221</v>
      </c>
      <c r="D396" t="s">
        <v>911</v>
      </c>
      <c r="E396" t="s">
        <v>912</v>
      </c>
      <c r="F396" t="s">
        <v>683</v>
      </c>
      <c r="G396" s="9"/>
      <c r="H396" s="10"/>
      <c r="I396" s="9"/>
      <c r="J396" s="10"/>
      <c r="K396" s="9"/>
      <c r="L396" t="s">
        <v>56</v>
      </c>
      <c r="M396" t="str">
        <f>Config!$B$3&amp;"?room="&amp;A396</f>
        <v>https://wph-bujv.github.io/wph-rooms/?room=B-L04-KADA2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" customHeight="1" x14ac:dyDescent="0.25">
      <c r="A397" t="s">
        <v>913</v>
      </c>
      <c r="B397" t="s">
        <v>653</v>
      </c>
      <c r="C397" t="s">
        <v>221</v>
      </c>
      <c r="D397" t="s">
        <v>914</v>
      </c>
      <c r="E397" t="s">
        <v>113</v>
      </c>
      <c r="F397" t="s">
        <v>110</v>
      </c>
      <c r="G397" s="9"/>
      <c r="H397" s="10"/>
      <c r="I397" s="9"/>
      <c r="J397" s="10"/>
      <c r="K397" s="9"/>
      <c r="L397" t="s">
        <v>56</v>
      </c>
      <c r="M397" t="str">
        <f>Config!$B$3&amp;"?room="&amp;A397</f>
        <v>https://wph-bujv.github.io/wph-rooms/?room=B-L04-Q01C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" customHeight="1" x14ac:dyDescent="0.25">
      <c r="A398" t="s">
        <v>915</v>
      </c>
      <c r="B398" t="s">
        <v>653</v>
      </c>
      <c r="C398" t="s">
        <v>221</v>
      </c>
      <c r="D398" t="s">
        <v>916</v>
      </c>
      <c r="E398" t="s">
        <v>120</v>
      </c>
      <c r="F398" t="s">
        <v>110</v>
      </c>
      <c r="G398" s="9"/>
      <c r="H398" s="10"/>
      <c r="I398" s="9"/>
      <c r="J398" s="10"/>
      <c r="K398" s="9"/>
      <c r="L398" t="s">
        <v>56</v>
      </c>
      <c r="M398" t="str">
        <f>Config!$B$3&amp;"?room="&amp;A398</f>
        <v>https://wph-bujv.github.io/wph-rooms/?room=B-L04-Q01C1-01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" customHeight="1" x14ac:dyDescent="0.25">
      <c r="A399" t="s">
        <v>917</v>
      </c>
      <c r="B399" t="s">
        <v>653</v>
      </c>
      <c r="C399" t="s">
        <v>221</v>
      </c>
      <c r="D399" t="s">
        <v>918</v>
      </c>
      <c r="E399" t="s">
        <v>120</v>
      </c>
      <c r="F399" t="s">
        <v>110</v>
      </c>
      <c r="G399" s="9"/>
      <c r="H399" s="10"/>
      <c r="I399" s="9"/>
      <c r="J399" s="10"/>
      <c r="K399" s="9"/>
      <c r="L399" t="s">
        <v>56</v>
      </c>
      <c r="M399" t="str">
        <f>Config!$B$3&amp;"?room="&amp;A399</f>
        <v>https://wph-bujv.github.io/wph-rooms/?room=B-L04-Q01C1-02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" customHeight="1" x14ac:dyDescent="0.25">
      <c r="A400" t="s">
        <v>919</v>
      </c>
      <c r="B400" t="s">
        <v>653</v>
      </c>
      <c r="C400" t="s">
        <v>221</v>
      </c>
      <c r="D400" t="s">
        <v>920</v>
      </c>
      <c r="E400" t="s">
        <v>120</v>
      </c>
      <c r="F400" t="s">
        <v>110</v>
      </c>
      <c r="G400" s="9"/>
      <c r="H400" s="10"/>
      <c r="I400" s="9"/>
      <c r="J400" s="10"/>
      <c r="K400" s="9"/>
      <c r="L400" t="s">
        <v>56</v>
      </c>
      <c r="M400" t="str">
        <f>Config!$B$3&amp;"?room="&amp;A400</f>
        <v>https://wph-bujv.github.io/wph-rooms/?room=B-L04-Q01C1-03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" customHeight="1" x14ac:dyDescent="0.25">
      <c r="A401" t="s">
        <v>921</v>
      </c>
      <c r="B401" t="s">
        <v>653</v>
      </c>
      <c r="C401" t="s">
        <v>221</v>
      </c>
      <c r="D401" t="s">
        <v>922</v>
      </c>
      <c r="E401" t="s">
        <v>700</v>
      </c>
      <c r="F401" t="s">
        <v>110</v>
      </c>
      <c r="G401" s="9"/>
      <c r="H401" s="10"/>
      <c r="I401" s="9"/>
      <c r="J401" s="10"/>
      <c r="K401" s="9"/>
      <c r="L401" t="s">
        <v>56</v>
      </c>
      <c r="M401" t="str">
        <f>Config!$B$3&amp;"?room="&amp;A401</f>
        <v>https://wph-bujv.github.io/wph-rooms/?room=B-L04-Q02C-01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" customHeight="1" x14ac:dyDescent="0.25">
      <c r="A402" t="s">
        <v>923</v>
      </c>
      <c r="B402" t="s">
        <v>653</v>
      </c>
      <c r="C402" t="s">
        <v>221</v>
      </c>
      <c r="D402" t="s">
        <v>924</v>
      </c>
      <c r="E402" t="s">
        <v>700</v>
      </c>
      <c r="F402" t="s">
        <v>110</v>
      </c>
      <c r="G402" s="9"/>
      <c r="H402" s="10"/>
      <c r="I402" s="9"/>
      <c r="J402" s="10"/>
      <c r="K402" s="9"/>
      <c r="L402" t="s">
        <v>56</v>
      </c>
      <c r="M402" t="str">
        <f>Config!$B$3&amp;"?room="&amp;A402</f>
        <v>https://wph-bujv.github.io/wph-rooms/?room=B-L04-Q02C-02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" customHeight="1" x14ac:dyDescent="0.25">
      <c r="A403" t="s">
        <v>925</v>
      </c>
      <c r="B403" t="s">
        <v>653</v>
      </c>
      <c r="C403" t="s">
        <v>221</v>
      </c>
      <c r="D403" t="s">
        <v>926</v>
      </c>
      <c r="E403" t="s">
        <v>700</v>
      </c>
      <c r="F403" t="s">
        <v>110</v>
      </c>
      <c r="G403" s="9"/>
      <c r="H403" s="10"/>
      <c r="I403" s="9"/>
      <c r="J403" s="10"/>
      <c r="K403" s="9"/>
      <c r="L403" t="s">
        <v>56</v>
      </c>
      <c r="M403" t="str">
        <f>Config!$B$3&amp;"?room="&amp;A403</f>
        <v>https://wph-bujv.github.io/wph-rooms/?room=B-L04-Q02C-03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" customHeight="1" x14ac:dyDescent="0.25">
      <c r="A404" t="s">
        <v>927</v>
      </c>
      <c r="B404" t="s">
        <v>653</v>
      </c>
      <c r="C404" t="s">
        <v>221</v>
      </c>
      <c r="D404" t="s">
        <v>928</v>
      </c>
      <c r="E404" t="s">
        <v>205</v>
      </c>
      <c r="F404" t="s">
        <v>110</v>
      </c>
      <c r="G404" s="9"/>
      <c r="H404" s="10"/>
      <c r="I404" s="9"/>
      <c r="J404" s="10"/>
      <c r="K404" s="9"/>
      <c r="L404" t="s">
        <v>56</v>
      </c>
      <c r="M404" t="str">
        <f>Config!$B$3&amp;"?room="&amp;A404</f>
        <v>https://wph-bujv.github.io/wph-rooms/?room=B-L04-Q02C1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" customHeight="1" x14ac:dyDescent="0.25">
      <c r="A405" t="s">
        <v>929</v>
      </c>
      <c r="B405" t="s">
        <v>653</v>
      </c>
      <c r="C405" t="s">
        <v>221</v>
      </c>
      <c r="D405" t="s">
        <v>930</v>
      </c>
      <c r="E405" t="s">
        <v>705</v>
      </c>
      <c r="F405" t="s">
        <v>110</v>
      </c>
      <c r="G405" s="9"/>
      <c r="H405" s="10"/>
      <c r="I405" s="9"/>
      <c r="J405" s="10"/>
      <c r="K405" s="9"/>
      <c r="L405" t="s">
        <v>56</v>
      </c>
      <c r="M405" t="str">
        <f>Config!$B$3&amp;"?room="&amp;A405</f>
        <v>https://wph-bujv.github.io/wph-rooms/?room=B-L04-Q02D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" customHeight="1" x14ac:dyDescent="0.25">
      <c r="A406" t="s">
        <v>931</v>
      </c>
      <c r="B406" t="s">
        <v>653</v>
      </c>
      <c r="C406" t="s">
        <v>221</v>
      </c>
      <c r="D406" t="s">
        <v>932</v>
      </c>
      <c r="E406" t="s">
        <v>791</v>
      </c>
      <c r="F406" t="s">
        <v>110</v>
      </c>
      <c r="G406" s="9"/>
      <c r="H406" s="10"/>
      <c r="I406" s="9"/>
      <c r="J406" s="10"/>
      <c r="K406" s="9"/>
      <c r="L406" t="s">
        <v>56</v>
      </c>
      <c r="M406" t="str">
        <f>Config!$B$3&amp;"?room="&amp;A406</f>
        <v>https://wph-bujv.github.io/wph-rooms/?room=B-L04-Q04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" customHeight="1" x14ac:dyDescent="0.25">
      <c r="A407" t="s">
        <v>933</v>
      </c>
      <c r="B407" t="s">
        <v>653</v>
      </c>
      <c r="C407" t="s">
        <v>221</v>
      </c>
      <c r="D407" t="s">
        <v>934</v>
      </c>
      <c r="E407" t="s">
        <v>794</v>
      </c>
      <c r="F407" t="s">
        <v>110</v>
      </c>
      <c r="G407" s="9"/>
      <c r="H407" s="10"/>
      <c r="I407" s="9"/>
      <c r="J407" s="10"/>
      <c r="K407" s="9"/>
      <c r="L407" t="s">
        <v>56</v>
      </c>
      <c r="M407" t="str">
        <f>Config!$B$3&amp;"?room="&amp;A407</f>
        <v>https://wph-bujv.github.io/wph-rooms/?room=B-L04-Q05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" customHeight="1" x14ac:dyDescent="0.25">
      <c r="A408" t="s">
        <v>935</v>
      </c>
      <c r="B408" t="s">
        <v>653</v>
      </c>
      <c r="C408" t="s">
        <v>221</v>
      </c>
      <c r="D408" t="s">
        <v>936</v>
      </c>
      <c r="E408" t="s">
        <v>711</v>
      </c>
      <c r="F408" t="s">
        <v>110</v>
      </c>
      <c r="G408" s="9"/>
      <c r="H408" s="10"/>
      <c r="I408" s="9"/>
      <c r="J408" s="10"/>
      <c r="K408" s="9"/>
      <c r="L408" t="s">
        <v>56</v>
      </c>
      <c r="M408" t="str">
        <f>Config!$B$3&amp;"?room="&amp;A408</f>
        <v>https://wph-bujv.github.io/wph-rooms/?room=B-L04-Q06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" customHeight="1" x14ac:dyDescent="0.25">
      <c r="A409" t="s">
        <v>937</v>
      </c>
      <c r="B409" t="s">
        <v>653</v>
      </c>
      <c r="C409" t="s">
        <v>221</v>
      </c>
      <c r="D409" t="s">
        <v>938</v>
      </c>
      <c r="E409" t="s">
        <v>725</v>
      </c>
      <c r="F409" t="s">
        <v>49</v>
      </c>
      <c r="G409" s="9"/>
      <c r="H409" s="10"/>
      <c r="I409" s="9"/>
      <c r="J409" s="10"/>
      <c r="K409" s="9"/>
      <c r="L409" t="s">
        <v>56</v>
      </c>
      <c r="M409" t="str">
        <f>Config!$B$3&amp;"?room="&amp;A409</f>
        <v>https://wph-bujv.github.io/wph-rooms/?room=B-L04-S03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" customHeight="1" x14ac:dyDescent="0.25">
      <c r="A410" t="s">
        <v>939</v>
      </c>
      <c r="B410" t="s">
        <v>653</v>
      </c>
      <c r="C410" t="s">
        <v>221</v>
      </c>
      <c r="D410" t="s">
        <v>940</v>
      </c>
      <c r="E410" t="s">
        <v>799</v>
      </c>
      <c r="F410" t="s">
        <v>49</v>
      </c>
      <c r="G410" s="9"/>
      <c r="H410" s="10"/>
      <c r="I410" s="9"/>
      <c r="J410" s="10"/>
      <c r="K410" s="9"/>
      <c r="L410" t="s">
        <v>56</v>
      </c>
      <c r="M410" t="str">
        <f>Config!$B$3&amp;"?room="&amp;A410</f>
        <v>https://wph-bujv.github.io/wph-rooms/?room=B-L04-S07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" customHeight="1" x14ac:dyDescent="0.25">
      <c r="A411" t="s">
        <v>941</v>
      </c>
      <c r="B411" t="s">
        <v>653</v>
      </c>
      <c r="C411" t="s">
        <v>293</v>
      </c>
      <c r="D411" t="s">
        <v>942</v>
      </c>
      <c r="E411" t="s">
        <v>659</v>
      </c>
      <c r="F411" t="s">
        <v>54</v>
      </c>
      <c r="G411" s="9"/>
      <c r="H411" s="10"/>
      <c r="I411" s="9"/>
      <c r="J411" s="10"/>
      <c r="K411" s="9"/>
      <c r="L411" t="s">
        <v>56</v>
      </c>
      <c r="M411" t="str">
        <f>Config!$B$3&amp;"?room="&amp;A411</f>
        <v>https://wph-bujv.github.io/wph-rooms/?room=B-L05-F02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" customHeight="1" x14ac:dyDescent="0.25">
      <c r="A412" t="s">
        <v>943</v>
      </c>
      <c r="B412" t="s">
        <v>653</v>
      </c>
      <c r="C412" t="s">
        <v>293</v>
      </c>
      <c r="D412" t="s">
        <v>944</v>
      </c>
      <c r="E412" t="s">
        <v>733</v>
      </c>
      <c r="F412" t="s">
        <v>54</v>
      </c>
      <c r="G412" s="9"/>
      <c r="H412" s="10"/>
      <c r="I412" s="9"/>
      <c r="J412" s="10"/>
      <c r="K412" s="9"/>
      <c r="L412" t="s">
        <v>56</v>
      </c>
      <c r="M412" t="str">
        <f>Config!$B$3&amp;"?room="&amp;A412</f>
        <v>https://wph-bujv.github.io/wph-rooms/?room=B-L05-F06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" customHeight="1" x14ac:dyDescent="0.25">
      <c r="A413" t="s">
        <v>945</v>
      </c>
      <c r="B413" t="s">
        <v>653</v>
      </c>
      <c r="C413" t="s">
        <v>293</v>
      </c>
      <c r="D413" t="s">
        <v>946</v>
      </c>
      <c r="E413" t="s">
        <v>66</v>
      </c>
      <c r="F413" t="s">
        <v>67</v>
      </c>
      <c r="G413" s="9"/>
      <c r="H413" s="10"/>
      <c r="I413" s="9"/>
      <c r="J413" s="10"/>
      <c r="K413" s="9"/>
      <c r="L413" t="s">
        <v>56</v>
      </c>
      <c r="M413" t="str">
        <f>Config!$B$3&amp;"?room="&amp;A413</f>
        <v>https://wph-bujv.github.io/wph-rooms/?room=B-L05-K01-01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" customHeight="1" x14ac:dyDescent="0.25">
      <c r="A414" t="s">
        <v>947</v>
      </c>
      <c r="B414" t="s">
        <v>653</v>
      </c>
      <c r="C414" t="s">
        <v>293</v>
      </c>
      <c r="D414" t="s">
        <v>948</v>
      </c>
      <c r="E414" t="s">
        <v>66</v>
      </c>
      <c r="F414" t="s">
        <v>67</v>
      </c>
      <c r="G414" s="9"/>
      <c r="H414" s="10"/>
      <c r="I414" s="9"/>
      <c r="J414" s="10"/>
      <c r="K414" s="9"/>
      <c r="L414" t="s">
        <v>56</v>
      </c>
      <c r="M414" t="str">
        <f>Config!$B$3&amp;"?room="&amp;A414</f>
        <v>https://wph-bujv.github.io/wph-rooms/?room=B-L05-K01-02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" customHeight="1" x14ac:dyDescent="0.25">
      <c r="A415" t="s">
        <v>949</v>
      </c>
      <c r="B415" t="s">
        <v>653</v>
      </c>
      <c r="C415" t="s">
        <v>293</v>
      </c>
      <c r="D415" t="s">
        <v>950</v>
      </c>
      <c r="E415" t="s">
        <v>662</v>
      </c>
      <c r="F415" t="s">
        <v>67</v>
      </c>
      <c r="G415" s="9"/>
      <c r="H415" s="10"/>
      <c r="I415" s="9"/>
      <c r="J415" s="10"/>
      <c r="K415" s="9"/>
      <c r="L415" t="s">
        <v>56</v>
      </c>
      <c r="M415" t="str">
        <f>Config!$B$3&amp;"?room="&amp;A415</f>
        <v>https://wph-bujv.github.io/wph-rooms/?room=B-L05-K01A-01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" customHeight="1" x14ac:dyDescent="0.25">
      <c r="A416" t="s">
        <v>951</v>
      </c>
      <c r="B416" t="s">
        <v>653</v>
      </c>
      <c r="C416" t="s">
        <v>293</v>
      </c>
      <c r="D416" t="s">
        <v>952</v>
      </c>
      <c r="E416" t="s">
        <v>662</v>
      </c>
      <c r="F416" t="s">
        <v>67</v>
      </c>
      <c r="G416" s="9"/>
      <c r="H416" s="10"/>
      <c r="I416" s="9"/>
      <c r="J416" s="10"/>
      <c r="K416" s="9"/>
      <c r="L416" t="s">
        <v>56</v>
      </c>
      <c r="M416" t="str">
        <f>Config!$B$3&amp;"?room="&amp;A416</f>
        <v>https://wph-bujv.github.io/wph-rooms/?room=B-L05-K01A-02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" customHeight="1" x14ac:dyDescent="0.25">
      <c r="A417" t="s">
        <v>953</v>
      </c>
      <c r="B417" t="s">
        <v>653</v>
      </c>
      <c r="C417" t="s">
        <v>293</v>
      </c>
      <c r="D417" t="s">
        <v>954</v>
      </c>
      <c r="E417" t="s">
        <v>662</v>
      </c>
      <c r="F417" t="s">
        <v>67</v>
      </c>
      <c r="G417" s="9"/>
      <c r="H417" s="10"/>
      <c r="I417" s="9"/>
      <c r="J417" s="10"/>
      <c r="K417" s="9"/>
      <c r="L417" t="s">
        <v>56</v>
      </c>
      <c r="M417" t="str">
        <f>Config!$B$3&amp;"?room="&amp;A417</f>
        <v>https://wph-bujv.github.io/wph-rooms/?room=B-L05-K01A-03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" customHeight="1" x14ac:dyDescent="0.25">
      <c r="A418" t="s">
        <v>955</v>
      </c>
      <c r="B418" t="s">
        <v>653</v>
      </c>
      <c r="C418" t="s">
        <v>293</v>
      </c>
      <c r="D418" t="s">
        <v>956</v>
      </c>
      <c r="E418" t="s">
        <v>79</v>
      </c>
      <c r="F418" t="s">
        <v>67</v>
      </c>
      <c r="G418" s="9"/>
      <c r="H418" s="10"/>
      <c r="I418" s="9"/>
      <c r="J418" s="10"/>
      <c r="K418" s="9"/>
      <c r="L418" t="s">
        <v>56</v>
      </c>
      <c r="M418" t="str">
        <f>Config!$B$3&amp;"?room="&amp;A418</f>
        <v>https://wph-bujv.github.io/wph-rooms/?room=B-L05-K01C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" customHeight="1" x14ac:dyDescent="0.25">
      <c r="A419" t="s">
        <v>957</v>
      </c>
      <c r="B419" t="s">
        <v>653</v>
      </c>
      <c r="C419" t="s">
        <v>293</v>
      </c>
      <c r="D419" t="s">
        <v>958</v>
      </c>
      <c r="E419" t="s">
        <v>667</v>
      </c>
      <c r="F419" t="s">
        <v>67</v>
      </c>
      <c r="G419" s="9"/>
      <c r="H419" s="10"/>
      <c r="I419" s="9"/>
      <c r="J419" s="10"/>
      <c r="K419" s="9"/>
      <c r="L419" t="s">
        <v>56</v>
      </c>
      <c r="M419" t="str">
        <f>Config!$B$3&amp;"?room="&amp;A419</f>
        <v>https://wph-bujv.github.io/wph-rooms/?room=B-L05-K01C1-01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" customHeight="1" x14ac:dyDescent="0.25">
      <c r="A420" t="s">
        <v>959</v>
      </c>
      <c r="B420" t="s">
        <v>653</v>
      </c>
      <c r="C420" t="s">
        <v>293</v>
      </c>
      <c r="D420" t="s">
        <v>960</v>
      </c>
      <c r="E420" t="s">
        <v>667</v>
      </c>
      <c r="F420" t="s">
        <v>67</v>
      </c>
      <c r="G420" s="9"/>
      <c r="H420" s="10"/>
      <c r="I420" s="9"/>
      <c r="J420" s="10"/>
      <c r="K420" s="9"/>
      <c r="L420" t="s">
        <v>56</v>
      </c>
      <c r="M420" t="str">
        <f>Config!$B$3&amp;"?room="&amp;A420</f>
        <v>https://wph-bujv.github.io/wph-rooms/?room=B-L05-K01C1-02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" customHeight="1" x14ac:dyDescent="0.25">
      <c r="A421" t="s">
        <v>961</v>
      </c>
      <c r="B421" t="s">
        <v>653</v>
      </c>
      <c r="C421" t="s">
        <v>293</v>
      </c>
      <c r="D421" t="s">
        <v>962</v>
      </c>
      <c r="E421" t="s">
        <v>86</v>
      </c>
      <c r="F421" t="s">
        <v>67</v>
      </c>
      <c r="G421" s="9"/>
      <c r="H421" s="10"/>
      <c r="I421" s="9"/>
      <c r="J421" s="10"/>
      <c r="K421" s="9"/>
      <c r="L421" t="s">
        <v>56</v>
      </c>
      <c r="M421" t="str">
        <f>Config!$B$3&amp;"?room="&amp;A421</f>
        <v>https://wph-bujv.github.io/wph-rooms/?room=B-L05-K01D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" customHeight="1" x14ac:dyDescent="0.25">
      <c r="A422" t="s">
        <v>963</v>
      </c>
      <c r="B422" t="s">
        <v>653</v>
      </c>
      <c r="C422" t="s">
        <v>293</v>
      </c>
      <c r="D422" t="s">
        <v>964</v>
      </c>
      <c r="E422" t="s">
        <v>89</v>
      </c>
      <c r="F422" t="s">
        <v>67</v>
      </c>
      <c r="G422" s="9"/>
      <c r="H422" s="10"/>
      <c r="I422" s="9"/>
      <c r="J422" s="10"/>
      <c r="K422" s="9"/>
      <c r="L422" t="s">
        <v>56</v>
      </c>
      <c r="M422" t="str">
        <f>Config!$B$3&amp;"?room="&amp;A422</f>
        <v>https://wph-bujv.github.io/wph-rooms/?room=B-L05-K02-01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" customHeight="1" x14ac:dyDescent="0.25">
      <c r="A423" t="s">
        <v>965</v>
      </c>
      <c r="B423" t="s">
        <v>653</v>
      </c>
      <c r="C423" t="s">
        <v>293</v>
      </c>
      <c r="D423" t="s">
        <v>966</v>
      </c>
      <c r="E423" t="s">
        <v>89</v>
      </c>
      <c r="F423" t="s">
        <v>67</v>
      </c>
      <c r="G423" s="9"/>
      <c r="H423" s="10"/>
      <c r="I423" s="9"/>
      <c r="J423" s="10"/>
      <c r="K423" s="9"/>
      <c r="L423" t="s">
        <v>56</v>
      </c>
      <c r="M423" t="str">
        <f>Config!$B$3&amp;"?room="&amp;A423</f>
        <v>https://wph-bujv.github.io/wph-rooms/?room=B-L05-K02-02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" customHeight="1" x14ac:dyDescent="0.25">
      <c r="A424" t="s">
        <v>967</v>
      </c>
      <c r="B424" t="s">
        <v>653</v>
      </c>
      <c r="C424" t="s">
        <v>293</v>
      </c>
      <c r="D424" t="s">
        <v>968</v>
      </c>
      <c r="E424" t="s">
        <v>89</v>
      </c>
      <c r="F424" t="s">
        <v>67</v>
      </c>
      <c r="G424" s="9"/>
      <c r="H424" s="10"/>
      <c r="I424" s="9"/>
      <c r="J424" s="10"/>
      <c r="K424" s="9"/>
      <c r="L424" t="s">
        <v>56</v>
      </c>
      <c r="M424" t="str">
        <f>Config!$B$3&amp;"?room="&amp;A424</f>
        <v>https://wph-bujv.github.io/wph-rooms/?room=B-L05-K02-03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" customHeight="1" x14ac:dyDescent="0.25">
      <c r="A425" t="s">
        <v>969</v>
      </c>
      <c r="B425" t="s">
        <v>653</v>
      </c>
      <c r="C425" t="s">
        <v>293</v>
      </c>
      <c r="D425" t="s">
        <v>970</v>
      </c>
      <c r="E425" t="s">
        <v>674</v>
      </c>
      <c r="F425" t="s">
        <v>67</v>
      </c>
      <c r="G425" s="9"/>
      <c r="H425" s="10"/>
      <c r="I425" s="9"/>
      <c r="J425" s="10"/>
      <c r="K425" s="9"/>
      <c r="L425" t="s">
        <v>56</v>
      </c>
      <c r="M425" t="str">
        <f>Config!$B$3&amp;"?room="&amp;A425</f>
        <v>https://wph-bujv.github.io/wph-rooms/?room=B-L05-K02A-01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" customHeight="1" x14ac:dyDescent="0.25">
      <c r="A426" t="s">
        <v>971</v>
      </c>
      <c r="B426" t="s">
        <v>653</v>
      </c>
      <c r="C426" t="s">
        <v>293</v>
      </c>
      <c r="D426" t="s">
        <v>972</v>
      </c>
      <c r="E426" t="s">
        <v>674</v>
      </c>
      <c r="F426" t="s">
        <v>67</v>
      </c>
      <c r="G426" s="9"/>
      <c r="H426" s="10"/>
      <c r="I426" s="9"/>
      <c r="J426" s="10"/>
      <c r="K426" s="9"/>
      <c r="L426" t="s">
        <v>56</v>
      </c>
      <c r="M426" t="str">
        <f>Config!$B$3&amp;"?room="&amp;A426</f>
        <v>https://wph-bujv.github.io/wph-rooms/?room=B-L05-K02A-02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" customHeight="1" x14ac:dyDescent="0.25">
      <c r="A427" t="s">
        <v>973</v>
      </c>
      <c r="B427" t="s">
        <v>653</v>
      </c>
      <c r="C427" t="s">
        <v>293</v>
      </c>
      <c r="D427" t="s">
        <v>974</v>
      </c>
      <c r="E427" t="s">
        <v>764</v>
      </c>
      <c r="F427" t="s">
        <v>67</v>
      </c>
      <c r="G427" s="9"/>
      <c r="H427" s="10"/>
      <c r="I427" s="9"/>
      <c r="J427" s="10"/>
      <c r="K427" s="9"/>
      <c r="L427" t="s">
        <v>56</v>
      </c>
      <c r="M427" t="str">
        <f>Config!$B$3&amp;"?room="&amp;A427</f>
        <v>https://wph-bujv.github.io/wph-rooms/?room=B-L05-K02C-01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" customHeight="1" x14ac:dyDescent="0.25">
      <c r="A428" t="s">
        <v>975</v>
      </c>
      <c r="B428" t="s">
        <v>653</v>
      </c>
      <c r="C428" t="s">
        <v>293</v>
      </c>
      <c r="D428" t="s">
        <v>976</v>
      </c>
      <c r="E428" t="s">
        <v>764</v>
      </c>
      <c r="F428" t="s">
        <v>67</v>
      </c>
      <c r="G428" s="9"/>
      <c r="H428" s="10"/>
      <c r="I428" s="9"/>
      <c r="J428" s="10"/>
      <c r="K428" s="9"/>
      <c r="L428" t="s">
        <v>56</v>
      </c>
      <c r="M428" t="str">
        <f>Config!$B$3&amp;"?room="&amp;A428</f>
        <v>https://wph-bujv.github.io/wph-rooms/?room=B-L05-K02C-02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" customHeight="1" x14ac:dyDescent="0.25">
      <c r="A429" t="s">
        <v>977</v>
      </c>
      <c r="B429" t="s">
        <v>653</v>
      </c>
      <c r="C429" t="s">
        <v>293</v>
      </c>
      <c r="D429" t="s">
        <v>978</v>
      </c>
      <c r="E429" t="s">
        <v>679</v>
      </c>
      <c r="F429" t="s">
        <v>67</v>
      </c>
      <c r="G429" s="9"/>
      <c r="H429" s="10"/>
      <c r="I429" s="9"/>
      <c r="J429" s="10"/>
      <c r="K429" s="9"/>
      <c r="L429" t="s">
        <v>56</v>
      </c>
      <c r="M429" t="str">
        <f>Config!$B$3&amp;"?room="&amp;A429</f>
        <v>https://wph-bujv.github.io/wph-rooms/?room=B-L05-K03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" customHeight="1" x14ac:dyDescent="0.25">
      <c r="A430" t="s">
        <v>979</v>
      </c>
      <c r="B430" t="s">
        <v>653</v>
      </c>
      <c r="C430" t="s">
        <v>293</v>
      </c>
      <c r="D430" t="s">
        <v>980</v>
      </c>
      <c r="E430" t="s">
        <v>912</v>
      </c>
      <c r="F430" t="s">
        <v>683</v>
      </c>
      <c r="G430" s="9"/>
      <c r="H430" s="10"/>
      <c r="I430" s="9"/>
      <c r="J430" s="10"/>
      <c r="K430" s="9"/>
      <c r="L430" t="s">
        <v>56</v>
      </c>
      <c r="M430" t="str">
        <f>Config!$B$3&amp;"?room="&amp;A430</f>
        <v>https://wph-bujv.github.io/wph-rooms/?room=B-L05-KADA2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" customHeight="1" x14ac:dyDescent="0.25">
      <c r="A431" t="s">
        <v>981</v>
      </c>
      <c r="B431" t="s">
        <v>653</v>
      </c>
      <c r="C431" t="s">
        <v>293</v>
      </c>
      <c r="D431" t="s">
        <v>982</v>
      </c>
      <c r="E431" t="s">
        <v>113</v>
      </c>
      <c r="F431" t="s">
        <v>110</v>
      </c>
      <c r="G431" s="9"/>
      <c r="H431" s="10"/>
      <c r="I431" s="9"/>
      <c r="J431" s="10"/>
      <c r="K431" s="9"/>
      <c r="L431" t="s">
        <v>56</v>
      </c>
      <c r="M431" t="str">
        <f>Config!$B$3&amp;"?room="&amp;A431</f>
        <v>https://wph-bujv.github.io/wph-rooms/?room=B-L05-Q01C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" customHeight="1" x14ac:dyDescent="0.25">
      <c r="A432" t="s">
        <v>983</v>
      </c>
      <c r="B432" t="s">
        <v>653</v>
      </c>
      <c r="C432" t="s">
        <v>293</v>
      </c>
      <c r="D432" t="s">
        <v>984</v>
      </c>
      <c r="E432" t="s">
        <v>120</v>
      </c>
      <c r="F432" t="s">
        <v>110</v>
      </c>
      <c r="G432" s="9"/>
      <c r="H432" s="10"/>
      <c r="I432" s="9"/>
      <c r="J432" s="10"/>
      <c r="K432" s="9"/>
      <c r="L432" t="s">
        <v>56</v>
      </c>
      <c r="M432" t="str">
        <f>Config!$B$3&amp;"?room="&amp;A432</f>
        <v>https://wph-bujv.github.io/wph-rooms/?room=B-L05-Q01C1-01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" customHeight="1" x14ac:dyDescent="0.25">
      <c r="A433" t="s">
        <v>985</v>
      </c>
      <c r="B433" t="s">
        <v>653</v>
      </c>
      <c r="C433" t="s">
        <v>293</v>
      </c>
      <c r="D433" t="s">
        <v>986</v>
      </c>
      <c r="E433" t="s">
        <v>120</v>
      </c>
      <c r="F433" t="s">
        <v>110</v>
      </c>
      <c r="G433" s="9"/>
      <c r="H433" s="10"/>
      <c r="I433" s="9"/>
      <c r="J433" s="10"/>
      <c r="K433" s="9"/>
      <c r="L433" t="s">
        <v>56</v>
      </c>
      <c r="M433" t="str">
        <f>Config!$B$3&amp;"?room="&amp;A433</f>
        <v>https://wph-bujv.github.io/wph-rooms/?room=B-L05-Q01C1-02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" customHeight="1" x14ac:dyDescent="0.25">
      <c r="A434" t="s">
        <v>987</v>
      </c>
      <c r="B434" t="s">
        <v>653</v>
      </c>
      <c r="C434" t="s">
        <v>293</v>
      </c>
      <c r="D434" t="s">
        <v>988</v>
      </c>
      <c r="E434" t="s">
        <v>120</v>
      </c>
      <c r="F434" t="s">
        <v>110</v>
      </c>
      <c r="G434" s="9"/>
      <c r="H434" s="10"/>
      <c r="I434" s="9"/>
      <c r="J434" s="10"/>
      <c r="K434" s="9"/>
      <c r="L434" t="s">
        <v>56</v>
      </c>
      <c r="M434" t="str">
        <f>Config!$B$3&amp;"?room="&amp;A434</f>
        <v>https://wph-bujv.github.io/wph-rooms/?room=B-L05-Q01C1-03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" customHeight="1" x14ac:dyDescent="0.25">
      <c r="A435" t="s">
        <v>989</v>
      </c>
      <c r="B435" t="s">
        <v>653</v>
      </c>
      <c r="C435" t="s">
        <v>293</v>
      </c>
      <c r="D435" t="s">
        <v>990</v>
      </c>
      <c r="E435" t="s">
        <v>700</v>
      </c>
      <c r="F435" t="s">
        <v>110</v>
      </c>
      <c r="G435" s="9"/>
      <c r="H435" s="10"/>
      <c r="I435" s="9"/>
      <c r="J435" s="10"/>
      <c r="K435" s="9"/>
      <c r="L435" t="s">
        <v>56</v>
      </c>
      <c r="M435" t="str">
        <f>Config!$B$3&amp;"?room="&amp;A435</f>
        <v>https://wph-bujv.github.io/wph-rooms/?room=B-L05-Q02C-01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" customHeight="1" x14ac:dyDescent="0.25">
      <c r="A436" t="s">
        <v>991</v>
      </c>
      <c r="B436" t="s">
        <v>653</v>
      </c>
      <c r="C436" t="s">
        <v>293</v>
      </c>
      <c r="D436" t="s">
        <v>992</v>
      </c>
      <c r="E436" t="s">
        <v>700</v>
      </c>
      <c r="F436" t="s">
        <v>110</v>
      </c>
      <c r="G436" s="9"/>
      <c r="H436" s="10"/>
      <c r="I436" s="9"/>
      <c r="J436" s="10"/>
      <c r="K436" s="9"/>
      <c r="L436" t="s">
        <v>56</v>
      </c>
      <c r="M436" t="str">
        <f>Config!$B$3&amp;"?room="&amp;A436</f>
        <v>https://wph-bujv.github.io/wph-rooms/?room=B-L05-Q02C-02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" customHeight="1" x14ac:dyDescent="0.25">
      <c r="A437" t="s">
        <v>993</v>
      </c>
      <c r="B437" t="s">
        <v>653</v>
      </c>
      <c r="C437" t="s">
        <v>293</v>
      </c>
      <c r="D437" t="s">
        <v>994</v>
      </c>
      <c r="E437" t="s">
        <v>700</v>
      </c>
      <c r="F437" t="s">
        <v>110</v>
      </c>
      <c r="G437" s="9"/>
      <c r="H437" s="10"/>
      <c r="I437" s="9"/>
      <c r="J437" s="10"/>
      <c r="K437" s="9"/>
      <c r="L437" t="s">
        <v>56</v>
      </c>
      <c r="M437" t="str">
        <f>Config!$B$3&amp;"?room="&amp;A437</f>
        <v>https://wph-bujv.github.io/wph-rooms/?room=B-L05-Q02C-03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" customHeight="1" x14ac:dyDescent="0.25">
      <c r="A438" t="s">
        <v>995</v>
      </c>
      <c r="B438" t="s">
        <v>653</v>
      </c>
      <c r="C438" t="s">
        <v>293</v>
      </c>
      <c r="D438" t="s">
        <v>996</v>
      </c>
      <c r="E438" t="s">
        <v>205</v>
      </c>
      <c r="F438" t="s">
        <v>110</v>
      </c>
      <c r="G438" s="9"/>
      <c r="H438" s="10"/>
      <c r="I438" s="9"/>
      <c r="J438" s="10"/>
      <c r="K438" s="9"/>
      <c r="L438" t="s">
        <v>56</v>
      </c>
      <c r="M438" t="str">
        <f>Config!$B$3&amp;"?room="&amp;A438</f>
        <v>https://wph-bujv.github.io/wph-rooms/?room=B-L05-Q02C1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" customHeight="1" x14ac:dyDescent="0.25">
      <c r="A439" t="s">
        <v>997</v>
      </c>
      <c r="B439" t="s">
        <v>653</v>
      </c>
      <c r="C439" t="s">
        <v>293</v>
      </c>
      <c r="D439" t="s">
        <v>998</v>
      </c>
      <c r="E439" t="s">
        <v>705</v>
      </c>
      <c r="F439" t="s">
        <v>110</v>
      </c>
      <c r="G439" s="9"/>
      <c r="H439" s="10"/>
      <c r="I439" s="9"/>
      <c r="J439" s="10"/>
      <c r="K439" s="9"/>
      <c r="L439" t="s">
        <v>56</v>
      </c>
      <c r="M439" t="str">
        <f>Config!$B$3&amp;"?room="&amp;A439</f>
        <v>https://wph-bujv.github.io/wph-rooms/?room=B-L05-Q02D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" customHeight="1" x14ac:dyDescent="0.25">
      <c r="A440" t="s">
        <v>999</v>
      </c>
      <c r="B440" t="s">
        <v>653</v>
      </c>
      <c r="C440" t="s">
        <v>293</v>
      </c>
      <c r="D440" t="s">
        <v>1000</v>
      </c>
      <c r="E440" t="s">
        <v>791</v>
      </c>
      <c r="F440" t="s">
        <v>110</v>
      </c>
      <c r="G440" s="9"/>
      <c r="H440" s="10"/>
      <c r="I440" s="9"/>
      <c r="J440" s="10"/>
      <c r="K440" s="9"/>
      <c r="L440" t="s">
        <v>56</v>
      </c>
      <c r="M440" t="str">
        <f>Config!$B$3&amp;"?room="&amp;A440</f>
        <v>https://wph-bujv.github.io/wph-rooms/?room=B-L05-Q04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" customHeight="1" x14ac:dyDescent="0.25">
      <c r="A441" t="s">
        <v>1001</v>
      </c>
      <c r="B441" t="s">
        <v>653</v>
      </c>
      <c r="C441" t="s">
        <v>293</v>
      </c>
      <c r="D441" t="s">
        <v>1002</v>
      </c>
      <c r="E441" t="s">
        <v>794</v>
      </c>
      <c r="F441" t="s">
        <v>110</v>
      </c>
      <c r="G441" s="9"/>
      <c r="H441" s="10"/>
      <c r="I441" s="9"/>
      <c r="J441" s="10"/>
      <c r="K441" s="9"/>
      <c r="L441" t="s">
        <v>56</v>
      </c>
      <c r="M441" t="str">
        <f>Config!$B$3&amp;"?room="&amp;A441</f>
        <v>https://wph-bujv.github.io/wph-rooms/?room=B-L05-Q05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" customHeight="1" x14ac:dyDescent="0.25">
      <c r="A442" t="s">
        <v>1003</v>
      </c>
      <c r="B442" t="s">
        <v>653</v>
      </c>
      <c r="C442" t="s">
        <v>293</v>
      </c>
      <c r="D442" t="s">
        <v>1004</v>
      </c>
      <c r="E442" t="s">
        <v>711</v>
      </c>
      <c r="F442" t="s">
        <v>110</v>
      </c>
      <c r="G442" s="9"/>
      <c r="H442" s="10"/>
      <c r="I442" s="9"/>
      <c r="J442" s="10"/>
      <c r="K442" s="9"/>
      <c r="L442" t="s">
        <v>56</v>
      </c>
      <c r="M442" t="str">
        <f>Config!$B$3&amp;"?room="&amp;A442</f>
        <v>https://wph-bujv.github.io/wph-rooms/?room=B-L05-Q06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" customHeight="1" x14ac:dyDescent="0.25">
      <c r="A443" t="s">
        <v>1005</v>
      </c>
      <c r="B443" t="s">
        <v>653</v>
      </c>
      <c r="C443" t="s">
        <v>293</v>
      </c>
      <c r="D443" t="s">
        <v>1006</v>
      </c>
      <c r="E443" t="s">
        <v>725</v>
      </c>
      <c r="F443" t="s">
        <v>49</v>
      </c>
      <c r="G443" s="9"/>
      <c r="H443" s="10"/>
      <c r="I443" s="9"/>
      <c r="J443" s="10"/>
      <c r="K443" s="9"/>
      <c r="L443" t="s">
        <v>56</v>
      </c>
      <c r="M443" t="str">
        <f>Config!$B$3&amp;"?room="&amp;A443</f>
        <v>https://wph-bujv.github.io/wph-rooms/?room=B-L05-S03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" customHeight="1" x14ac:dyDescent="0.25">
      <c r="A444" t="s">
        <v>1007</v>
      </c>
      <c r="B444" t="s">
        <v>653</v>
      </c>
      <c r="C444" t="s">
        <v>293</v>
      </c>
      <c r="D444" t="s">
        <v>1008</v>
      </c>
      <c r="E444" t="s">
        <v>799</v>
      </c>
      <c r="F444" t="s">
        <v>49</v>
      </c>
      <c r="G444" s="9"/>
      <c r="H444" s="10"/>
      <c r="I444" s="9"/>
      <c r="J444" s="10"/>
      <c r="K444" s="9"/>
      <c r="L444" t="s">
        <v>56</v>
      </c>
      <c r="M444" t="str">
        <f>Config!$B$3&amp;"?room="&amp;A444</f>
        <v>https://wph-bujv.github.io/wph-rooms/?room=B-L05-S07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" customHeight="1" x14ac:dyDescent="0.25">
      <c r="A445" t="s">
        <v>1009</v>
      </c>
      <c r="B445" t="s">
        <v>653</v>
      </c>
      <c r="C445" t="s">
        <v>366</v>
      </c>
      <c r="D445" t="s">
        <v>1010</v>
      </c>
      <c r="E445" t="s">
        <v>659</v>
      </c>
      <c r="F445" t="s">
        <v>54</v>
      </c>
      <c r="G445" s="9"/>
      <c r="H445" s="10"/>
      <c r="I445" s="9"/>
      <c r="J445" s="10"/>
      <c r="K445" s="9"/>
      <c r="L445" t="s">
        <v>56</v>
      </c>
      <c r="M445" t="str">
        <f>Config!$B$3&amp;"?room="&amp;A445</f>
        <v>https://wph-bujv.github.io/wph-rooms/?room=B-L06-F02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" customHeight="1" x14ac:dyDescent="0.25">
      <c r="A446" t="s">
        <v>1011</v>
      </c>
      <c r="B446" t="s">
        <v>653</v>
      </c>
      <c r="C446" t="s">
        <v>366</v>
      </c>
      <c r="D446" t="s">
        <v>1012</v>
      </c>
      <c r="E446" t="s">
        <v>733</v>
      </c>
      <c r="F446" t="s">
        <v>54</v>
      </c>
      <c r="G446" s="9"/>
      <c r="H446" s="10"/>
      <c r="I446" s="9"/>
      <c r="J446" s="10"/>
      <c r="K446" s="9"/>
      <c r="L446" t="s">
        <v>56</v>
      </c>
      <c r="M446" t="str">
        <f>Config!$B$3&amp;"?room="&amp;A446</f>
        <v>https://wph-bujv.github.io/wph-rooms/?room=B-L06-F06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" customHeight="1" x14ac:dyDescent="0.25">
      <c r="A447" t="s">
        <v>1013</v>
      </c>
      <c r="B447" t="s">
        <v>653</v>
      </c>
      <c r="C447" t="s">
        <v>366</v>
      </c>
      <c r="D447" t="s">
        <v>1014</v>
      </c>
      <c r="E447" t="s">
        <v>66</v>
      </c>
      <c r="F447" t="s">
        <v>67</v>
      </c>
      <c r="G447" s="9"/>
      <c r="H447" s="10"/>
      <c r="I447" s="9"/>
      <c r="J447" s="10"/>
      <c r="K447" s="9"/>
      <c r="L447" t="s">
        <v>56</v>
      </c>
      <c r="M447" t="str">
        <f>Config!$B$3&amp;"?room="&amp;A447</f>
        <v>https://wph-bujv.github.io/wph-rooms/?room=B-L06-K01-01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" customHeight="1" x14ac:dyDescent="0.25">
      <c r="A448" t="s">
        <v>1015</v>
      </c>
      <c r="B448" t="s">
        <v>653</v>
      </c>
      <c r="C448" t="s">
        <v>366</v>
      </c>
      <c r="D448" t="s">
        <v>1016</v>
      </c>
      <c r="E448" t="s">
        <v>66</v>
      </c>
      <c r="F448" t="s">
        <v>67</v>
      </c>
      <c r="G448" s="9"/>
      <c r="H448" s="10"/>
      <c r="I448" s="9"/>
      <c r="J448" s="10"/>
      <c r="K448" s="9"/>
      <c r="L448" t="s">
        <v>56</v>
      </c>
      <c r="M448" t="str">
        <f>Config!$B$3&amp;"?room="&amp;A448</f>
        <v>https://wph-bujv.github.io/wph-rooms/?room=B-L06-K01-02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" customHeight="1" x14ac:dyDescent="0.25">
      <c r="A449" t="s">
        <v>1017</v>
      </c>
      <c r="B449" t="s">
        <v>653</v>
      </c>
      <c r="C449" t="s">
        <v>366</v>
      </c>
      <c r="D449" t="s">
        <v>1018</v>
      </c>
      <c r="E449" t="s">
        <v>662</v>
      </c>
      <c r="F449" t="s">
        <v>67</v>
      </c>
      <c r="G449" s="9"/>
      <c r="H449" s="10"/>
      <c r="I449" s="9"/>
      <c r="J449" s="10"/>
      <c r="K449" s="9"/>
      <c r="L449" t="s">
        <v>56</v>
      </c>
      <c r="M449" t="str">
        <f>Config!$B$3&amp;"?room="&amp;A449</f>
        <v>https://wph-bujv.github.io/wph-rooms/?room=B-L06-K01A-01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" customHeight="1" x14ac:dyDescent="0.25">
      <c r="A450" t="s">
        <v>1019</v>
      </c>
      <c r="B450" t="s">
        <v>653</v>
      </c>
      <c r="C450" t="s">
        <v>366</v>
      </c>
      <c r="D450" t="s">
        <v>1020</v>
      </c>
      <c r="E450" t="s">
        <v>662</v>
      </c>
      <c r="F450" t="s">
        <v>67</v>
      </c>
      <c r="G450" s="9"/>
      <c r="H450" s="10"/>
      <c r="I450" s="9"/>
      <c r="J450" s="10"/>
      <c r="K450" s="9"/>
      <c r="L450" t="s">
        <v>56</v>
      </c>
      <c r="M450" t="str">
        <f>Config!$B$3&amp;"?room="&amp;A450</f>
        <v>https://wph-bujv.github.io/wph-rooms/?room=B-L06-K01A-02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" customHeight="1" x14ac:dyDescent="0.25">
      <c r="A451" t="s">
        <v>1021</v>
      </c>
      <c r="B451" t="s">
        <v>653</v>
      </c>
      <c r="C451" t="s">
        <v>366</v>
      </c>
      <c r="D451" t="s">
        <v>1022</v>
      </c>
      <c r="E451" t="s">
        <v>662</v>
      </c>
      <c r="F451" t="s">
        <v>67</v>
      </c>
      <c r="G451" s="9"/>
      <c r="H451" s="10"/>
      <c r="I451" s="9"/>
      <c r="J451" s="10"/>
      <c r="K451" s="9"/>
      <c r="L451" t="s">
        <v>56</v>
      </c>
      <c r="M451" t="str">
        <f>Config!$B$3&amp;"?room="&amp;A451</f>
        <v>https://wph-bujv.github.io/wph-rooms/?room=B-L06-K01A-03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" customHeight="1" x14ac:dyDescent="0.25">
      <c r="A452" t="s">
        <v>1023</v>
      </c>
      <c r="B452" t="s">
        <v>653</v>
      </c>
      <c r="C452" t="s">
        <v>366</v>
      </c>
      <c r="D452" t="s">
        <v>1024</v>
      </c>
      <c r="E452" t="s">
        <v>79</v>
      </c>
      <c r="F452" t="s">
        <v>67</v>
      </c>
      <c r="G452" s="9"/>
      <c r="H452" s="10"/>
      <c r="I452" s="9"/>
      <c r="J452" s="10"/>
      <c r="K452" s="9"/>
      <c r="L452" t="s">
        <v>56</v>
      </c>
      <c r="M452" t="str">
        <f>Config!$B$3&amp;"?room="&amp;A452</f>
        <v>https://wph-bujv.github.io/wph-rooms/?room=B-L06-K01C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" customHeight="1" x14ac:dyDescent="0.25">
      <c r="A453" t="s">
        <v>1025</v>
      </c>
      <c r="B453" t="s">
        <v>653</v>
      </c>
      <c r="C453" t="s">
        <v>366</v>
      </c>
      <c r="D453" t="s">
        <v>1026</v>
      </c>
      <c r="E453" t="s">
        <v>667</v>
      </c>
      <c r="F453" t="s">
        <v>67</v>
      </c>
      <c r="G453" s="9"/>
      <c r="H453" s="10"/>
      <c r="I453" s="9"/>
      <c r="J453" s="10"/>
      <c r="K453" s="9"/>
      <c r="L453" t="s">
        <v>56</v>
      </c>
      <c r="M453" t="str">
        <f>Config!$B$3&amp;"?room="&amp;A453</f>
        <v>https://wph-bujv.github.io/wph-rooms/?room=B-L06-K01C1-01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" customHeight="1" x14ac:dyDescent="0.25">
      <c r="A454" t="s">
        <v>1027</v>
      </c>
      <c r="B454" t="s">
        <v>653</v>
      </c>
      <c r="C454" t="s">
        <v>366</v>
      </c>
      <c r="D454" t="s">
        <v>1028</v>
      </c>
      <c r="E454" t="s">
        <v>667</v>
      </c>
      <c r="F454" t="s">
        <v>67</v>
      </c>
      <c r="G454" s="9"/>
      <c r="H454" s="10"/>
      <c r="I454" s="9"/>
      <c r="J454" s="10"/>
      <c r="K454" s="9"/>
      <c r="L454" t="s">
        <v>56</v>
      </c>
      <c r="M454" t="str">
        <f>Config!$B$3&amp;"?room="&amp;A454</f>
        <v>https://wph-bujv.github.io/wph-rooms/?room=B-L06-K01C1-02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" customHeight="1" x14ac:dyDescent="0.25">
      <c r="A455" t="s">
        <v>1029</v>
      </c>
      <c r="B455" t="s">
        <v>653</v>
      </c>
      <c r="C455" t="s">
        <v>366</v>
      </c>
      <c r="D455" t="s">
        <v>1030</v>
      </c>
      <c r="E455" t="s">
        <v>86</v>
      </c>
      <c r="F455" t="s">
        <v>67</v>
      </c>
      <c r="G455" s="9"/>
      <c r="H455" s="10"/>
      <c r="I455" s="9"/>
      <c r="J455" s="10"/>
      <c r="K455" s="9"/>
      <c r="L455" t="s">
        <v>56</v>
      </c>
      <c r="M455" t="str">
        <f>Config!$B$3&amp;"?room="&amp;A455</f>
        <v>https://wph-bujv.github.io/wph-rooms/?room=B-L06-K01D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" customHeight="1" x14ac:dyDescent="0.25">
      <c r="A456" t="s">
        <v>1031</v>
      </c>
      <c r="B456" t="s">
        <v>653</v>
      </c>
      <c r="C456" t="s">
        <v>366</v>
      </c>
      <c r="D456" t="s">
        <v>1032</v>
      </c>
      <c r="E456" t="s">
        <v>89</v>
      </c>
      <c r="F456" t="s">
        <v>67</v>
      </c>
      <c r="G456" s="9"/>
      <c r="H456" s="10"/>
      <c r="I456" s="9"/>
      <c r="J456" s="10"/>
      <c r="K456" s="9"/>
      <c r="L456" t="s">
        <v>56</v>
      </c>
      <c r="M456" t="str">
        <f>Config!$B$3&amp;"?room="&amp;A456</f>
        <v>https://wph-bujv.github.io/wph-rooms/?room=B-L06-K02-01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" customHeight="1" x14ac:dyDescent="0.25">
      <c r="A457" t="s">
        <v>1033</v>
      </c>
      <c r="B457" t="s">
        <v>653</v>
      </c>
      <c r="C457" t="s">
        <v>366</v>
      </c>
      <c r="D457" t="s">
        <v>1034</v>
      </c>
      <c r="E457" t="s">
        <v>89</v>
      </c>
      <c r="F457" t="s">
        <v>67</v>
      </c>
      <c r="G457" s="9"/>
      <c r="H457" s="10"/>
      <c r="I457" s="9"/>
      <c r="J457" s="10"/>
      <c r="K457" s="9"/>
      <c r="L457" t="s">
        <v>56</v>
      </c>
      <c r="M457" t="str">
        <f>Config!$B$3&amp;"?room="&amp;A457</f>
        <v>https://wph-bujv.github.io/wph-rooms/?room=B-L06-K02-02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" customHeight="1" x14ac:dyDescent="0.25">
      <c r="A458" t="s">
        <v>1035</v>
      </c>
      <c r="B458" t="s">
        <v>653</v>
      </c>
      <c r="C458" t="s">
        <v>366</v>
      </c>
      <c r="D458" t="s">
        <v>1036</v>
      </c>
      <c r="E458" t="s">
        <v>89</v>
      </c>
      <c r="F458" t="s">
        <v>67</v>
      </c>
      <c r="G458" s="9"/>
      <c r="H458" s="10"/>
      <c r="I458" s="9"/>
      <c r="J458" s="10"/>
      <c r="K458" s="9"/>
      <c r="L458" t="s">
        <v>56</v>
      </c>
      <c r="M458" t="str">
        <f>Config!$B$3&amp;"?room="&amp;A458</f>
        <v>https://wph-bujv.github.io/wph-rooms/?room=B-L06-K02-03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" customHeight="1" x14ac:dyDescent="0.25">
      <c r="A459" t="s">
        <v>1037</v>
      </c>
      <c r="B459" t="s">
        <v>653</v>
      </c>
      <c r="C459" t="s">
        <v>366</v>
      </c>
      <c r="D459" t="s">
        <v>1038</v>
      </c>
      <c r="E459" t="s">
        <v>674</v>
      </c>
      <c r="F459" t="s">
        <v>67</v>
      </c>
      <c r="G459" s="9"/>
      <c r="H459" s="10"/>
      <c r="I459" s="9"/>
      <c r="J459" s="10"/>
      <c r="K459" s="9"/>
      <c r="L459" t="s">
        <v>56</v>
      </c>
      <c r="M459" t="str">
        <f>Config!$B$3&amp;"?room="&amp;A459</f>
        <v>https://wph-bujv.github.io/wph-rooms/?room=B-L06-K02A-01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" customHeight="1" x14ac:dyDescent="0.25">
      <c r="A460" t="s">
        <v>1039</v>
      </c>
      <c r="B460" t="s">
        <v>653</v>
      </c>
      <c r="C460" t="s">
        <v>366</v>
      </c>
      <c r="D460" t="s">
        <v>1040</v>
      </c>
      <c r="E460" t="s">
        <v>674</v>
      </c>
      <c r="F460" t="s">
        <v>67</v>
      </c>
      <c r="G460" s="9"/>
      <c r="H460" s="10"/>
      <c r="I460" s="9"/>
      <c r="J460" s="10"/>
      <c r="K460" s="9"/>
      <c r="L460" t="s">
        <v>56</v>
      </c>
      <c r="M460" t="str">
        <f>Config!$B$3&amp;"?room="&amp;A460</f>
        <v>https://wph-bujv.github.io/wph-rooms/?room=B-L06-K02A-02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" customHeight="1" x14ac:dyDescent="0.25">
      <c r="A461" t="s">
        <v>1041</v>
      </c>
      <c r="B461" t="s">
        <v>653</v>
      </c>
      <c r="C461" t="s">
        <v>366</v>
      </c>
      <c r="D461" t="s">
        <v>1042</v>
      </c>
      <c r="E461" t="s">
        <v>764</v>
      </c>
      <c r="F461" t="s">
        <v>67</v>
      </c>
      <c r="G461" s="9"/>
      <c r="H461" s="10"/>
      <c r="I461" s="9"/>
      <c r="J461" s="10"/>
      <c r="K461" s="9"/>
      <c r="L461" t="s">
        <v>56</v>
      </c>
      <c r="M461" t="str">
        <f>Config!$B$3&amp;"?room="&amp;A461</f>
        <v>https://wph-bujv.github.io/wph-rooms/?room=B-L06-K02C-01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" customHeight="1" x14ac:dyDescent="0.25">
      <c r="A462" t="s">
        <v>1043</v>
      </c>
      <c r="B462" t="s">
        <v>653</v>
      </c>
      <c r="C462" t="s">
        <v>366</v>
      </c>
      <c r="D462" t="s">
        <v>1044</v>
      </c>
      <c r="E462" t="s">
        <v>764</v>
      </c>
      <c r="F462" t="s">
        <v>67</v>
      </c>
      <c r="G462" s="9"/>
      <c r="H462" s="10"/>
      <c r="I462" s="9"/>
      <c r="J462" s="10"/>
      <c r="K462" s="9"/>
      <c r="L462" t="s">
        <v>56</v>
      </c>
      <c r="M462" t="str">
        <f>Config!$B$3&amp;"?room="&amp;A462</f>
        <v>https://wph-bujv.github.io/wph-rooms/?room=B-L06-K02C-02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" customHeight="1" x14ac:dyDescent="0.25">
      <c r="A463" t="s">
        <v>1045</v>
      </c>
      <c r="B463" t="s">
        <v>653</v>
      </c>
      <c r="C463" t="s">
        <v>366</v>
      </c>
      <c r="D463" t="s">
        <v>1046</v>
      </c>
      <c r="E463" t="s">
        <v>679</v>
      </c>
      <c r="F463" t="s">
        <v>67</v>
      </c>
      <c r="G463" s="9"/>
      <c r="H463" s="10"/>
      <c r="I463" s="9"/>
      <c r="J463" s="10"/>
      <c r="K463" s="9"/>
      <c r="L463" t="s">
        <v>56</v>
      </c>
      <c r="M463" t="str">
        <f>Config!$B$3&amp;"?room="&amp;A463</f>
        <v>https://wph-bujv.github.io/wph-rooms/?room=B-L06-K03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" customHeight="1" x14ac:dyDescent="0.25">
      <c r="A464" t="s">
        <v>1047</v>
      </c>
      <c r="B464" t="s">
        <v>653</v>
      </c>
      <c r="C464" t="s">
        <v>366</v>
      </c>
      <c r="D464" t="s">
        <v>1048</v>
      </c>
      <c r="E464" t="s">
        <v>912</v>
      </c>
      <c r="F464" t="s">
        <v>683</v>
      </c>
      <c r="G464" s="9"/>
      <c r="H464" s="10"/>
      <c r="I464" s="9"/>
      <c r="J464" s="10"/>
      <c r="K464" s="9"/>
      <c r="L464" t="s">
        <v>56</v>
      </c>
      <c r="M464" t="str">
        <f>Config!$B$3&amp;"?room="&amp;A464</f>
        <v>https://wph-bujv.github.io/wph-rooms/?room=B-L06-KADA2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" customHeight="1" x14ac:dyDescent="0.25">
      <c r="A465" t="s">
        <v>1049</v>
      </c>
      <c r="B465" t="s">
        <v>653</v>
      </c>
      <c r="C465" t="s">
        <v>366</v>
      </c>
      <c r="D465" t="s">
        <v>1050</v>
      </c>
      <c r="E465" t="s">
        <v>113</v>
      </c>
      <c r="F465" t="s">
        <v>110</v>
      </c>
      <c r="G465" s="9"/>
      <c r="H465" s="10"/>
      <c r="I465" s="9"/>
      <c r="J465" s="10"/>
      <c r="K465" s="9"/>
      <c r="L465" t="s">
        <v>56</v>
      </c>
      <c r="M465" t="str">
        <f>Config!$B$3&amp;"?room="&amp;A465</f>
        <v>https://wph-bujv.github.io/wph-rooms/?room=B-L06-Q01C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" customHeight="1" x14ac:dyDescent="0.25">
      <c r="A466" t="s">
        <v>1051</v>
      </c>
      <c r="B466" t="s">
        <v>653</v>
      </c>
      <c r="C466" t="s">
        <v>366</v>
      </c>
      <c r="D466" t="s">
        <v>1052</v>
      </c>
      <c r="E466" t="s">
        <v>120</v>
      </c>
      <c r="F466" t="s">
        <v>110</v>
      </c>
      <c r="G466" s="9"/>
      <c r="H466" s="10"/>
      <c r="I466" s="9"/>
      <c r="J466" s="10"/>
      <c r="K466" s="9"/>
      <c r="L466" t="s">
        <v>56</v>
      </c>
      <c r="M466" t="str">
        <f>Config!$B$3&amp;"?room="&amp;A466</f>
        <v>https://wph-bujv.github.io/wph-rooms/?room=B-L06-Q01C1-01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" customHeight="1" x14ac:dyDescent="0.25">
      <c r="A467" t="s">
        <v>1053</v>
      </c>
      <c r="B467" t="s">
        <v>653</v>
      </c>
      <c r="C467" t="s">
        <v>366</v>
      </c>
      <c r="D467" t="s">
        <v>1054</v>
      </c>
      <c r="E467" t="s">
        <v>120</v>
      </c>
      <c r="F467" t="s">
        <v>110</v>
      </c>
      <c r="G467" s="9"/>
      <c r="H467" s="10"/>
      <c r="I467" s="9"/>
      <c r="J467" s="10"/>
      <c r="K467" s="9"/>
      <c r="L467" t="s">
        <v>56</v>
      </c>
      <c r="M467" t="str">
        <f>Config!$B$3&amp;"?room="&amp;A467</f>
        <v>https://wph-bujv.github.io/wph-rooms/?room=B-L06-Q01C1-02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" customHeight="1" x14ac:dyDescent="0.25">
      <c r="A468" t="s">
        <v>1055</v>
      </c>
      <c r="B468" t="s">
        <v>653</v>
      </c>
      <c r="C468" t="s">
        <v>366</v>
      </c>
      <c r="D468" t="s">
        <v>1056</v>
      </c>
      <c r="E468" t="s">
        <v>120</v>
      </c>
      <c r="F468" t="s">
        <v>110</v>
      </c>
      <c r="G468" s="9"/>
      <c r="H468" s="10"/>
      <c r="I468" s="9"/>
      <c r="J468" s="10"/>
      <c r="K468" s="9"/>
      <c r="L468" t="s">
        <v>56</v>
      </c>
      <c r="M468" t="str">
        <f>Config!$B$3&amp;"?room="&amp;A468</f>
        <v>https://wph-bujv.github.io/wph-rooms/?room=B-L06-Q01C1-03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" customHeight="1" x14ac:dyDescent="0.25">
      <c r="A469" t="s">
        <v>1057</v>
      </c>
      <c r="B469" t="s">
        <v>653</v>
      </c>
      <c r="C469" t="s">
        <v>366</v>
      </c>
      <c r="D469" t="s">
        <v>1058</v>
      </c>
      <c r="E469" t="s">
        <v>700</v>
      </c>
      <c r="F469" t="s">
        <v>110</v>
      </c>
      <c r="G469" s="9"/>
      <c r="H469" s="10"/>
      <c r="I469" s="9"/>
      <c r="J469" s="10"/>
      <c r="K469" s="9"/>
      <c r="L469" t="s">
        <v>56</v>
      </c>
      <c r="M469" t="str">
        <f>Config!$B$3&amp;"?room="&amp;A469</f>
        <v>https://wph-bujv.github.io/wph-rooms/?room=B-L06-Q02C-01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" customHeight="1" x14ac:dyDescent="0.25">
      <c r="A470" t="s">
        <v>1059</v>
      </c>
      <c r="B470" t="s">
        <v>653</v>
      </c>
      <c r="C470" t="s">
        <v>366</v>
      </c>
      <c r="D470" t="s">
        <v>1060</v>
      </c>
      <c r="E470" t="s">
        <v>700</v>
      </c>
      <c r="F470" t="s">
        <v>110</v>
      </c>
      <c r="G470" s="9"/>
      <c r="H470" s="10"/>
      <c r="I470" s="9"/>
      <c r="J470" s="10"/>
      <c r="K470" s="9"/>
      <c r="L470" t="s">
        <v>56</v>
      </c>
      <c r="M470" t="str">
        <f>Config!$B$3&amp;"?room="&amp;A470</f>
        <v>https://wph-bujv.github.io/wph-rooms/?room=B-L06-Q02C-02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" customHeight="1" x14ac:dyDescent="0.25">
      <c r="A471" t="s">
        <v>1061</v>
      </c>
      <c r="B471" t="s">
        <v>653</v>
      </c>
      <c r="C471" t="s">
        <v>366</v>
      </c>
      <c r="D471" t="s">
        <v>1062</v>
      </c>
      <c r="E471" t="s">
        <v>700</v>
      </c>
      <c r="F471" t="s">
        <v>110</v>
      </c>
      <c r="G471" s="9"/>
      <c r="H471" s="10"/>
      <c r="I471" s="9"/>
      <c r="J471" s="10"/>
      <c r="K471" s="9"/>
      <c r="L471" t="s">
        <v>56</v>
      </c>
      <c r="M471" t="str">
        <f>Config!$B$3&amp;"?room="&amp;A471</f>
        <v>https://wph-bujv.github.io/wph-rooms/?room=B-L06-Q02C-03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" customHeight="1" x14ac:dyDescent="0.25">
      <c r="A472" t="s">
        <v>1063</v>
      </c>
      <c r="B472" t="s">
        <v>653</v>
      </c>
      <c r="C472" t="s">
        <v>366</v>
      </c>
      <c r="D472" t="s">
        <v>1064</v>
      </c>
      <c r="E472" t="s">
        <v>205</v>
      </c>
      <c r="F472" t="s">
        <v>110</v>
      </c>
      <c r="G472" s="9"/>
      <c r="H472" s="10"/>
      <c r="I472" s="9"/>
      <c r="J472" s="10"/>
      <c r="K472" s="9"/>
      <c r="L472" t="s">
        <v>56</v>
      </c>
      <c r="M472" t="str">
        <f>Config!$B$3&amp;"?room="&amp;A472</f>
        <v>https://wph-bujv.github.io/wph-rooms/?room=B-L06-Q02C1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" customHeight="1" x14ac:dyDescent="0.25">
      <c r="A473" t="s">
        <v>1065</v>
      </c>
      <c r="B473" t="s">
        <v>653</v>
      </c>
      <c r="C473" t="s">
        <v>366</v>
      </c>
      <c r="D473" t="s">
        <v>1066</v>
      </c>
      <c r="E473" t="s">
        <v>705</v>
      </c>
      <c r="F473" t="s">
        <v>110</v>
      </c>
      <c r="G473" s="9"/>
      <c r="H473" s="10"/>
      <c r="I473" s="9"/>
      <c r="J473" s="10"/>
      <c r="K473" s="9"/>
      <c r="L473" t="s">
        <v>56</v>
      </c>
      <c r="M473" t="str">
        <f>Config!$B$3&amp;"?room="&amp;A473</f>
        <v>https://wph-bujv.github.io/wph-rooms/?room=B-L06-Q02D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" customHeight="1" x14ac:dyDescent="0.25">
      <c r="A474" t="s">
        <v>1067</v>
      </c>
      <c r="B474" t="s">
        <v>653</v>
      </c>
      <c r="C474" t="s">
        <v>366</v>
      </c>
      <c r="D474" t="s">
        <v>1068</v>
      </c>
      <c r="E474" t="s">
        <v>791</v>
      </c>
      <c r="F474" t="s">
        <v>110</v>
      </c>
      <c r="G474" s="9"/>
      <c r="H474" s="10"/>
      <c r="I474" s="9"/>
      <c r="J474" s="10"/>
      <c r="K474" s="9"/>
      <c r="L474" t="s">
        <v>56</v>
      </c>
      <c r="M474" t="str">
        <f>Config!$B$3&amp;"?room="&amp;A474</f>
        <v>https://wph-bujv.github.io/wph-rooms/?room=B-L06-Q04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" customHeight="1" x14ac:dyDescent="0.25">
      <c r="A475" t="s">
        <v>1069</v>
      </c>
      <c r="B475" t="s">
        <v>653</v>
      </c>
      <c r="C475" t="s">
        <v>366</v>
      </c>
      <c r="D475" t="s">
        <v>1070</v>
      </c>
      <c r="E475" t="s">
        <v>794</v>
      </c>
      <c r="F475" t="s">
        <v>110</v>
      </c>
      <c r="G475" s="9"/>
      <c r="H475" s="10"/>
      <c r="I475" s="9"/>
      <c r="J475" s="10"/>
      <c r="K475" s="9"/>
      <c r="L475" t="s">
        <v>56</v>
      </c>
      <c r="M475" t="str">
        <f>Config!$B$3&amp;"?room="&amp;A475</f>
        <v>https://wph-bujv.github.io/wph-rooms/?room=B-L06-Q05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" customHeight="1" x14ac:dyDescent="0.25">
      <c r="A476" t="s">
        <v>1071</v>
      </c>
      <c r="B476" t="s">
        <v>653</v>
      </c>
      <c r="C476" t="s">
        <v>366</v>
      </c>
      <c r="D476" t="s">
        <v>1072</v>
      </c>
      <c r="E476" t="s">
        <v>711</v>
      </c>
      <c r="F476" t="s">
        <v>110</v>
      </c>
      <c r="G476" s="9"/>
      <c r="H476" s="10"/>
      <c r="I476" s="9"/>
      <c r="J476" s="10"/>
      <c r="K476" s="9"/>
      <c r="L476" t="s">
        <v>56</v>
      </c>
      <c r="M476" t="str">
        <f>Config!$B$3&amp;"?room="&amp;A476</f>
        <v>https://wph-bujv.github.io/wph-rooms/?room=B-L06-Q06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" customHeight="1" x14ac:dyDescent="0.25">
      <c r="A477" t="s">
        <v>1073</v>
      </c>
      <c r="B477" t="s">
        <v>653</v>
      </c>
      <c r="C477" t="s">
        <v>366</v>
      </c>
      <c r="D477" t="s">
        <v>1074</v>
      </c>
      <c r="E477" t="s">
        <v>725</v>
      </c>
      <c r="F477" t="s">
        <v>49</v>
      </c>
      <c r="G477" s="9"/>
      <c r="H477" s="10"/>
      <c r="I477" s="9"/>
      <c r="J477" s="10"/>
      <c r="K477" s="9"/>
      <c r="L477" t="s">
        <v>56</v>
      </c>
      <c r="M477" t="str">
        <f>Config!$B$3&amp;"?room="&amp;A477</f>
        <v>https://wph-bujv.github.io/wph-rooms/?room=B-L06-S03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" customHeight="1" x14ac:dyDescent="0.25">
      <c r="A478" t="s">
        <v>1075</v>
      </c>
      <c r="B478" t="s">
        <v>653</v>
      </c>
      <c r="C478" t="s">
        <v>366</v>
      </c>
      <c r="D478" t="s">
        <v>1076</v>
      </c>
      <c r="E478" t="s">
        <v>799</v>
      </c>
      <c r="F478" t="s">
        <v>49</v>
      </c>
      <c r="G478" s="9"/>
      <c r="H478" s="10"/>
      <c r="I478" s="9"/>
      <c r="J478" s="10"/>
      <c r="K478" s="9"/>
      <c r="L478" t="s">
        <v>56</v>
      </c>
      <c r="M478" t="str">
        <f>Config!$B$3&amp;"?room="&amp;A478</f>
        <v>https://wph-bujv.github.io/wph-rooms/?room=B-L06-S07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" customHeight="1" x14ac:dyDescent="0.25">
      <c r="A479" t="s">
        <v>1077</v>
      </c>
      <c r="B479" t="s">
        <v>653</v>
      </c>
      <c r="C479" t="s">
        <v>437</v>
      </c>
      <c r="D479" t="s">
        <v>1078</v>
      </c>
      <c r="E479" t="s">
        <v>659</v>
      </c>
      <c r="F479" t="s">
        <v>54</v>
      </c>
      <c r="G479" s="9"/>
      <c r="H479" s="10"/>
      <c r="I479" s="9"/>
      <c r="J479" s="10"/>
      <c r="K479" s="9"/>
      <c r="L479" t="s">
        <v>56</v>
      </c>
      <c r="M479" t="str">
        <f>Config!$B$3&amp;"?room="&amp;A479</f>
        <v>https://wph-bujv.github.io/wph-rooms/?room=B-L07-F02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" customHeight="1" x14ac:dyDescent="0.25">
      <c r="A480" t="s">
        <v>1079</v>
      </c>
      <c r="B480" t="s">
        <v>653</v>
      </c>
      <c r="C480" t="s">
        <v>437</v>
      </c>
      <c r="D480" t="s">
        <v>1080</v>
      </c>
      <c r="E480" t="s">
        <v>733</v>
      </c>
      <c r="F480" t="s">
        <v>54</v>
      </c>
      <c r="G480" s="9"/>
      <c r="H480" s="10"/>
      <c r="I480" s="9"/>
      <c r="J480" s="10"/>
      <c r="K480" s="9"/>
      <c r="L480" t="s">
        <v>56</v>
      </c>
      <c r="M480" t="str">
        <f>Config!$B$3&amp;"?room="&amp;A480</f>
        <v>https://wph-bujv.github.io/wph-rooms/?room=B-L07-F06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" customHeight="1" x14ac:dyDescent="0.25">
      <c r="A481" t="s">
        <v>1081</v>
      </c>
      <c r="B481" t="s">
        <v>653</v>
      </c>
      <c r="C481" t="s">
        <v>437</v>
      </c>
      <c r="D481" t="s">
        <v>1082</v>
      </c>
      <c r="E481" t="s">
        <v>662</v>
      </c>
      <c r="F481" t="s">
        <v>67</v>
      </c>
      <c r="G481" s="9"/>
      <c r="H481" s="10"/>
      <c r="I481" s="9"/>
      <c r="J481" s="10"/>
      <c r="K481" s="9"/>
      <c r="L481" t="s">
        <v>56</v>
      </c>
      <c r="M481" t="str">
        <f>Config!$B$3&amp;"?room="&amp;A481</f>
        <v>https://wph-bujv.github.io/wph-rooms/?room=B-L07-K01A-01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" customHeight="1" x14ac:dyDescent="0.25">
      <c r="A482" t="s">
        <v>1083</v>
      </c>
      <c r="B482" t="s">
        <v>653</v>
      </c>
      <c r="C482" t="s">
        <v>437</v>
      </c>
      <c r="D482" t="s">
        <v>1084</v>
      </c>
      <c r="E482" t="s">
        <v>662</v>
      </c>
      <c r="F482" t="s">
        <v>67</v>
      </c>
      <c r="G482" s="9"/>
      <c r="H482" s="10"/>
      <c r="I482" s="9"/>
      <c r="J482" s="10"/>
      <c r="K482" s="9"/>
      <c r="L482" t="s">
        <v>56</v>
      </c>
      <c r="M482" t="str">
        <f>Config!$B$3&amp;"?room="&amp;A482</f>
        <v>https://wph-bujv.github.io/wph-rooms/?room=B-L07-K01A-02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" customHeight="1" x14ac:dyDescent="0.25">
      <c r="A483" t="s">
        <v>1085</v>
      </c>
      <c r="B483" t="s">
        <v>653</v>
      </c>
      <c r="C483" t="s">
        <v>437</v>
      </c>
      <c r="D483" t="s">
        <v>1086</v>
      </c>
      <c r="E483" t="s">
        <v>662</v>
      </c>
      <c r="F483" t="s">
        <v>67</v>
      </c>
      <c r="G483" s="9"/>
      <c r="H483" s="10"/>
      <c r="I483" s="9"/>
      <c r="J483" s="10"/>
      <c r="K483" s="9"/>
      <c r="L483" t="s">
        <v>56</v>
      </c>
      <c r="M483" t="str">
        <f>Config!$B$3&amp;"?room="&amp;A483</f>
        <v>https://wph-bujv.github.io/wph-rooms/?room=B-L07-K01A-03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" customHeight="1" x14ac:dyDescent="0.25">
      <c r="A484" t="s">
        <v>1087</v>
      </c>
      <c r="B484" t="s">
        <v>653</v>
      </c>
      <c r="C484" t="s">
        <v>437</v>
      </c>
      <c r="D484" t="s">
        <v>1088</v>
      </c>
      <c r="E484" t="s">
        <v>667</v>
      </c>
      <c r="F484" t="s">
        <v>67</v>
      </c>
      <c r="G484" s="9"/>
      <c r="H484" s="10"/>
      <c r="I484" s="9"/>
      <c r="J484" s="10"/>
      <c r="K484" s="9"/>
      <c r="L484" t="s">
        <v>1089</v>
      </c>
      <c r="M484" t="str">
        <f>Config!$B$3&amp;"?room="&amp;A484</f>
        <v>https://wph-bujv.github.io/wph-rooms/?room=B-L07-K01C1-01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" customHeight="1" x14ac:dyDescent="0.25">
      <c r="A485" t="s">
        <v>1090</v>
      </c>
      <c r="B485" t="s">
        <v>653</v>
      </c>
      <c r="C485" t="s">
        <v>437</v>
      </c>
      <c r="D485" t="s">
        <v>1091</v>
      </c>
      <c r="E485" t="s">
        <v>667</v>
      </c>
      <c r="F485" t="s">
        <v>67</v>
      </c>
      <c r="G485" s="9"/>
      <c r="H485" s="10"/>
      <c r="I485" s="9"/>
      <c r="J485" s="10"/>
      <c r="K485" s="9"/>
      <c r="L485" t="s">
        <v>1089</v>
      </c>
      <c r="M485" t="str">
        <f>Config!$B$3&amp;"?room="&amp;A485</f>
        <v>https://wph-bujv.github.io/wph-rooms/?room=B-L07-K01C1-02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" customHeight="1" x14ac:dyDescent="0.25">
      <c r="A486" t="s">
        <v>1092</v>
      </c>
      <c r="B486" t="s">
        <v>653</v>
      </c>
      <c r="C486" t="s">
        <v>437</v>
      </c>
      <c r="D486" t="s">
        <v>1093</v>
      </c>
      <c r="E486" t="s">
        <v>674</v>
      </c>
      <c r="F486" t="s">
        <v>67</v>
      </c>
      <c r="G486" s="9"/>
      <c r="H486" s="10"/>
      <c r="I486" s="9"/>
      <c r="J486" s="10"/>
      <c r="K486" s="9"/>
      <c r="L486" t="s">
        <v>56</v>
      </c>
      <c r="M486" t="str">
        <f>Config!$B$3&amp;"?room="&amp;A486</f>
        <v>https://wph-bujv.github.io/wph-rooms/?room=B-L07-K02A-01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" customHeight="1" x14ac:dyDescent="0.25">
      <c r="A487" t="s">
        <v>1094</v>
      </c>
      <c r="B487" t="s">
        <v>653</v>
      </c>
      <c r="C487" t="s">
        <v>437</v>
      </c>
      <c r="D487" t="s">
        <v>1095</v>
      </c>
      <c r="E487" t="s">
        <v>674</v>
      </c>
      <c r="F487" t="s">
        <v>67</v>
      </c>
      <c r="G487" s="9"/>
      <c r="H487" s="10"/>
      <c r="I487" s="9"/>
      <c r="J487" s="10"/>
      <c r="K487" s="9"/>
      <c r="L487" t="s">
        <v>56</v>
      </c>
      <c r="M487" t="str">
        <f>Config!$B$3&amp;"?room="&amp;A487</f>
        <v>https://wph-bujv.github.io/wph-rooms/?room=B-L07-K02A-02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" customHeight="1" x14ac:dyDescent="0.25">
      <c r="A488" t="s">
        <v>1096</v>
      </c>
      <c r="B488" t="s">
        <v>653</v>
      </c>
      <c r="C488" t="s">
        <v>437</v>
      </c>
      <c r="D488" t="s">
        <v>1097</v>
      </c>
      <c r="E488" t="s">
        <v>912</v>
      </c>
      <c r="F488" t="s">
        <v>683</v>
      </c>
      <c r="G488" s="9"/>
      <c r="H488" s="10"/>
      <c r="I488" s="9"/>
      <c r="J488" s="10"/>
      <c r="K488" s="9"/>
      <c r="L488" t="s">
        <v>56</v>
      </c>
      <c r="M488" t="str">
        <f>Config!$B$3&amp;"?room="&amp;A488</f>
        <v>https://wph-bujv.github.io/wph-rooms/?room=B-L07-KADA2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" customHeight="1" x14ac:dyDescent="0.25">
      <c r="A489" t="s">
        <v>1098</v>
      </c>
      <c r="B489" t="s">
        <v>653</v>
      </c>
      <c r="C489" t="s">
        <v>437</v>
      </c>
      <c r="D489" t="s">
        <v>1099</v>
      </c>
      <c r="E489" t="s">
        <v>1100</v>
      </c>
      <c r="F489" t="s">
        <v>687</v>
      </c>
      <c r="G489" s="9"/>
      <c r="H489" s="10"/>
      <c r="I489" s="9"/>
      <c r="J489" s="10"/>
      <c r="K489" s="9"/>
      <c r="L489" t="s">
        <v>56</v>
      </c>
      <c r="M489" t="str">
        <f>Config!$B$3&amp;"?room="&amp;A489</f>
        <v>https://wph-bujv.github.io/wph-rooms/?room=B-L07-PS02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" customHeight="1" x14ac:dyDescent="0.25">
      <c r="A490" t="s">
        <v>1101</v>
      </c>
      <c r="B490" t="s">
        <v>653</v>
      </c>
      <c r="C490" t="s">
        <v>437</v>
      </c>
      <c r="D490" t="s">
        <v>1102</v>
      </c>
      <c r="E490" t="s">
        <v>1103</v>
      </c>
      <c r="F490" t="s">
        <v>687</v>
      </c>
      <c r="G490" s="9"/>
      <c r="H490" s="10"/>
      <c r="I490" s="9"/>
      <c r="J490" s="10"/>
      <c r="K490" s="9"/>
      <c r="L490" t="s">
        <v>56</v>
      </c>
      <c r="M490" t="str">
        <f>Config!$B$3&amp;"?room="&amp;A490</f>
        <v>https://wph-bujv.github.io/wph-rooms/?room=B-L07-PS03-01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" customHeight="1" x14ac:dyDescent="0.25">
      <c r="A491" t="s">
        <v>1104</v>
      </c>
      <c r="B491" t="s">
        <v>653</v>
      </c>
      <c r="C491" t="s">
        <v>437</v>
      </c>
      <c r="D491" t="s">
        <v>1105</v>
      </c>
      <c r="E491" t="s">
        <v>1103</v>
      </c>
      <c r="F491" t="s">
        <v>687</v>
      </c>
      <c r="G491" s="9"/>
      <c r="H491" s="10"/>
      <c r="I491" s="9"/>
      <c r="J491" s="10"/>
      <c r="K491" s="9"/>
      <c r="L491" t="s">
        <v>56</v>
      </c>
      <c r="M491" t="str">
        <f>Config!$B$3&amp;"?room="&amp;A491</f>
        <v>https://wph-bujv.github.io/wph-rooms/?room=B-L07-PS03-02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" customHeight="1" x14ac:dyDescent="0.25">
      <c r="A492" t="s">
        <v>1106</v>
      </c>
      <c r="B492" t="s">
        <v>653</v>
      </c>
      <c r="C492" t="s">
        <v>437</v>
      </c>
      <c r="D492" t="s">
        <v>1107</v>
      </c>
      <c r="E492" t="s">
        <v>113</v>
      </c>
      <c r="F492" t="s">
        <v>110</v>
      </c>
      <c r="G492" s="9"/>
      <c r="H492" s="10"/>
      <c r="I492" s="9"/>
      <c r="J492" s="10"/>
      <c r="K492" s="9"/>
      <c r="L492" t="s">
        <v>56</v>
      </c>
      <c r="M492" t="str">
        <f>Config!$B$3&amp;"?room="&amp;A492</f>
        <v>https://wph-bujv.github.io/wph-rooms/?room=B-L07-Q01C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" customHeight="1" x14ac:dyDescent="0.25">
      <c r="A493" t="s">
        <v>1108</v>
      </c>
      <c r="B493" t="s">
        <v>653</v>
      </c>
      <c r="C493" t="s">
        <v>437</v>
      </c>
      <c r="D493" t="s">
        <v>1109</v>
      </c>
      <c r="E493" t="s">
        <v>120</v>
      </c>
      <c r="F493" t="s">
        <v>110</v>
      </c>
      <c r="G493" s="9"/>
      <c r="H493" s="10"/>
      <c r="I493" s="9"/>
      <c r="J493" s="10"/>
      <c r="K493" s="9"/>
      <c r="L493" t="s">
        <v>56</v>
      </c>
      <c r="M493" t="str">
        <f>Config!$B$3&amp;"?room="&amp;A493</f>
        <v>https://wph-bujv.github.io/wph-rooms/?room=B-L07-Q01C1-01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" customHeight="1" x14ac:dyDescent="0.25">
      <c r="A494" t="s">
        <v>1110</v>
      </c>
      <c r="B494" t="s">
        <v>653</v>
      </c>
      <c r="C494" t="s">
        <v>437</v>
      </c>
      <c r="D494" t="s">
        <v>1111</v>
      </c>
      <c r="E494" t="s">
        <v>120</v>
      </c>
      <c r="F494" t="s">
        <v>110</v>
      </c>
      <c r="G494" s="9"/>
      <c r="H494" s="10"/>
      <c r="I494" s="9"/>
      <c r="J494" s="10"/>
      <c r="K494" s="9"/>
      <c r="L494" t="s">
        <v>56</v>
      </c>
      <c r="M494" t="str">
        <f>Config!$B$3&amp;"?room="&amp;A494</f>
        <v>https://wph-bujv.github.io/wph-rooms/?room=B-L07-Q01C1-02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" customHeight="1" x14ac:dyDescent="0.25">
      <c r="A495" t="s">
        <v>1112</v>
      </c>
      <c r="B495" t="s">
        <v>653</v>
      </c>
      <c r="C495" t="s">
        <v>437</v>
      </c>
      <c r="D495" t="s">
        <v>1113</v>
      </c>
      <c r="E495" t="s">
        <v>120</v>
      </c>
      <c r="F495" t="s">
        <v>110</v>
      </c>
      <c r="G495" s="9"/>
      <c r="H495" s="10"/>
      <c r="I495" s="9"/>
      <c r="J495" s="10"/>
      <c r="K495" s="9"/>
      <c r="L495" t="s">
        <v>56</v>
      </c>
      <c r="M495" t="str">
        <f>Config!$B$3&amp;"?room="&amp;A495</f>
        <v>https://wph-bujv.github.io/wph-rooms/?room=B-L07-Q01C1-03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" customHeight="1" x14ac:dyDescent="0.25">
      <c r="A496" t="s">
        <v>1114</v>
      </c>
      <c r="B496" t="s">
        <v>653</v>
      </c>
      <c r="C496" t="s">
        <v>437</v>
      </c>
      <c r="D496" t="s">
        <v>1115</v>
      </c>
      <c r="E496" t="s">
        <v>205</v>
      </c>
      <c r="F496" t="s">
        <v>110</v>
      </c>
      <c r="G496" s="9"/>
      <c r="H496" s="10"/>
      <c r="I496" s="9"/>
      <c r="J496" s="10"/>
      <c r="K496" s="9"/>
      <c r="L496" t="s">
        <v>56</v>
      </c>
      <c r="M496" t="str">
        <f>Config!$B$3&amp;"?room="&amp;A496</f>
        <v>https://wph-bujv.github.io/wph-rooms/?room=B-L07-Q02C1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" customHeight="1" x14ac:dyDescent="0.25">
      <c r="A497" t="s">
        <v>1116</v>
      </c>
      <c r="B497" t="s">
        <v>653</v>
      </c>
      <c r="C497" t="s">
        <v>437</v>
      </c>
      <c r="D497" t="s">
        <v>1117</v>
      </c>
      <c r="E497" t="s">
        <v>131</v>
      </c>
      <c r="F497" t="s">
        <v>110</v>
      </c>
      <c r="G497" s="9"/>
      <c r="H497" s="10"/>
      <c r="I497" s="9"/>
      <c r="J497" s="10"/>
      <c r="K497" s="9"/>
      <c r="L497" t="s">
        <v>56</v>
      </c>
      <c r="M497" t="str">
        <f>Config!$B$3&amp;"?room="&amp;A497</f>
        <v>https://wph-bujv.github.io/wph-rooms/?room=B-L07-Q02E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" customHeight="1" x14ac:dyDescent="0.25">
      <c r="A498" t="s">
        <v>1118</v>
      </c>
      <c r="B498" t="s">
        <v>653</v>
      </c>
      <c r="C498" t="s">
        <v>437</v>
      </c>
      <c r="D498" t="s">
        <v>1119</v>
      </c>
      <c r="E498" t="s">
        <v>791</v>
      </c>
      <c r="F498" t="s">
        <v>110</v>
      </c>
      <c r="G498" s="9"/>
      <c r="H498" s="10"/>
      <c r="I498" s="9"/>
      <c r="J498" s="10"/>
      <c r="K498" s="9"/>
      <c r="L498" t="s">
        <v>56</v>
      </c>
      <c r="M498" t="str">
        <f>Config!$B$3&amp;"?room="&amp;A498</f>
        <v>https://wph-bujv.github.io/wph-rooms/?room=B-L07-Q04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" customHeight="1" x14ac:dyDescent="0.25">
      <c r="A499" t="s">
        <v>1120</v>
      </c>
      <c r="B499" t="s">
        <v>653</v>
      </c>
      <c r="C499" t="s">
        <v>437</v>
      </c>
      <c r="D499" t="s">
        <v>1121</v>
      </c>
      <c r="E499" t="s">
        <v>711</v>
      </c>
      <c r="F499" t="s">
        <v>110</v>
      </c>
      <c r="G499" s="9"/>
      <c r="H499" s="10"/>
      <c r="I499" s="9"/>
      <c r="J499" s="10"/>
      <c r="K499" s="9"/>
      <c r="L499" t="s">
        <v>56</v>
      </c>
      <c r="M499" t="str">
        <f>Config!$B$3&amp;"?room="&amp;A499</f>
        <v>https://wph-bujv.github.io/wph-rooms/?room=B-L07-Q06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" customHeight="1" x14ac:dyDescent="0.25">
      <c r="A500" t="s">
        <v>1122</v>
      </c>
      <c r="B500" t="s">
        <v>653</v>
      </c>
      <c r="C500" t="s">
        <v>437</v>
      </c>
      <c r="D500" t="s">
        <v>1123</v>
      </c>
      <c r="E500" t="s">
        <v>1124</v>
      </c>
      <c r="F500" t="s">
        <v>110</v>
      </c>
      <c r="G500" s="9"/>
      <c r="H500" s="10"/>
      <c r="I500" s="9"/>
      <c r="J500" s="10"/>
      <c r="K500" s="9"/>
      <c r="L500" t="s">
        <v>56</v>
      </c>
      <c r="M500" t="str">
        <f>Config!$B$3&amp;"?room="&amp;A500</f>
        <v>https://wph-bujv.github.io/wph-rooms/?room=B-L07-Q07-01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" customHeight="1" x14ac:dyDescent="0.25">
      <c r="A501" t="s">
        <v>1125</v>
      </c>
      <c r="B501" t="s">
        <v>653</v>
      </c>
      <c r="C501" t="s">
        <v>437</v>
      </c>
      <c r="D501" t="s">
        <v>1126</v>
      </c>
      <c r="E501" t="s">
        <v>1124</v>
      </c>
      <c r="F501" t="s">
        <v>110</v>
      </c>
      <c r="G501" s="9"/>
      <c r="H501" s="10"/>
      <c r="I501" s="9"/>
      <c r="J501" s="10"/>
      <c r="K501" s="9"/>
      <c r="L501" t="s">
        <v>56</v>
      </c>
      <c r="M501" t="str">
        <f>Config!$B$3&amp;"?room="&amp;A501</f>
        <v>https://wph-bujv.github.io/wph-rooms/?room=B-L07-Q07-02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" customHeight="1" x14ac:dyDescent="0.25">
      <c r="A502" t="s">
        <v>1127</v>
      </c>
      <c r="B502" t="s">
        <v>653</v>
      </c>
      <c r="C502" t="s">
        <v>437</v>
      </c>
      <c r="D502" t="s">
        <v>1128</v>
      </c>
      <c r="E502" t="s">
        <v>725</v>
      </c>
      <c r="F502" t="s">
        <v>49</v>
      </c>
      <c r="G502" s="9"/>
      <c r="H502" s="10"/>
      <c r="I502" s="9"/>
      <c r="J502" s="10"/>
      <c r="K502" s="9"/>
      <c r="L502" t="s">
        <v>56</v>
      </c>
      <c r="M502" t="str">
        <f>Config!$B$3&amp;"?room="&amp;A502</f>
        <v>https://wph-bujv.github.io/wph-rooms/?room=B-L07-S03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" customHeight="1" x14ac:dyDescent="0.25">
      <c r="A503" t="s">
        <v>1129</v>
      </c>
      <c r="B503" t="s">
        <v>653</v>
      </c>
      <c r="C503" t="s">
        <v>437</v>
      </c>
      <c r="D503" t="s">
        <v>1130</v>
      </c>
      <c r="E503" t="s">
        <v>1131</v>
      </c>
      <c r="F503" t="s">
        <v>49</v>
      </c>
      <c r="G503" s="9"/>
      <c r="H503" s="10"/>
      <c r="I503" s="9"/>
      <c r="J503" s="10"/>
      <c r="K503" s="9"/>
      <c r="L503" t="s">
        <v>56</v>
      </c>
      <c r="M503" t="str">
        <f>Config!$B$3&amp;"?room="&amp;A503</f>
        <v>https://wph-bujv.github.io/wph-rooms/?room=B-L07-S09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" customHeight="1" x14ac:dyDescent="0.25">
      <c r="A504" t="s">
        <v>1132</v>
      </c>
      <c r="B504" t="s">
        <v>653</v>
      </c>
      <c r="C504" t="s">
        <v>437</v>
      </c>
      <c r="D504" t="s">
        <v>1133</v>
      </c>
      <c r="E504" t="s">
        <v>1134</v>
      </c>
      <c r="F504" t="s">
        <v>49</v>
      </c>
      <c r="G504" s="9"/>
      <c r="H504" s="10"/>
      <c r="I504" s="9"/>
      <c r="J504" s="10"/>
      <c r="K504" s="9"/>
      <c r="L504" t="s">
        <v>56</v>
      </c>
      <c r="M504" t="str">
        <f>Config!$B$3&amp;"?room="&amp;A504</f>
        <v>https://wph-bujv.github.io/wph-rooms/?room=B-L07-S10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" customHeight="1" x14ac:dyDescent="0.25">
      <c r="A505" t="s">
        <v>1135</v>
      </c>
      <c r="B505" t="s">
        <v>653</v>
      </c>
      <c r="C505" t="s">
        <v>511</v>
      </c>
      <c r="D505" t="s">
        <v>1136</v>
      </c>
      <c r="E505" t="s">
        <v>659</v>
      </c>
      <c r="F505" t="s">
        <v>54</v>
      </c>
      <c r="G505" s="9"/>
      <c r="H505" s="10"/>
      <c r="I505" s="9"/>
      <c r="J505" s="10"/>
      <c r="K505" s="9"/>
      <c r="L505" t="s">
        <v>506</v>
      </c>
      <c r="M505" t="str">
        <f>Config!$B$3&amp;"?room="&amp;A505</f>
        <v>https://wph-bujv.github.io/wph-rooms/?room=B-L08-F02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" customHeight="1" x14ac:dyDescent="0.25">
      <c r="A506" t="s">
        <v>1137</v>
      </c>
      <c r="B506" t="s">
        <v>653</v>
      </c>
      <c r="C506" t="s">
        <v>511</v>
      </c>
      <c r="D506" t="s">
        <v>1138</v>
      </c>
      <c r="E506" t="s">
        <v>733</v>
      </c>
      <c r="F506" t="s">
        <v>54</v>
      </c>
      <c r="G506" s="9"/>
      <c r="H506" s="10"/>
      <c r="I506" s="9"/>
      <c r="J506" s="10"/>
      <c r="K506" s="9"/>
      <c r="L506" t="s">
        <v>56</v>
      </c>
      <c r="M506" t="str">
        <f>Config!$B$3&amp;"?room="&amp;A506</f>
        <v>https://wph-bujv.github.io/wph-rooms/?room=B-L08-F06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" customHeight="1" x14ac:dyDescent="0.25">
      <c r="A507" t="s">
        <v>1139</v>
      </c>
      <c r="B507" t="s">
        <v>653</v>
      </c>
      <c r="C507" t="s">
        <v>511</v>
      </c>
      <c r="D507" t="s">
        <v>1140</v>
      </c>
      <c r="E507" t="s">
        <v>1141</v>
      </c>
      <c r="F507" t="s">
        <v>54</v>
      </c>
      <c r="G507" s="9"/>
      <c r="H507" s="10"/>
      <c r="I507" s="9"/>
      <c r="J507" s="10"/>
      <c r="K507" s="9"/>
      <c r="L507" t="s">
        <v>56</v>
      </c>
      <c r="M507" t="str">
        <f>Config!$B$3&amp;"?room="&amp;A507</f>
        <v>https://wph-bujv.github.io/wph-rooms/?room=B-L08-F07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" customHeight="1" x14ac:dyDescent="0.25">
      <c r="A508" t="s">
        <v>1142</v>
      </c>
      <c r="B508" t="s">
        <v>653</v>
      </c>
      <c r="C508" t="s">
        <v>511</v>
      </c>
      <c r="D508" t="s">
        <v>1143</v>
      </c>
      <c r="E508" t="s">
        <v>1144</v>
      </c>
      <c r="F508" t="s">
        <v>54</v>
      </c>
      <c r="G508" s="9"/>
      <c r="H508" s="10"/>
      <c r="I508" s="9"/>
      <c r="J508" s="10"/>
      <c r="K508" s="9"/>
      <c r="L508" t="s">
        <v>56</v>
      </c>
      <c r="M508" t="str">
        <f>Config!$B$3&amp;"?room="&amp;A508</f>
        <v>https://wph-bujv.github.io/wph-rooms/?room=B-L08-F08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" customHeight="1" x14ac:dyDescent="0.25">
      <c r="A509" t="s">
        <v>1145</v>
      </c>
      <c r="B509" t="s">
        <v>653</v>
      </c>
      <c r="C509" t="s">
        <v>511</v>
      </c>
      <c r="D509" t="s">
        <v>1146</v>
      </c>
      <c r="E509" t="s">
        <v>662</v>
      </c>
      <c r="F509" t="s">
        <v>67</v>
      </c>
      <c r="G509" s="9"/>
      <c r="H509" s="10"/>
      <c r="I509" s="9"/>
      <c r="J509" s="10"/>
      <c r="K509" s="9"/>
      <c r="L509" t="s">
        <v>56</v>
      </c>
      <c r="M509" t="str">
        <f>Config!$B$3&amp;"?room="&amp;A509</f>
        <v>https://wph-bujv.github.io/wph-rooms/?room=B-L08-K01A-01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" customHeight="1" x14ac:dyDescent="0.25">
      <c r="A510" t="s">
        <v>1147</v>
      </c>
      <c r="B510" t="s">
        <v>653</v>
      </c>
      <c r="C510" t="s">
        <v>511</v>
      </c>
      <c r="D510" t="s">
        <v>1148</v>
      </c>
      <c r="E510" t="s">
        <v>662</v>
      </c>
      <c r="F510" t="s">
        <v>67</v>
      </c>
      <c r="G510" s="9"/>
      <c r="H510" s="10"/>
      <c r="I510" s="9"/>
      <c r="J510" s="10"/>
      <c r="K510" s="9"/>
      <c r="L510" t="s">
        <v>56</v>
      </c>
      <c r="M510" t="str">
        <f>Config!$B$3&amp;"?room="&amp;A510</f>
        <v>https://wph-bujv.github.io/wph-rooms/?room=B-L08-K01A-02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" customHeight="1" x14ac:dyDescent="0.25">
      <c r="A511" t="s">
        <v>1149</v>
      </c>
      <c r="B511" t="s">
        <v>653</v>
      </c>
      <c r="C511" t="s">
        <v>511</v>
      </c>
      <c r="D511" t="s">
        <v>1150</v>
      </c>
      <c r="E511" t="s">
        <v>662</v>
      </c>
      <c r="F511" t="s">
        <v>67</v>
      </c>
      <c r="G511" s="9"/>
      <c r="H511" s="10"/>
      <c r="I511" s="9"/>
      <c r="J511" s="10"/>
      <c r="K511" s="9"/>
      <c r="L511" t="s">
        <v>56</v>
      </c>
      <c r="M511" t="str">
        <f>Config!$B$3&amp;"?room="&amp;A511</f>
        <v>https://wph-bujv.github.io/wph-rooms/?room=B-L08-K01A-03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" customHeight="1" x14ac:dyDescent="0.25">
      <c r="A512" t="s">
        <v>1151</v>
      </c>
      <c r="B512" t="s">
        <v>653</v>
      </c>
      <c r="C512" t="s">
        <v>511</v>
      </c>
      <c r="D512" t="s">
        <v>1152</v>
      </c>
      <c r="E512" t="s">
        <v>674</v>
      </c>
      <c r="F512" t="s">
        <v>67</v>
      </c>
      <c r="G512" s="9"/>
      <c r="H512" s="10"/>
      <c r="I512" s="9"/>
      <c r="J512" s="10"/>
      <c r="K512" s="9"/>
      <c r="L512" t="s">
        <v>56</v>
      </c>
      <c r="M512" t="str">
        <f>Config!$B$3&amp;"?room="&amp;A512</f>
        <v>https://wph-bujv.github.io/wph-rooms/?room=B-L08-K02A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" customHeight="1" x14ac:dyDescent="0.25">
      <c r="A513" t="s">
        <v>1153</v>
      </c>
      <c r="B513" t="s">
        <v>653</v>
      </c>
      <c r="C513" t="s">
        <v>511</v>
      </c>
      <c r="D513" t="s">
        <v>1154</v>
      </c>
      <c r="E513" t="s">
        <v>912</v>
      </c>
      <c r="F513" t="s">
        <v>683</v>
      </c>
      <c r="G513" s="9"/>
      <c r="H513" s="10"/>
      <c r="I513" s="9"/>
      <c r="J513" s="10"/>
      <c r="K513" s="9"/>
      <c r="L513" t="s">
        <v>56</v>
      </c>
      <c r="M513" t="str">
        <f>Config!$B$3&amp;"?room="&amp;A513</f>
        <v>https://wph-bujv.github.io/wph-rooms/?room=B-L08-KADA2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" customHeight="1" x14ac:dyDescent="0.25">
      <c r="A514" t="s">
        <v>1155</v>
      </c>
      <c r="B514" t="s">
        <v>653</v>
      </c>
      <c r="C514" t="s">
        <v>511</v>
      </c>
      <c r="D514" t="s">
        <v>1156</v>
      </c>
      <c r="E514" t="s">
        <v>1100</v>
      </c>
      <c r="F514" t="s">
        <v>687</v>
      </c>
      <c r="G514" s="9"/>
      <c r="H514" s="10"/>
      <c r="I514" s="9"/>
      <c r="J514" s="10"/>
      <c r="K514" s="9"/>
      <c r="L514" t="s">
        <v>56</v>
      </c>
      <c r="M514" t="str">
        <f>Config!$B$3&amp;"?room="&amp;A514</f>
        <v>https://wph-bujv.github.io/wph-rooms/?room=B-L08-PS02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" customHeight="1" x14ac:dyDescent="0.25">
      <c r="A515" t="s">
        <v>1157</v>
      </c>
      <c r="B515" t="s">
        <v>653</v>
      </c>
      <c r="C515" t="s">
        <v>511</v>
      </c>
      <c r="D515" t="s">
        <v>1158</v>
      </c>
      <c r="E515" t="s">
        <v>1103</v>
      </c>
      <c r="F515" t="s">
        <v>687</v>
      </c>
      <c r="G515" s="9"/>
      <c r="H515" s="10"/>
      <c r="I515" s="9"/>
      <c r="J515" s="10"/>
      <c r="K515" s="9"/>
      <c r="L515" t="s">
        <v>56</v>
      </c>
      <c r="M515" t="str">
        <f>Config!$B$3&amp;"?room="&amp;A515</f>
        <v>https://wph-bujv.github.io/wph-rooms/?room=B-L08-PS03-01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" customHeight="1" x14ac:dyDescent="0.25">
      <c r="A516" t="s">
        <v>1159</v>
      </c>
      <c r="B516" t="s">
        <v>653</v>
      </c>
      <c r="C516" t="s">
        <v>511</v>
      </c>
      <c r="D516" t="s">
        <v>1160</v>
      </c>
      <c r="E516" t="s">
        <v>1103</v>
      </c>
      <c r="F516" t="s">
        <v>687</v>
      </c>
      <c r="G516" s="9"/>
      <c r="H516" s="10"/>
      <c r="I516" s="9"/>
      <c r="J516" s="10"/>
      <c r="K516" s="9"/>
      <c r="L516" t="s">
        <v>506</v>
      </c>
      <c r="M516" t="str">
        <f>Config!$B$3&amp;"?room="&amp;A516</f>
        <v>https://wph-bujv.github.io/wph-rooms/?room=B-L08-PS03-02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" customHeight="1" x14ac:dyDescent="0.25">
      <c r="A517" t="s">
        <v>1161</v>
      </c>
      <c r="B517" t="s">
        <v>653</v>
      </c>
      <c r="C517" t="s">
        <v>511</v>
      </c>
      <c r="D517" t="s">
        <v>1162</v>
      </c>
      <c r="E517" t="s">
        <v>113</v>
      </c>
      <c r="F517" t="s">
        <v>110</v>
      </c>
      <c r="G517" s="9"/>
      <c r="H517" s="10"/>
      <c r="I517" s="9"/>
      <c r="J517" s="10"/>
      <c r="K517" s="9"/>
      <c r="L517" t="s">
        <v>56</v>
      </c>
      <c r="M517" t="str">
        <f>Config!$B$3&amp;"?room="&amp;A517</f>
        <v>https://wph-bujv.github.io/wph-rooms/?room=B-L08-Q01C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" customHeight="1" x14ac:dyDescent="0.25">
      <c r="A518" t="s">
        <v>1163</v>
      </c>
      <c r="B518" t="s">
        <v>653</v>
      </c>
      <c r="C518" t="s">
        <v>511</v>
      </c>
      <c r="D518" t="s">
        <v>1164</v>
      </c>
      <c r="E518" t="s">
        <v>120</v>
      </c>
      <c r="F518" t="s">
        <v>110</v>
      </c>
      <c r="G518" s="9"/>
      <c r="H518" s="10"/>
      <c r="I518" s="9"/>
      <c r="J518" s="10"/>
      <c r="K518" s="9"/>
      <c r="L518" t="s">
        <v>56</v>
      </c>
      <c r="M518" t="str">
        <f>Config!$B$3&amp;"?room="&amp;A518</f>
        <v>https://wph-bujv.github.io/wph-rooms/?room=B-L08-Q01C1-01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" customHeight="1" x14ac:dyDescent="0.25">
      <c r="A519" t="s">
        <v>1165</v>
      </c>
      <c r="B519" t="s">
        <v>653</v>
      </c>
      <c r="C519" t="s">
        <v>511</v>
      </c>
      <c r="D519" t="s">
        <v>1166</v>
      </c>
      <c r="E519" t="s">
        <v>120</v>
      </c>
      <c r="F519" t="s">
        <v>110</v>
      </c>
      <c r="G519" s="9"/>
      <c r="H519" s="10"/>
      <c r="I519" s="9"/>
      <c r="J519" s="10"/>
      <c r="K519" s="9"/>
      <c r="L519" t="s">
        <v>56</v>
      </c>
      <c r="M519" t="str">
        <f>Config!$B$3&amp;"?room="&amp;A519</f>
        <v>https://wph-bujv.github.io/wph-rooms/?room=B-L08-Q01C1-02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" customHeight="1" x14ac:dyDescent="0.25">
      <c r="A520" t="s">
        <v>1167</v>
      </c>
      <c r="B520" t="s">
        <v>653</v>
      </c>
      <c r="C520" t="s">
        <v>511</v>
      </c>
      <c r="D520" t="s">
        <v>1168</v>
      </c>
      <c r="E520" t="s">
        <v>205</v>
      </c>
      <c r="F520" t="s">
        <v>110</v>
      </c>
      <c r="G520" s="9"/>
      <c r="H520" s="10"/>
      <c r="I520" s="9"/>
      <c r="J520" s="10"/>
      <c r="K520" s="9"/>
      <c r="L520" t="s">
        <v>56</v>
      </c>
      <c r="M520" t="str">
        <f>Config!$B$3&amp;"?room="&amp;A520</f>
        <v>https://wph-bujv.github.io/wph-rooms/?room=B-L08-Q02C1-01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" customHeight="1" x14ac:dyDescent="0.25">
      <c r="A521" t="s">
        <v>1169</v>
      </c>
      <c r="B521" t="s">
        <v>653</v>
      </c>
      <c r="C521" t="s">
        <v>511</v>
      </c>
      <c r="D521" t="s">
        <v>1170</v>
      </c>
      <c r="E521" t="s">
        <v>205</v>
      </c>
      <c r="F521" t="s">
        <v>110</v>
      </c>
      <c r="G521" s="9"/>
      <c r="H521" s="10"/>
      <c r="I521" s="9"/>
      <c r="J521" s="10"/>
      <c r="K521" s="9"/>
      <c r="L521" t="s">
        <v>56</v>
      </c>
      <c r="M521" t="str">
        <f>Config!$B$3&amp;"?room="&amp;A521</f>
        <v>https://wph-bujv.github.io/wph-rooms/?room=B-L08-Q02C1-02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" customHeight="1" x14ac:dyDescent="0.25">
      <c r="A522" t="s">
        <v>1171</v>
      </c>
      <c r="B522" t="s">
        <v>653</v>
      </c>
      <c r="C522" t="s">
        <v>511</v>
      </c>
      <c r="D522" t="s">
        <v>1172</v>
      </c>
      <c r="E522" t="s">
        <v>131</v>
      </c>
      <c r="F522" t="s">
        <v>110</v>
      </c>
      <c r="G522" s="9"/>
      <c r="H522" s="10"/>
      <c r="I522" s="9"/>
      <c r="J522" s="10"/>
      <c r="K522" s="9"/>
      <c r="L522" t="s">
        <v>1173</v>
      </c>
      <c r="M522" t="str">
        <f>Config!$B$3&amp;"?room="&amp;A522</f>
        <v>https://wph-bujv.github.io/wph-rooms/?room=B-L08-Q02E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" customHeight="1" x14ac:dyDescent="0.25">
      <c r="A523" t="s">
        <v>1174</v>
      </c>
      <c r="B523" t="s">
        <v>653</v>
      </c>
      <c r="C523" t="s">
        <v>511</v>
      </c>
      <c r="D523" t="s">
        <v>1175</v>
      </c>
      <c r="E523" t="s">
        <v>791</v>
      </c>
      <c r="F523" t="s">
        <v>110</v>
      </c>
      <c r="G523" s="9"/>
      <c r="H523" s="10"/>
      <c r="I523" s="9"/>
      <c r="J523" s="10"/>
      <c r="K523" s="9"/>
      <c r="L523" t="s">
        <v>56</v>
      </c>
      <c r="M523" t="str">
        <f>Config!$B$3&amp;"?room="&amp;A523</f>
        <v>https://wph-bujv.github.io/wph-rooms/?room=B-L08-Q04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" customHeight="1" x14ac:dyDescent="0.25">
      <c r="A524" t="s">
        <v>1176</v>
      </c>
      <c r="B524" t="s">
        <v>653</v>
      </c>
      <c r="C524" t="s">
        <v>511</v>
      </c>
      <c r="D524" t="s">
        <v>1177</v>
      </c>
      <c r="E524" t="s">
        <v>711</v>
      </c>
      <c r="F524" t="s">
        <v>110</v>
      </c>
      <c r="G524" s="9"/>
      <c r="H524" s="10"/>
      <c r="I524" s="9"/>
      <c r="J524" s="10"/>
      <c r="K524" s="9"/>
      <c r="L524" t="s">
        <v>56</v>
      </c>
      <c r="M524" t="str">
        <f>Config!$B$3&amp;"?room="&amp;A524</f>
        <v>https://wph-bujv.github.io/wph-rooms/?room=B-L08-Q06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" customHeight="1" x14ac:dyDescent="0.25">
      <c r="A525" t="s">
        <v>1178</v>
      </c>
      <c r="B525" t="s">
        <v>653</v>
      </c>
      <c r="C525" t="s">
        <v>511</v>
      </c>
      <c r="D525" t="s">
        <v>1179</v>
      </c>
      <c r="E525" t="s">
        <v>1124</v>
      </c>
      <c r="F525" t="s">
        <v>110</v>
      </c>
      <c r="G525" s="9"/>
      <c r="H525" s="10"/>
      <c r="I525" s="9"/>
      <c r="J525" s="10"/>
      <c r="K525" s="9"/>
      <c r="L525" t="s">
        <v>56</v>
      </c>
      <c r="M525" t="str">
        <f>Config!$B$3&amp;"?room="&amp;A525</f>
        <v>https://wph-bujv.github.io/wph-rooms/?room=B-L08-Q07-01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" customHeight="1" x14ac:dyDescent="0.25">
      <c r="A526" t="s">
        <v>1180</v>
      </c>
      <c r="B526" t="s">
        <v>653</v>
      </c>
      <c r="C526" t="s">
        <v>511</v>
      </c>
      <c r="D526" t="s">
        <v>1181</v>
      </c>
      <c r="E526" t="s">
        <v>1124</v>
      </c>
      <c r="F526" t="s">
        <v>110</v>
      </c>
      <c r="G526" s="9"/>
      <c r="H526" s="10"/>
      <c r="I526" s="9"/>
      <c r="J526" s="10"/>
      <c r="K526" s="9"/>
      <c r="L526" t="s">
        <v>56</v>
      </c>
      <c r="M526" t="str">
        <f>Config!$B$3&amp;"?room="&amp;A526</f>
        <v>https://wph-bujv.github.io/wph-rooms/?room=B-L08-Q07-02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" customHeight="1" x14ac:dyDescent="0.25">
      <c r="A527" t="s">
        <v>1182</v>
      </c>
      <c r="B527" t="s">
        <v>653</v>
      </c>
      <c r="C527" t="s">
        <v>511</v>
      </c>
      <c r="D527" t="s">
        <v>1183</v>
      </c>
      <c r="E527" t="s">
        <v>725</v>
      </c>
      <c r="F527" t="s">
        <v>49</v>
      </c>
      <c r="G527" s="9"/>
      <c r="H527" s="10"/>
      <c r="I527" s="9"/>
      <c r="J527" s="10"/>
      <c r="K527" s="9"/>
      <c r="L527" t="s">
        <v>56</v>
      </c>
      <c r="M527" t="str">
        <f>Config!$B$3&amp;"?room="&amp;A527</f>
        <v>https://wph-bujv.github.io/wph-rooms/?room=B-L08-S03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" customHeight="1" x14ac:dyDescent="0.25">
      <c r="A528" t="s">
        <v>1184</v>
      </c>
      <c r="B528" t="s">
        <v>653</v>
      </c>
      <c r="C528" t="s">
        <v>511</v>
      </c>
      <c r="D528" t="s">
        <v>1185</v>
      </c>
      <c r="E528" t="s">
        <v>1131</v>
      </c>
      <c r="F528" t="s">
        <v>49</v>
      </c>
      <c r="G528" s="9"/>
      <c r="H528" s="10"/>
      <c r="I528" s="9"/>
      <c r="J528" s="10"/>
      <c r="K528" s="9"/>
      <c r="L528" t="s">
        <v>56</v>
      </c>
      <c r="M528" t="str">
        <f>Config!$B$3&amp;"?room="&amp;A528</f>
        <v>https://wph-bujv.github.io/wph-rooms/?room=B-L08-S09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" customHeight="1" x14ac:dyDescent="0.25">
      <c r="A529" t="s">
        <v>1186</v>
      </c>
      <c r="B529" t="s">
        <v>653</v>
      </c>
      <c r="C529" t="s">
        <v>511</v>
      </c>
      <c r="D529" t="s">
        <v>1187</v>
      </c>
      <c r="E529" t="s">
        <v>1134</v>
      </c>
      <c r="F529" t="s">
        <v>49</v>
      </c>
      <c r="G529" s="9"/>
      <c r="H529" s="10"/>
      <c r="I529" s="9"/>
      <c r="J529" s="10"/>
      <c r="K529" s="9"/>
      <c r="L529" t="s">
        <v>56</v>
      </c>
      <c r="M529" t="str">
        <f>Config!$B$3&amp;"?room="&amp;A529</f>
        <v>https://wph-bujv.github.io/wph-rooms/?room=B-L08-S10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" customHeight="1" x14ac:dyDescent="0.25">
      <c r="A530" t="s">
        <v>1188</v>
      </c>
      <c r="B530" t="s">
        <v>653</v>
      </c>
      <c r="C530" t="s">
        <v>582</v>
      </c>
      <c r="D530" t="s">
        <v>1189</v>
      </c>
      <c r="E530" t="s">
        <v>659</v>
      </c>
      <c r="F530" t="s">
        <v>54</v>
      </c>
      <c r="G530" s="9"/>
      <c r="H530" s="10"/>
      <c r="I530" s="9"/>
      <c r="J530" s="10"/>
      <c r="K530" s="9"/>
      <c r="L530" t="s">
        <v>506</v>
      </c>
      <c r="M530" t="str">
        <f>Config!$B$3&amp;"?room="&amp;A530</f>
        <v>https://wph-bujv.github.io/wph-rooms/?room=B-L09-F02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" customHeight="1" x14ac:dyDescent="0.25">
      <c r="A531" t="s">
        <v>1190</v>
      </c>
      <c r="B531" t="s">
        <v>653</v>
      </c>
      <c r="C531" t="s">
        <v>582</v>
      </c>
      <c r="D531" t="s">
        <v>1191</v>
      </c>
      <c r="E531" t="s">
        <v>733</v>
      </c>
      <c r="F531" t="s">
        <v>54</v>
      </c>
      <c r="G531" s="9"/>
      <c r="H531" s="10"/>
      <c r="I531" s="9"/>
      <c r="J531" s="10"/>
      <c r="K531" s="9"/>
      <c r="L531" t="s">
        <v>56</v>
      </c>
      <c r="M531" t="str">
        <f>Config!$B$3&amp;"?room="&amp;A531</f>
        <v>https://wph-bujv.github.io/wph-rooms/?room=B-L09-F06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" customHeight="1" x14ac:dyDescent="0.25">
      <c r="A532" t="s">
        <v>1192</v>
      </c>
      <c r="B532" t="s">
        <v>653</v>
      </c>
      <c r="C532" t="s">
        <v>582</v>
      </c>
      <c r="D532" t="s">
        <v>1193</v>
      </c>
      <c r="E532" t="s">
        <v>1141</v>
      </c>
      <c r="F532" t="s">
        <v>54</v>
      </c>
      <c r="G532" s="9"/>
      <c r="H532" s="10"/>
      <c r="I532" s="9"/>
      <c r="J532" s="10"/>
      <c r="K532" s="9"/>
      <c r="L532" t="s">
        <v>56</v>
      </c>
      <c r="M532" t="str">
        <f>Config!$B$3&amp;"?room="&amp;A532</f>
        <v>https://wph-bujv.github.io/wph-rooms/?room=B-L09-F07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" customHeight="1" x14ac:dyDescent="0.25">
      <c r="A533" t="s">
        <v>1194</v>
      </c>
      <c r="B533" t="s">
        <v>653</v>
      </c>
      <c r="C533" t="s">
        <v>582</v>
      </c>
      <c r="D533" t="s">
        <v>1195</v>
      </c>
      <c r="E533" t="s">
        <v>1144</v>
      </c>
      <c r="F533" t="s">
        <v>54</v>
      </c>
      <c r="G533" s="9"/>
      <c r="H533" s="10"/>
      <c r="I533" s="9"/>
      <c r="J533" s="10"/>
      <c r="K533" s="9"/>
      <c r="L533" t="s">
        <v>56</v>
      </c>
      <c r="M533" t="str">
        <f>Config!$B$3&amp;"?room="&amp;A533</f>
        <v>https://wph-bujv.github.io/wph-rooms/?room=B-L09-F08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" customHeight="1" x14ac:dyDescent="0.25">
      <c r="A534" t="s">
        <v>1196</v>
      </c>
      <c r="B534" t="s">
        <v>653</v>
      </c>
      <c r="C534" t="s">
        <v>582</v>
      </c>
      <c r="D534" t="s">
        <v>1197</v>
      </c>
      <c r="E534" t="s">
        <v>662</v>
      </c>
      <c r="F534" t="s">
        <v>67</v>
      </c>
      <c r="G534" s="9"/>
      <c r="H534" s="10"/>
      <c r="I534" s="9"/>
      <c r="J534" s="10"/>
      <c r="K534" s="9"/>
      <c r="L534" t="s">
        <v>56</v>
      </c>
      <c r="M534" t="str">
        <f>Config!$B$3&amp;"?room="&amp;A534</f>
        <v>https://wph-bujv.github.io/wph-rooms/?room=B-L09-K01A-01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" customHeight="1" x14ac:dyDescent="0.25">
      <c r="A535" t="s">
        <v>1198</v>
      </c>
      <c r="B535" t="s">
        <v>653</v>
      </c>
      <c r="C535" t="s">
        <v>582</v>
      </c>
      <c r="D535" t="s">
        <v>1199</v>
      </c>
      <c r="E535" t="s">
        <v>662</v>
      </c>
      <c r="F535" t="s">
        <v>67</v>
      </c>
      <c r="G535" s="9"/>
      <c r="H535" s="10"/>
      <c r="I535" s="9"/>
      <c r="J535" s="10"/>
      <c r="K535" s="9"/>
      <c r="L535" t="s">
        <v>56</v>
      </c>
      <c r="M535" t="str">
        <f>Config!$B$3&amp;"?room="&amp;A535</f>
        <v>https://wph-bujv.github.io/wph-rooms/?room=B-L09-K01A-02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" customHeight="1" x14ac:dyDescent="0.25">
      <c r="A536" t="s">
        <v>1200</v>
      </c>
      <c r="B536" t="s">
        <v>653</v>
      </c>
      <c r="C536" t="s">
        <v>582</v>
      </c>
      <c r="D536" t="s">
        <v>1201</v>
      </c>
      <c r="E536" t="s">
        <v>662</v>
      </c>
      <c r="F536" t="s">
        <v>67</v>
      </c>
      <c r="G536" s="9"/>
      <c r="H536" s="10"/>
      <c r="I536" s="9"/>
      <c r="J536" s="10"/>
      <c r="K536" s="9"/>
      <c r="L536" t="s">
        <v>56</v>
      </c>
      <c r="M536" t="str">
        <f>Config!$B$3&amp;"?room="&amp;A536</f>
        <v>https://wph-bujv.github.io/wph-rooms/?room=B-L09-K01A-03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" customHeight="1" x14ac:dyDescent="0.25">
      <c r="A537" t="s">
        <v>1202</v>
      </c>
      <c r="B537" t="s">
        <v>653</v>
      </c>
      <c r="C537" t="s">
        <v>582</v>
      </c>
      <c r="D537" t="s">
        <v>1203</v>
      </c>
      <c r="E537" t="s">
        <v>674</v>
      </c>
      <c r="F537" t="s">
        <v>67</v>
      </c>
      <c r="G537" s="9"/>
      <c r="H537" s="10"/>
      <c r="I537" s="9"/>
      <c r="J537" s="10"/>
      <c r="K537" s="9"/>
      <c r="L537" t="s">
        <v>56</v>
      </c>
      <c r="M537" t="str">
        <f>Config!$B$3&amp;"?room="&amp;A537</f>
        <v>https://wph-bujv.github.io/wph-rooms/?room=B-L09-K02A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" customHeight="1" x14ac:dyDescent="0.25">
      <c r="A538" t="s">
        <v>1204</v>
      </c>
      <c r="B538" t="s">
        <v>653</v>
      </c>
      <c r="C538" t="s">
        <v>582</v>
      </c>
      <c r="D538" t="s">
        <v>1205</v>
      </c>
      <c r="E538" t="s">
        <v>912</v>
      </c>
      <c r="F538" t="s">
        <v>683</v>
      </c>
      <c r="G538" s="9"/>
      <c r="H538" s="10"/>
      <c r="I538" s="9"/>
      <c r="J538" s="10"/>
      <c r="K538" s="9"/>
      <c r="L538" t="s">
        <v>56</v>
      </c>
      <c r="M538" t="str">
        <f>Config!$B$3&amp;"?room="&amp;A538</f>
        <v>https://wph-bujv.github.io/wph-rooms/?room=B-L09-KADA2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" customHeight="1" x14ac:dyDescent="0.25">
      <c r="A539" t="s">
        <v>1206</v>
      </c>
      <c r="B539" t="s">
        <v>653</v>
      </c>
      <c r="C539" t="s">
        <v>582</v>
      </c>
      <c r="D539" t="s">
        <v>1207</v>
      </c>
      <c r="E539" t="s">
        <v>1100</v>
      </c>
      <c r="F539" t="s">
        <v>687</v>
      </c>
      <c r="G539" s="9"/>
      <c r="H539" s="10"/>
      <c r="I539" s="9"/>
      <c r="J539" s="10"/>
      <c r="K539" s="9"/>
      <c r="L539" t="s">
        <v>56</v>
      </c>
      <c r="M539" t="str">
        <f>Config!$B$3&amp;"?room="&amp;A539</f>
        <v>https://wph-bujv.github.io/wph-rooms/?room=B-L09-PS02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" customHeight="1" x14ac:dyDescent="0.25">
      <c r="A540" t="s">
        <v>1208</v>
      </c>
      <c r="B540" t="s">
        <v>653</v>
      </c>
      <c r="C540" t="s">
        <v>582</v>
      </c>
      <c r="D540" t="s">
        <v>1209</v>
      </c>
      <c r="E540" t="s">
        <v>1103</v>
      </c>
      <c r="F540" t="s">
        <v>687</v>
      </c>
      <c r="G540" s="9"/>
      <c r="H540" s="10"/>
      <c r="I540" s="9"/>
      <c r="J540" s="10"/>
      <c r="K540" s="9"/>
      <c r="L540" t="s">
        <v>56</v>
      </c>
      <c r="M540" t="str">
        <f>Config!$B$3&amp;"?room="&amp;A540</f>
        <v>https://wph-bujv.github.io/wph-rooms/?room=B-L09-PS03-01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" customHeight="1" x14ac:dyDescent="0.25">
      <c r="A541" t="s">
        <v>1210</v>
      </c>
      <c r="B541" t="s">
        <v>653</v>
      </c>
      <c r="C541" t="s">
        <v>582</v>
      </c>
      <c r="D541" t="s">
        <v>1211</v>
      </c>
      <c r="E541" t="s">
        <v>1103</v>
      </c>
      <c r="F541" t="s">
        <v>687</v>
      </c>
      <c r="G541" s="9"/>
      <c r="H541" s="10"/>
      <c r="I541" s="9"/>
      <c r="J541" s="10"/>
      <c r="K541" s="9"/>
      <c r="L541" t="s">
        <v>506</v>
      </c>
      <c r="M541" t="str">
        <f>Config!$B$3&amp;"?room="&amp;A541</f>
        <v>https://wph-bujv.github.io/wph-rooms/?room=B-L09-PS03-02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" customHeight="1" x14ac:dyDescent="0.25">
      <c r="A542" t="s">
        <v>1212</v>
      </c>
      <c r="B542" t="s">
        <v>653</v>
      </c>
      <c r="C542" t="s">
        <v>582</v>
      </c>
      <c r="D542" t="s">
        <v>1213</v>
      </c>
      <c r="E542" t="s">
        <v>113</v>
      </c>
      <c r="F542" t="s">
        <v>110</v>
      </c>
      <c r="G542" s="9"/>
      <c r="H542" s="10"/>
      <c r="I542" s="9"/>
      <c r="J542" s="10"/>
      <c r="K542" s="9"/>
      <c r="L542" t="s">
        <v>56</v>
      </c>
      <c r="M542" t="str">
        <f>Config!$B$3&amp;"?room="&amp;A542</f>
        <v>https://wph-bujv.github.io/wph-rooms/?room=B-L09-Q01C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" customHeight="1" x14ac:dyDescent="0.25">
      <c r="A543" t="s">
        <v>1214</v>
      </c>
      <c r="B543" t="s">
        <v>653</v>
      </c>
      <c r="C543" t="s">
        <v>582</v>
      </c>
      <c r="D543" t="s">
        <v>1215</v>
      </c>
      <c r="E543" t="s">
        <v>120</v>
      </c>
      <c r="F543" t="s">
        <v>110</v>
      </c>
      <c r="G543" s="9"/>
      <c r="H543" s="10"/>
      <c r="I543" s="9"/>
      <c r="J543" s="10"/>
      <c r="K543" s="9"/>
      <c r="L543" t="s">
        <v>56</v>
      </c>
      <c r="M543" t="str">
        <f>Config!$B$3&amp;"?room="&amp;A543</f>
        <v>https://wph-bujv.github.io/wph-rooms/?room=B-L09-Q01C1-01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" customHeight="1" x14ac:dyDescent="0.25">
      <c r="A544" t="s">
        <v>1216</v>
      </c>
      <c r="B544" t="s">
        <v>653</v>
      </c>
      <c r="C544" t="s">
        <v>582</v>
      </c>
      <c r="D544" t="s">
        <v>1217</v>
      </c>
      <c r="E544" t="s">
        <v>120</v>
      </c>
      <c r="F544" t="s">
        <v>110</v>
      </c>
      <c r="G544" s="9"/>
      <c r="H544" s="10"/>
      <c r="I544" s="9"/>
      <c r="J544" s="10"/>
      <c r="K544" s="9"/>
      <c r="L544" t="s">
        <v>56</v>
      </c>
      <c r="M544" t="str">
        <f>Config!$B$3&amp;"?room="&amp;A544</f>
        <v>https://wph-bujv.github.io/wph-rooms/?room=B-L09-Q01C1-02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" customHeight="1" x14ac:dyDescent="0.25">
      <c r="A545" t="s">
        <v>1218</v>
      </c>
      <c r="B545" t="s">
        <v>653</v>
      </c>
      <c r="C545" t="s">
        <v>582</v>
      </c>
      <c r="D545" t="s">
        <v>1219</v>
      </c>
      <c r="E545" t="s">
        <v>205</v>
      </c>
      <c r="F545" t="s">
        <v>110</v>
      </c>
      <c r="G545" s="9"/>
      <c r="H545" s="10"/>
      <c r="I545" s="9"/>
      <c r="J545" s="10"/>
      <c r="K545" s="9"/>
      <c r="L545" t="s">
        <v>56</v>
      </c>
      <c r="M545" t="str">
        <f>Config!$B$3&amp;"?room="&amp;A545</f>
        <v>https://wph-bujv.github.io/wph-rooms/?room=B-L09-Q02C1-01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" customHeight="1" x14ac:dyDescent="0.25">
      <c r="A546" t="s">
        <v>1220</v>
      </c>
      <c r="B546" t="s">
        <v>653</v>
      </c>
      <c r="C546" t="s">
        <v>582</v>
      </c>
      <c r="D546" t="s">
        <v>1221</v>
      </c>
      <c r="E546" t="s">
        <v>205</v>
      </c>
      <c r="F546" t="s">
        <v>110</v>
      </c>
      <c r="G546" s="9"/>
      <c r="H546" s="10"/>
      <c r="I546" s="9"/>
      <c r="J546" s="10"/>
      <c r="K546" s="9"/>
      <c r="L546" t="s">
        <v>56</v>
      </c>
      <c r="M546" t="str">
        <f>Config!$B$3&amp;"?room="&amp;A546</f>
        <v>https://wph-bujv.github.io/wph-rooms/?room=B-L09-Q02C1-02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" customHeight="1" x14ac:dyDescent="0.25">
      <c r="A547" t="s">
        <v>1222</v>
      </c>
      <c r="B547" t="s">
        <v>653</v>
      </c>
      <c r="C547" t="s">
        <v>582</v>
      </c>
      <c r="D547" t="s">
        <v>1223</v>
      </c>
      <c r="E547" t="s">
        <v>131</v>
      </c>
      <c r="F547" t="s">
        <v>110</v>
      </c>
      <c r="G547" s="9"/>
      <c r="H547" s="10"/>
      <c r="I547" s="9"/>
      <c r="J547" s="10"/>
      <c r="K547" s="9"/>
      <c r="L547" t="s">
        <v>1173</v>
      </c>
      <c r="M547" t="str">
        <f>Config!$B$3&amp;"?room="&amp;A547</f>
        <v>https://wph-bujv.github.io/wph-rooms/?room=B-L09-Q02E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" customHeight="1" x14ac:dyDescent="0.25">
      <c r="A548" t="s">
        <v>1224</v>
      </c>
      <c r="B548" t="s">
        <v>653</v>
      </c>
      <c r="C548" t="s">
        <v>582</v>
      </c>
      <c r="D548" t="s">
        <v>1225</v>
      </c>
      <c r="E548" t="s">
        <v>791</v>
      </c>
      <c r="F548" t="s">
        <v>110</v>
      </c>
      <c r="G548" s="9"/>
      <c r="H548" s="10"/>
      <c r="I548" s="9"/>
      <c r="J548" s="10"/>
      <c r="K548" s="9"/>
      <c r="L548" t="s">
        <v>56</v>
      </c>
      <c r="M548" t="str">
        <f>Config!$B$3&amp;"?room="&amp;A548</f>
        <v>https://wph-bujv.github.io/wph-rooms/?room=B-L09-Q04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" customHeight="1" x14ac:dyDescent="0.25">
      <c r="A549" t="s">
        <v>1226</v>
      </c>
      <c r="B549" t="s">
        <v>653</v>
      </c>
      <c r="C549" t="s">
        <v>582</v>
      </c>
      <c r="D549" t="s">
        <v>1227</v>
      </c>
      <c r="E549" t="s">
        <v>711</v>
      </c>
      <c r="F549" t="s">
        <v>110</v>
      </c>
      <c r="G549" s="9"/>
      <c r="H549" s="10"/>
      <c r="I549" s="9"/>
      <c r="J549" s="10"/>
      <c r="K549" s="9"/>
      <c r="L549" t="s">
        <v>56</v>
      </c>
      <c r="M549" t="str">
        <f>Config!$B$3&amp;"?room="&amp;A549</f>
        <v>https://wph-bujv.github.io/wph-rooms/?room=B-L09-Q06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" customHeight="1" x14ac:dyDescent="0.25">
      <c r="A550" t="s">
        <v>1228</v>
      </c>
      <c r="B550" t="s">
        <v>653</v>
      </c>
      <c r="C550" t="s">
        <v>582</v>
      </c>
      <c r="D550" t="s">
        <v>1229</v>
      </c>
      <c r="E550" t="s">
        <v>1124</v>
      </c>
      <c r="F550" t="s">
        <v>110</v>
      </c>
      <c r="G550" s="9"/>
      <c r="H550" s="10"/>
      <c r="I550" s="9"/>
      <c r="J550" s="10"/>
      <c r="K550" s="9"/>
      <c r="L550" t="s">
        <v>56</v>
      </c>
      <c r="M550" t="str">
        <f>Config!$B$3&amp;"?room="&amp;A550</f>
        <v>https://wph-bujv.github.io/wph-rooms/?room=B-L09-Q07-01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" customHeight="1" x14ac:dyDescent="0.25">
      <c r="A551" t="s">
        <v>1230</v>
      </c>
      <c r="B551" t="s">
        <v>653</v>
      </c>
      <c r="C551" t="s">
        <v>582</v>
      </c>
      <c r="D551" t="s">
        <v>1231</v>
      </c>
      <c r="E551" t="s">
        <v>1124</v>
      </c>
      <c r="F551" t="s">
        <v>110</v>
      </c>
      <c r="G551" s="9"/>
      <c r="H551" s="10"/>
      <c r="I551" s="9"/>
      <c r="J551" s="10"/>
      <c r="K551" s="9"/>
      <c r="L551" t="s">
        <v>56</v>
      </c>
      <c r="M551" t="str">
        <f>Config!$B$3&amp;"?room="&amp;A551</f>
        <v>https://wph-bujv.github.io/wph-rooms/?room=B-L09-Q07-02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" customHeight="1" x14ac:dyDescent="0.25">
      <c r="A552" t="s">
        <v>1232</v>
      </c>
      <c r="B552" t="s">
        <v>653</v>
      </c>
      <c r="C552" t="s">
        <v>582</v>
      </c>
      <c r="D552" t="s">
        <v>1233</v>
      </c>
      <c r="E552" t="s">
        <v>725</v>
      </c>
      <c r="F552" t="s">
        <v>49</v>
      </c>
      <c r="G552" s="9"/>
      <c r="H552" s="10"/>
      <c r="I552" s="9"/>
      <c r="J552" s="10"/>
      <c r="K552" s="9"/>
      <c r="L552" t="s">
        <v>56</v>
      </c>
      <c r="M552" t="str">
        <f>Config!$B$3&amp;"?room="&amp;A552</f>
        <v>https://wph-bujv.github.io/wph-rooms/?room=B-L09-S03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" customHeight="1" x14ac:dyDescent="0.25">
      <c r="A553" t="s">
        <v>1234</v>
      </c>
      <c r="B553" t="s">
        <v>653</v>
      </c>
      <c r="C553" t="s">
        <v>582</v>
      </c>
      <c r="D553" t="s">
        <v>1235</v>
      </c>
      <c r="E553" t="s">
        <v>1131</v>
      </c>
      <c r="F553" t="s">
        <v>49</v>
      </c>
      <c r="G553" s="9"/>
      <c r="H553" s="10"/>
      <c r="I553" s="9"/>
      <c r="J553" s="10"/>
      <c r="K553" s="9"/>
      <c r="L553" t="s">
        <v>56</v>
      </c>
      <c r="M553" t="str">
        <f>Config!$B$3&amp;"?room="&amp;A553</f>
        <v>https://wph-bujv.github.io/wph-rooms/?room=B-L09-S09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" customHeight="1" x14ac:dyDescent="0.25">
      <c r="A554" t="s">
        <v>1236</v>
      </c>
      <c r="B554" t="s">
        <v>653</v>
      </c>
      <c r="C554" t="s">
        <v>582</v>
      </c>
      <c r="D554" t="s">
        <v>1237</v>
      </c>
      <c r="E554" t="s">
        <v>1134</v>
      </c>
      <c r="F554" t="s">
        <v>49</v>
      </c>
      <c r="G554" s="9"/>
      <c r="H554" s="10"/>
      <c r="I554" s="9"/>
      <c r="J554" s="10"/>
      <c r="K554" s="9"/>
      <c r="L554" t="s">
        <v>56</v>
      </c>
      <c r="M554" t="str">
        <f>Config!$B$3&amp;"?room="&amp;A554</f>
        <v>https://wph-bujv.github.io/wph-rooms/?room=B-L09-S10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</sheetData>
  <sheetProtection password="D6EA" sheet="1" objects="1" scenarios="1" formatCells="0" formatColumns="0" formatRows="0" sort="0" autoFilter="0"/>
  <autoFilter ref="A1:M554" xr:uid="{00000000-0009-0000-0000-000001000000}"/>
  <conditionalFormatting sqref="G2:G554">
    <cfRule type="expression" dxfId="177" priority="2">
      <formula>G2="Provided"</formula>
    </cfRule>
    <cfRule type="expression" dxfId="176" priority="3">
      <formula>G2="Partially Provided"</formula>
    </cfRule>
    <cfRule type="expression" dxfId="175" priority="4">
      <formula>G2="Pending"</formula>
    </cfRule>
  </conditionalFormatting>
  <conditionalFormatting sqref="I2:I554">
    <cfRule type="expression" dxfId="174" priority="5">
      <formula>I2="Provided"</formula>
    </cfRule>
    <cfRule type="expression" dxfId="173" priority="6">
      <formula>I2="Partially Provided"</formula>
    </cfRule>
    <cfRule type="expression" dxfId="172" priority="7">
      <formula>I2="Pending"</formula>
    </cfRule>
  </conditionalFormatting>
  <dataValidations count="1">
    <dataValidation type="date" allowBlank="1" sqref="H2:H554 J2:J554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3"/>
  <sheetViews>
    <sheetView tabSelected="1" zoomScale="70" zoomScaleNormal="70" workbookViewId="0">
      <pane xSplit="2" ySplit="2" topLeftCell="D3" activePane="bottomRight" state="frozen"/>
      <selection pane="topRight"/>
      <selection pane="bottomLeft"/>
      <selection pane="bottomRight" activeCell="AP23" sqref="AP23"/>
    </sheetView>
  </sheetViews>
  <sheetFormatPr defaultRowHeight="15" x14ac:dyDescent="0.25"/>
  <cols>
    <col min="1" max="1" width="11" customWidth="1"/>
    <col min="2" max="2" width="17.7109375" bestFit="1" customWidth="1"/>
    <col min="3" max="3" width="34" hidden="1" customWidth="1"/>
    <col min="4" max="5" width="13" customWidth="1"/>
    <col min="6" max="6" width="7" hidden="1" customWidth="1"/>
    <col min="7" max="7" width="12" hidden="1" customWidth="1"/>
    <col min="8" max="8" width="9" hidden="1" customWidth="1"/>
    <col min="9" max="9" width="7" customWidth="1"/>
    <col min="10" max="10" width="12" customWidth="1"/>
    <col min="11" max="11" width="9" style="39" customWidth="1"/>
    <col min="12" max="12" width="7" customWidth="1"/>
    <col min="13" max="13" width="12" customWidth="1"/>
    <col min="14" max="14" width="9" style="39" customWidth="1"/>
    <col min="15" max="15" width="7" customWidth="1"/>
    <col min="16" max="16" width="12" customWidth="1"/>
    <col min="17" max="17" width="9" style="39" customWidth="1"/>
    <col min="18" max="18" width="7" customWidth="1"/>
    <col min="19" max="19" width="12" customWidth="1"/>
    <col min="20" max="20" width="9" style="39" customWidth="1"/>
    <col min="21" max="21" width="7" customWidth="1"/>
    <col min="22" max="22" width="12" customWidth="1"/>
    <col min="23" max="23" width="9" style="39" customWidth="1"/>
    <col min="24" max="24" width="7" customWidth="1"/>
    <col min="25" max="25" width="12" customWidth="1"/>
    <col min="26" max="26" width="9" style="39" customWidth="1"/>
    <col min="27" max="27" width="7" customWidth="1"/>
    <col min="28" max="28" width="12" customWidth="1"/>
    <col min="29" max="29" width="9" style="39" customWidth="1"/>
    <col min="30" max="30" width="7" customWidth="1"/>
    <col min="31" max="31" width="12" customWidth="1"/>
    <col min="32" max="32" width="9" style="39" customWidth="1"/>
    <col min="33" max="33" width="7" customWidth="1"/>
    <col min="34" max="34" width="12" customWidth="1"/>
    <col min="35" max="35" width="9" style="39" customWidth="1"/>
    <col min="36" max="36" width="7" customWidth="1"/>
    <col min="37" max="37" width="12" customWidth="1"/>
    <col min="38" max="38" width="9" style="39" customWidth="1"/>
    <col min="39" max="39" width="7" customWidth="1"/>
    <col min="40" max="40" width="12" customWidth="1"/>
    <col min="41" max="41" width="9" style="39" customWidth="1"/>
  </cols>
  <sheetData>
    <row r="1" spans="1:52" ht="42" customHeight="1" x14ac:dyDescent="0.25">
      <c r="A1" s="46" t="s">
        <v>35</v>
      </c>
      <c r="B1" s="46" t="s">
        <v>36</v>
      </c>
      <c r="C1" s="42" t="s">
        <v>1238</v>
      </c>
      <c r="D1" s="42" t="s">
        <v>1239</v>
      </c>
      <c r="E1" s="42" t="s">
        <v>1240</v>
      </c>
      <c r="F1" s="42" t="s">
        <v>1241</v>
      </c>
      <c r="G1" s="43"/>
      <c r="H1" s="45"/>
      <c r="I1" s="42" t="s">
        <v>1242</v>
      </c>
      <c r="J1" s="43"/>
      <c r="K1" s="44"/>
      <c r="L1" s="42" t="s">
        <v>1243</v>
      </c>
      <c r="M1" s="43"/>
      <c r="N1" s="44"/>
      <c r="O1" s="42" t="s">
        <v>1244</v>
      </c>
      <c r="P1" s="43"/>
      <c r="Q1" s="44"/>
      <c r="R1" s="42" t="s">
        <v>1245</v>
      </c>
      <c r="S1" s="43"/>
      <c r="T1" s="44"/>
      <c r="U1" s="42" t="s">
        <v>1246</v>
      </c>
      <c r="V1" s="43"/>
      <c r="W1" s="44"/>
      <c r="X1" s="42" t="s">
        <v>1247</v>
      </c>
      <c r="Y1" s="43"/>
      <c r="Z1" s="44"/>
      <c r="AA1" s="42" t="s">
        <v>1248</v>
      </c>
      <c r="AB1" s="43"/>
      <c r="AC1" s="44"/>
      <c r="AD1" s="42" t="s">
        <v>1249</v>
      </c>
      <c r="AE1" s="43"/>
      <c r="AF1" s="44"/>
      <c r="AG1" s="42" t="s">
        <v>1250</v>
      </c>
      <c r="AH1" s="43"/>
      <c r="AI1" s="44"/>
      <c r="AJ1" s="42" t="s">
        <v>1251</v>
      </c>
      <c r="AK1" s="43"/>
      <c r="AL1" s="44"/>
      <c r="AM1" s="42" t="s">
        <v>1252</v>
      </c>
      <c r="AN1" s="43"/>
      <c r="AO1" s="44"/>
    </row>
    <row r="2" spans="1:52" ht="18" customHeight="1" x14ac:dyDescent="0.25">
      <c r="A2" s="47"/>
      <c r="B2" s="47"/>
      <c r="C2" s="47"/>
      <c r="D2" s="47"/>
      <c r="E2" s="47"/>
      <c r="F2" s="18" t="s">
        <v>1253</v>
      </c>
      <c r="G2" s="18" t="s">
        <v>1254</v>
      </c>
      <c r="H2" s="18" t="s">
        <v>1255</v>
      </c>
      <c r="I2" s="18" t="s">
        <v>1253</v>
      </c>
      <c r="J2" s="18" t="s">
        <v>1254</v>
      </c>
      <c r="K2" s="18" t="s">
        <v>1255</v>
      </c>
      <c r="L2" s="18" t="s">
        <v>1253</v>
      </c>
      <c r="M2" s="18" t="s">
        <v>1254</v>
      </c>
      <c r="N2" s="18" t="s">
        <v>1255</v>
      </c>
      <c r="O2" s="18" t="s">
        <v>1253</v>
      </c>
      <c r="P2" s="18" t="s">
        <v>1254</v>
      </c>
      <c r="Q2" s="18" t="s">
        <v>1255</v>
      </c>
      <c r="R2" s="18" t="s">
        <v>1253</v>
      </c>
      <c r="S2" s="18" t="s">
        <v>1254</v>
      </c>
      <c r="T2" s="18" t="s">
        <v>1255</v>
      </c>
      <c r="U2" s="18" t="s">
        <v>1253</v>
      </c>
      <c r="V2" s="18" t="s">
        <v>1254</v>
      </c>
      <c r="W2" s="18" t="s">
        <v>1255</v>
      </c>
      <c r="X2" s="18" t="s">
        <v>1253</v>
      </c>
      <c r="Y2" s="18" t="s">
        <v>1254</v>
      </c>
      <c r="Z2" s="18" t="s">
        <v>1255</v>
      </c>
      <c r="AA2" s="18" t="s">
        <v>1253</v>
      </c>
      <c r="AB2" s="18" t="s">
        <v>1254</v>
      </c>
      <c r="AC2" s="18" t="s">
        <v>1255</v>
      </c>
      <c r="AD2" s="18" t="s">
        <v>1253</v>
      </c>
      <c r="AE2" s="18" t="s">
        <v>1254</v>
      </c>
      <c r="AF2" s="18" t="s">
        <v>1255</v>
      </c>
      <c r="AG2" s="18" t="s">
        <v>1253</v>
      </c>
      <c r="AH2" s="18" t="s">
        <v>1254</v>
      </c>
      <c r="AI2" s="18" t="s">
        <v>1255</v>
      </c>
      <c r="AJ2" s="18" t="s">
        <v>1253</v>
      </c>
      <c r="AK2" s="18" t="s">
        <v>1254</v>
      </c>
      <c r="AL2" s="18" t="s">
        <v>1255</v>
      </c>
      <c r="AM2" s="18" t="s">
        <v>1253</v>
      </c>
      <c r="AN2" s="18" t="s">
        <v>1254</v>
      </c>
      <c r="AO2" s="18" t="s">
        <v>1255</v>
      </c>
    </row>
    <row r="3" spans="1:52" x14ac:dyDescent="0.25">
      <c r="A3" s="19" t="s">
        <v>656</v>
      </c>
      <c r="B3" s="19" t="s">
        <v>54</v>
      </c>
      <c r="C3" s="20" t="s">
        <v>1256</v>
      </c>
      <c r="D3" s="21" t="s">
        <v>55</v>
      </c>
      <c r="E3" s="22"/>
      <c r="F3" s="21" t="s">
        <v>1257</v>
      </c>
      <c r="G3" s="21"/>
      <c r="H3" s="21" t="s">
        <v>1258</v>
      </c>
      <c r="I3" s="27">
        <v>0</v>
      </c>
      <c r="J3" s="28" t="s">
        <v>1259</v>
      </c>
      <c r="K3" s="36" t="s">
        <v>1260</v>
      </c>
      <c r="L3" s="28">
        <v>0</v>
      </c>
      <c r="M3" s="28" t="s">
        <v>1261</v>
      </c>
      <c r="N3" s="36" t="s">
        <v>1260</v>
      </c>
      <c r="O3" s="28">
        <v>0</v>
      </c>
      <c r="P3" s="28" t="s">
        <v>1262</v>
      </c>
      <c r="Q3" s="36" t="s">
        <v>1260</v>
      </c>
      <c r="R3" s="28">
        <v>0</v>
      </c>
      <c r="S3" s="28" t="s">
        <v>1263</v>
      </c>
      <c r="T3" s="36" t="s">
        <v>1260</v>
      </c>
      <c r="U3" s="28">
        <v>0</v>
      </c>
      <c r="V3" s="28" t="s">
        <v>1264</v>
      </c>
      <c r="W3" s="37" t="s">
        <v>1258</v>
      </c>
      <c r="X3" s="28">
        <v>0</v>
      </c>
      <c r="Y3" s="28" t="s">
        <v>1265</v>
      </c>
      <c r="Z3" s="37" t="s">
        <v>1258</v>
      </c>
      <c r="AA3" s="28">
        <v>0</v>
      </c>
      <c r="AB3" s="28" t="s">
        <v>1266</v>
      </c>
      <c r="AC3" s="36" t="s">
        <v>1260</v>
      </c>
      <c r="AD3" s="28">
        <v>2</v>
      </c>
      <c r="AE3" s="34" t="s">
        <v>1267</v>
      </c>
      <c r="AF3" s="36" t="s">
        <v>1258</v>
      </c>
      <c r="AG3" s="28" t="s">
        <v>1268</v>
      </c>
      <c r="AH3" s="28" t="s">
        <v>1268</v>
      </c>
      <c r="AI3" s="38" t="s">
        <v>1269</v>
      </c>
      <c r="AJ3" s="28">
        <v>1</v>
      </c>
      <c r="AK3" s="28" t="s">
        <v>1270</v>
      </c>
      <c r="AL3" s="37" t="s">
        <v>1258</v>
      </c>
      <c r="AM3" s="28">
        <v>1</v>
      </c>
      <c r="AN3" s="28" t="s">
        <v>1270</v>
      </c>
      <c r="AO3" s="37" t="s">
        <v>1258</v>
      </c>
      <c r="AP3" s="8"/>
      <c r="AQ3" s="8" t="b">
        <f>AND($A3&lt;&gt;"",COUNTIFS($F$2:$AO$2,"Status",$F3:$AO3,"A")+COUNTIFS($F$2:$AO$2,"Status",$F3:$AO3,"B")=COUNTIF($F$2:$AO$2,"Status"))</f>
        <v>0</v>
      </c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19" t="s">
        <v>659</v>
      </c>
      <c r="B4" s="19" t="s">
        <v>54</v>
      </c>
      <c r="C4" s="20" t="s">
        <v>1271</v>
      </c>
      <c r="D4" s="21" t="s">
        <v>55</v>
      </c>
      <c r="E4" s="22"/>
      <c r="F4" s="21" t="s">
        <v>1257</v>
      </c>
      <c r="G4" s="21"/>
      <c r="H4" s="21" t="s">
        <v>1258</v>
      </c>
      <c r="I4" s="30">
        <v>0</v>
      </c>
      <c r="J4" s="31" t="s">
        <v>1272</v>
      </c>
      <c r="K4" s="36" t="s">
        <v>1258</v>
      </c>
      <c r="L4" s="31">
        <v>0</v>
      </c>
      <c r="M4" s="31" t="s">
        <v>1273</v>
      </c>
      <c r="N4" s="37" t="s">
        <v>1258</v>
      </c>
      <c r="O4" s="31">
        <v>1</v>
      </c>
      <c r="P4" s="31" t="s">
        <v>1274</v>
      </c>
      <c r="Q4" s="37" t="s">
        <v>1258</v>
      </c>
      <c r="R4" s="31">
        <v>1</v>
      </c>
      <c r="S4" s="31" t="s">
        <v>1275</v>
      </c>
      <c r="T4" s="37" t="s">
        <v>1258</v>
      </c>
      <c r="U4" s="31">
        <v>1</v>
      </c>
      <c r="V4" s="31" t="s">
        <v>1276</v>
      </c>
      <c r="W4" s="37" t="s">
        <v>1258</v>
      </c>
      <c r="X4" s="31">
        <v>1</v>
      </c>
      <c r="Y4" s="31" t="s">
        <v>1277</v>
      </c>
      <c r="Z4" s="37" t="s">
        <v>1258</v>
      </c>
      <c r="AA4" s="31">
        <v>0</v>
      </c>
      <c r="AB4" s="31" t="s">
        <v>1278</v>
      </c>
      <c r="AC4" s="37" t="s">
        <v>1258</v>
      </c>
      <c r="AD4" s="31">
        <v>3</v>
      </c>
      <c r="AE4" s="28" t="s">
        <v>1279</v>
      </c>
      <c r="AF4" s="37" t="s">
        <v>1258</v>
      </c>
      <c r="AG4" s="31" t="s">
        <v>1268</v>
      </c>
      <c r="AH4" s="31" t="s">
        <v>1268</v>
      </c>
      <c r="AI4" s="38" t="s">
        <v>1269</v>
      </c>
      <c r="AJ4" s="31">
        <v>2</v>
      </c>
      <c r="AK4" s="31" t="s">
        <v>1280</v>
      </c>
      <c r="AL4" s="37" t="s">
        <v>1258</v>
      </c>
      <c r="AM4" s="31">
        <v>2</v>
      </c>
      <c r="AN4" s="31" t="s">
        <v>1280</v>
      </c>
      <c r="AO4" s="37" t="s">
        <v>1258</v>
      </c>
      <c r="AP4" s="8"/>
      <c r="AQ4" s="8" t="b">
        <f>AND($A4&lt;&gt;"",COUNTIFS($F$2:$AO$2,"Status",$F4:$AO4,"A")+COUNTIFS($F$2:$AO$2,"Status",$F4:$AO4,"B")=COUNTIF($F$2:$AO$2,"Status"))</f>
        <v>0</v>
      </c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19" t="s">
        <v>53</v>
      </c>
      <c r="B5" s="19" t="s">
        <v>54</v>
      </c>
      <c r="C5" s="20" t="s">
        <v>1281</v>
      </c>
      <c r="D5" s="21" t="s">
        <v>55</v>
      </c>
      <c r="E5" s="22"/>
      <c r="F5" s="21" t="s">
        <v>1257</v>
      </c>
      <c r="G5" s="21"/>
      <c r="H5" s="21" t="s">
        <v>1258</v>
      </c>
      <c r="I5" s="30">
        <v>0</v>
      </c>
      <c r="J5" s="31" t="s">
        <v>1282</v>
      </c>
      <c r="K5" s="37" t="s">
        <v>1258</v>
      </c>
      <c r="L5" s="31">
        <v>0</v>
      </c>
      <c r="M5" s="31" t="s">
        <v>1283</v>
      </c>
      <c r="N5" s="37" t="s">
        <v>1258</v>
      </c>
      <c r="O5" s="31">
        <v>1</v>
      </c>
      <c r="P5" s="31" t="s">
        <v>1284</v>
      </c>
      <c r="Q5" s="37" t="s">
        <v>1258</v>
      </c>
      <c r="R5" s="31">
        <v>0</v>
      </c>
      <c r="S5" s="31" t="s">
        <v>1285</v>
      </c>
      <c r="T5" s="40" t="s">
        <v>1286</v>
      </c>
      <c r="U5" s="31">
        <v>0</v>
      </c>
      <c r="V5" s="31" t="s">
        <v>1264</v>
      </c>
      <c r="W5" s="37" t="s">
        <v>1258</v>
      </c>
      <c r="X5" s="31">
        <v>0</v>
      </c>
      <c r="Y5" s="31" t="s">
        <v>1265</v>
      </c>
      <c r="Z5" s="37" t="s">
        <v>1258</v>
      </c>
      <c r="AA5" s="31">
        <v>0</v>
      </c>
      <c r="AB5" s="31" t="s">
        <v>1287</v>
      </c>
      <c r="AC5" s="37" t="s">
        <v>1258</v>
      </c>
      <c r="AD5" s="31">
        <v>2</v>
      </c>
      <c r="AE5" s="31" t="s">
        <v>1288</v>
      </c>
      <c r="AF5" s="37" t="s">
        <v>1258</v>
      </c>
      <c r="AG5" s="31">
        <v>0</v>
      </c>
      <c r="AH5" s="31" t="s">
        <v>1289</v>
      </c>
      <c r="AI5" s="40" t="s">
        <v>1286</v>
      </c>
      <c r="AJ5" s="31">
        <v>1</v>
      </c>
      <c r="AK5" s="31" t="s">
        <v>1290</v>
      </c>
      <c r="AL5" s="37" t="s">
        <v>1258</v>
      </c>
      <c r="AM5" s="31">
        <v>1</v>
      </c>
      <c r="AN5" s="31" t="s">
        <v>1290</v>
      </c>
      <c r="AO5" s="37" t="s">
        <v>1258</v>
      </c>
      <c r="AP5" s="8"/>
      <c r="AQ5" s="8" t="b">
        <f>AND($A5&lt;&gt;"",COUNTIFS($F$2:$AO$2,"Status",$F5:$AO5,"A")+COUNTIFS($F$2:$AO$2,"Status",$F5:$AO5,"B")=COUNTIF($F$2:$AO$2,"Status"))</f>
        <v>0</v>
      </c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19" t="s">
        <v>150</v>
      </c>
      <c r="B6" s="19" t="s">
        <v>54</v>
      </c>
      <c r="C6" s="20" t="s">
        <v>1291</v>
      </c>
      <c r="D6" s="21" t="s">
        <v>55</v>
      </c>
      <c r="E6" s="22"/>
      <c r="F6" s="21" t="s">
        <v>1257</v>
      </c>
      <c r="G6" s="21"/>
      <c r="H6" s="21" t="s">
        <v>1258</v>
      </c>
      <c r="I6" s="30">
        <v>0</v>
      </c>
      <c r="J6" s="31" t="s">
        <v>1292</v>
      </c>
      <c r="K6" s="36" t="s">
        <v>1258</v>
      </c>
      <c r="L6" s="31">
        <v>0</v>
      </c>
      <c r="M6" s="31" t="s">
        <v>1293</v>
      </c>
      <c r="N6" s="36" t="s">
        <v>1258</v>
      </c>
      <c r="O6" s="31">
        <v>1</v>
      </c>
      <c r="P6" s="31" t="s">
        <v>1294</v>
      </c>
      <c r="Q6" s="36" t="s">
        <v>1258</v>
      </c>
      <c r="R6" s="31">
        <v>0</v>
      </c>
      <c r="S6" s="31" t="s">
        <v>1295</v>
      </c>
      <c r="T6" s="36" t="s">
        <v>1286</v>
      </c>
      <c r="U6" s="31">
        <v>0</v>
      </c>
      <c r="V6" s="31" t="s">
        <v>1296</v>
      </c>
      <c r="W6" s="36" t="s">
        <v>1286</v>
      </c>
      <c r="X6" s="31">
        <v>0</v>
      </c>
      <c r="Y6" s="31" t="s">
        <v>1297</v>
      </c>
      <c r="Z6" s="36" t="s">
        <v>1258</v>
      </c>
      <c r="AA6" s="31">
        <v>0</v>
      </c>
      <c r="AB6" s="31" t="s">
        <v>1298</v>
      </c>
      <c r="AC6" s="36" t="s">
        <v>1258</v>
      </c>
      <c r="AD6" s="31">
        <v>0</v>
      </c>
      <c r="AE6" s="31" t="s">
        <v>1299</v>
      </c>
      <c r="AF6" s="37" t="s">
        <v>1258</v>
      </c>
      <c r="AG6" s="31">
        <v>1</v>
      </c>
      <c r="AH6" s="31" t="s">
        <v>1300</v>
      </c>
      <c r="AI6" s="36" t="s">
        <v>1286</v>
      </c>
      <c r="AJ6" s="31">
        <v>0</v>
      </c>
      <c r="AK6" s="31" t="s">
        <v>1301</v>
      </c>
      <c r="AL6" s="37" t="s">
        <v>1258</v>
      </c>
      <c r="AM6" s="31">
        <v>0</v>
      </c>
      <c r="AN6" s="31" t="s">
        <v>1301</v>
      </c>
      <c r="AO6" s="37" t="s">
        <v>1258</v>
      </c>
      <c r="AP6" s="8"/>
      <c r="AQ6" s="8" t="b">
        <f>AND($A6&lt;&gt;"",COUNTIFS($F$2:$AO$2,"Status",$F6:$AO6,"A")+COUNTIFS($F$2:$AO$2,"Status",$F6:$AO6,"B")=COUNTIF($F$2:$AO$2,"Status"))</f>
        <v>0</v>
      </c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19" t="s">
        <v>297</v>
      </c>
      <c r="B7" s="19" t="s">
        <v>54</v>
      </c>
      <c r="C7" s="20" t="s">
        <v>1291</v>
      </c>
      <c r="D7" s="21" t="s">
        <v>55</v>
      </c>
      <c r="E7" s="41">
        <v>46321</v>
      </c>
      <c r="F7" s="21" t="s">
        <v>1257</v>
      </c>
      <c r="G7" s="21"/>
      <c r="H7" s="21" t="s">
        <v>1258</v>
      </c>
      <c r="I7" s="30">
        <v>0</v>
      </c>
      <c r="J7" s="31" t="s">
        <v>1292</v>
      </c>
      <c r="K7" s="36" t="s">
        <v>1258</v>
      </c>
      <c r="L7" s="31">
        <v>0</v>
      </c>
      <c r="M7" s="31" t="s">
        <v>1293</v>
      </c>
      <c r="N7" s="36" t="s">
        <v>1258</v>
      </c>
      <c r="O7" s="31">
        <v>1</v>
      </c>
      <c r="P7" s="31" t="s">
        <v>1294</v>
      </c>
      <c r="Q7" s="36" t="s">
        <v>1258</v>
      </c>
      <c r="R7" s="31">
        <v>0</v>
      </c>
      <c r="S7" s="31" t="s">
        <v>1295</v>
      </c>
      <c r="T7" s="36" t="s">
        <v>1286</v>
      </c>
      <c r="U7" s="31">
        <v>0</v>
      </c>
      <c r="V7" s="31" t="s">
        <v>1296</v>
      </c>
      <c r="W7" s="36" t="s">
        <v>1286</v>
      </c>
      <c r="X7" s="31">
        <v>0</v>
      </c>
      <c r="Y7" s="31" t="s">
        <v>1297</v>
      </c>
      <c r="Z7" s="36" t="s">
        <v>1258</v>
      </c>
      <c r="AA7" s="31">
        <v>0</v>
      </c>
      <c r="AB7" s="31" t="s">
        <v>1298</v>
      </c>
      <c r="AC7" s="36" t="s">
        <v>1258</v>
      </c>
      <c r="AD7" s="31">
        <v>0</v>
      </c>
      <c r="AE7" s="31" t="s">
        <v>1299</v>
      </c>
      <c r="AF7" s="37" t="s">
        <v>1258</v>
      </c>
      <c r="AG7" s="31">
        <v>1</v>
      </c>
      <c r="AH7" s="31" t="s">
        <v>1300</v>
      </c>
      <c r="AI7" s="36" t="s">
        <v>1286</v>
      </c>
      <c r="AJ7" s="31">
        <v>0</v>
      </c>
      <c r="AK7" s="31" t="s">
        <v>1301</v>
      </c>
      <c r="AL7" s="37" t="s">
        <v>1258</v>
      </c>
      <c r="AM7" s="31">
        <v>0</v>
      </c>
      <c r="AN7" s="31" t="s">
        <v>1301</v>
      </c>
      <c r="AO7" s="37" t="s">
        <v>1258</v>
      </c>
      <c r="AP7" s="8"/>
      <c r="AQ7" s="8" t="b">
        <f>AND($A7&lt;&gt;"",COUNTIFS($F$2:$AO$2,"Status",$F7:$AO7,"A")+COUNTIFS($F$2:$AO$2,"Status",$F7:$AO7,"B")=COUNTIF($F$2:$AO$2,"Status"))</f>
        <v>0</v>
      </c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19" t="s">
        <v>59</v>
      </c>
      <c r="B8" s="19" t="s">
        <v>54</v>
      </c>
      <c r="C8" s="20" t="s">
        <v>1302</v>
      </c>
      <c r="D8" s="21" t="s">
        <v>55</v>
      </c>
      <c r="E8" s="22"/>
      <c r="F8" s="21" t="s">
        <v>1257</v>
      </c>
      <c r="G8" s="21"/>
      <c r="H8" s="21" t="s">
        <v>1258</v>
      </c>
      <c r="I8" s="30">
        <v>0</v>
      </c>
      <c r="J8" s="31" t="s">
        <v>1303</v>
      </c>
      <c r="K8" s="37" t="s">
        <v>1258</v>
      </c>
      <c r="L8" s="31">
        <v>1</v>
      </c>
      <c r="M8" s="31" t="s">
        <v>1304</v>
      </c>
      <c r="N8" s="37" t="s">
        <v>1258</v>
      </c>
      <c r="O8" s="31">
        <v>1</v>
      </c>
      <c r="P8" s="31" t="s">
        <v>1305</v>
      </c>
      <c r="Q8" s="37" t="s">
        <v>1258</v>
      </c>
      <c r="R8" s="31">
        <v>0</v>
      </c>
      <c r="S8" s="31" t="s">
        <v>1306</v>
      </c>
      <c r="T8" s="37" t="s">
        <v>1258</v>
      </c>
      <c r="U8" s="31">
        <v>0</v>
      </c>
      <c r="V8" s="31" t="s">
        <v>1307</v>
      </c>
      <c r="W8" s="37" t="s">
        <v>1258</v>
      </c>
      <c r="X8" s="31">
        <v>0</v>
      </c>
      <c r="Y8" s="31" t="s">
        <v>1308</v>
      </c>
      <c r="Z8" s="37" t="s">
        <v>1258</v>
      </c>
      <c r="AA8" s="31">
        <v>1</v>
      </c>
      <c r="AB8" s="31" t="s">
        <v>1309</v>
      </c>
      <c r="AC8" s="37" t="s">
        <v>1258</v>
      </c>
      <c r="AD8" s="31">
        <v>2</v>
      </c>
      <c r="AE8" s="31" t="s">
        <v>1310</v>
      </c>
      <c r="AF8" s="37" t="s">
        <v>1258</v>
      </c>
      <c r="AG8" s="31">
        <v>0</v>
      </c>
      <c r="AH8" s="31" t="s">
        <v>1311</v>
      </c>
      <c r="AI8" s="37" t="s">
        <v>1258</v>
      </c>
      <c r="AJ8" s="31">
        <v>1</v>
      </c>
      <c r="AK8" s="31" t="s">
        <v>1312</v>
      </c>
      <c r="AL8" s="37" t="s">
        <v>1258</v>
      </c>
      <c r="AM8" s="31">
        <v>1</v>
      </c>
      <c r="AN8" s="31" t="s">
        <v>1312</v>
      </c>
      <c r="AO8" s="37" t="s">
        <v>1258</v>
      </c>
      <c r="AP8" s="8"/>
      <c r="AQ8" s="8" t="b">
        <f>AND($A8&lt;&gt;"",COUNTIFS($F$2:$AO$2,"Status",$F8:$AO8,"A")+COUNTIFS($F$2:$AO$2,"Status",$F8:$AO8,"B")=COUNTIF($F$2:$AO$2,"Status"))</f>
        <v>1</v>
      </c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19" t="s">
        <v>155</v>
      </c>
      <c r="B9" s="19" t="s">
        <v>54</v>
      </c>
      <c r="C9" s="20" t="s">
        <v>1313</v>
      </c>
      <c r="D9" s="21" t="s">
        <v>55</v>
      </c>
      <c r="E9" s="22"/>
      <c r="F9" s="21" t="s">
        <v>1257</v>
      </c>
      <c r="G9" s="21"/>
      <c r="H9" s="21" t="s">
        <v>1258</v>
      </c>
      <c r="I9" s="30">
        <v>0</v>
      </c>
      <c r="J9" s="31" t="s">
        <v>1314</v>
      </c>
      <c r="K9" s="36" t="s">
        <v>1258</v>
      </c>
      <c r="L9" s="31">
        <v>0</v>
      </c>
      <c r="M9" s="31" t="s">
        <v>1315</v>
      </c>
      <c r="N9" s="36" t="s">
        <v>1258</v>
      </c>
      <c r="O9" s="31">
        <v>0</v>
      </c>
      <c r="P9" s="31" t="s">
        <v>1316</v>
      </c>
      <c r="Q9" s="36" t="s">
        <v>1269</v>
      </c>
      <c r="R9" s="31">
        <v>0</v>
      </c>
      <c r="S9" s="31" t="s">
        <v>1317</v>
      </c>
      <c r="T9" s="36" t="s">
        <v>1286</v>
      </c>
      <c r="U9" s="31">
        <v>0</v>
      </c>
      <c r="V9" s="31" t="s">
        <v>1318</v>
      </c>
      <c r="W9" s="36" t="s">
        <v>1286</v>
      </c>
      <c r="X9" s="31">
        <v>0</v>
      </c>
      <c r="Y9" s="31" t="s">
        <v>1319</v>
      </c>
      <c r="Z9" s="36" t="s">
        <v>1269</v>
      </c>
      <c r="AA9" s="31">
        <v>0</v>
      </c>
      <c r="AB9" s="31" t="s">
        <v>1320</v>
      </c>
      <c r="AC9" s="36" t="s">
        <v>1258</v>
      </c>
      <c r="AD9" s="31">
        <v>2</v>
      </c>
      <c r="AE9" s="31" t="s">
        <v>1321</v>
      </c>
      <c r="AF9" s="37" t="s">
        <v>1258</v>
      </c>
      <c r="AG9" s="31">
        <v>0</v>
      </c>
      <c r="AH9" s="31" t="s">
        <v>1322</v>
      </c>
      <c r="AI9" s="36" t="s">
        <v>1258</v>
      </c>
      <c r="AJ9" s="31">
        <v>2</v>
      </c>
      <c r="AK9" s="31" t="s">
        <v>1323</v>
      </c>
      <c r="AL9" s="37" t="s">
        <v>1258</v>
      </c>
      <c r="AM9" s="31">
        <v>2</v>
      </c>
      <c r="AN9" s="31" t="s">
        <v>1323</v>
      </c>
      <c r="AO9" s="37" t="s">
        <v>1258</v>
      </c>
      <c r="AP9" s="8"/>
      <c r="AQ9" s="8" t="b">
        <f>AND($A9&lt;&gt;"",COUNTIFS($F$2:$AO$2,"Status",$F9:$AO9,"A")+COUNTIFS($F$2:$AO$2,"Status",$F9:$AO9,"B")=COUNTIF($F$2:$AO$2,"Status"))</f>
        <v>0</v>
      </c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19" t="s">
        <v>733</v>
      </c>
      <c r="B10" s="19" t="s">
        <v>54</v>
      </c>
      <c r="C10" s="20" t="s">
        <v>1324</v>
      </c>
      <c r="D10" s="21" t="s">
        <v>55</v>
      </c>
      <c r="E10" s="22"/>
      <c r="F10" s="21" t="s">
        <v>1257</v>
      </c>
      <c r="G10" s="21"/>
      <c r="H10" s="21" t="s">
        <v>1258</v>
      </c>
      <c r="I10" s="30">
        <v>0</v>
      </c>
      <c r="J10" s="31" t="s">
        <v>1325</v>
      </c>
      <c r="K10" s="37" t="s">
        <v>1258</v>
      </c>
      <c r="L10" s="31">
        <v>0</v>
      </c>
      <c r="M10" s="31" t="s">
        <v>1326</v>
      </c>
      <c r="N10" s="37" t="s">
        <v>1258</v>
      </c>
      <c r="O10" s="31">
        <v>0</v>
      </c>
      <c r="P10" s="31" t="s">
        <v>1327</v>
      </c>
      <c r="Q10" s="37" t="s">
        <v>1258</v>
      </c>
      <c r="R10" s="31">
        <v>0</v>
      </c>
      <c r="S10" s="31" t="s">
        <v>1328</v>
      </c>
      <c r="T10" s="37" t="s">
        <v>1258</v>
      </c>
      <c r="U10" s="31">
        <v>0</v>
      </c>
      <c r="V10" s="31" t="s">
        <v>1329</v>
      </c>
      <c r="W10" s="37" t="s">
        <v>1258</v>
      </c>
      <c r="X10" s="31">
        <v>0</v>
      </c>
      <c r="Y10" s="31" t="s">
        <v>1330</v>
      </c>
      <c r="Z10" s="37" t="s">
        <v>1258</v>
      </c>
      <c r="AA10" s="31">
        <v>0</v>
      </c>
      <c r="AB10" s="31" t="s">
        <v>1331</v>
      </c>
      <c r="AC10" s="37" t="s">
        <v>1258</v>
      </c>
      <c r="AD10" s="31">
        <v>0</v>
      </c>
      <c r="AE10" s="31" t="s">
        <v>1332</v>
      </c>
      <c r="AF10" s="37" t="s">
        <v>1258</v>
      </c>
      <c r="AG10" s="31">
        <v>0</v>
      </c>
      <c r="AH10" s="31" t="s">
        <v>1333</v>
      </c>
      <c r="AI10" s="37" t="s">
        <v>1258</v>
      </c>
      <c r="AJ10" s="31">
        <v>0</v>
      </c>
      <c r="AK10" s="31" t="s">
        <v>1334</v>
      </c>
      <c r="AL10" s="37" t="s">
        <v>1258</v>
      </c>
      <c r="AM10" s="31">
        <v>0</v>
      </c>
      <c r="AN10" s="31" t="s">
        <v>1334</v>
      </c>
      <c r="AO10" s="37" t="s">
        <v>1258</v>
      </c>
      <c r="AP10" s="8"/>
      <c r="AQ10" s="8" t="b">
        <f>AND($A10&lt;&gt;"",COUNTIFS($F$2:$AO$2,"Status",$F10:$AO10,"A")+COUNTIFS($F$2:$AO$2,"Status",$F10:$AO10,"B")=COUNTIF($F$2:$AO$2,"Status"))</f>
        <v>1</v>
      </c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19" t="s">
        <v>1141</v>
      </c>
      <c r="B11" s="19" t="s">
        <v>54</v>
      </c>
      <c r="C11" s="20" t="s">
        <v>1335</v>
      </c>
      <c r="D11" s="21" t="s">
        <v>55</v>
      </c>
      <c r="E11" s="41">
        <v>46321</v>
      </c>
      <c r="F11" s="21" t="s">
        <v>1257</v>
      </c>
      <c r="G11" s="21"/>
      <c r="H11" s="21" t="s">
        <v>1258</v>
      </c>
      <c r="I11" s="30" t="s">
        <v>1268</v>
      </c>
      <c r="J11" s="31" t="s">
        <v>1268</v>
      </c>
      <c r="K11" s="38" t="s">
        <v>1269</v>
      </c>
      <c r="L11" s="31" t="s">
        <v>1268</v>
      </c>
      <c r="M11" s="31" t="s">
        <v>1268</v>
      </c>
      <c r="N11" s="38" t="s">
        <v>1269</v>
      </c>
      <c r="O11" s="31" t="s">
        <v>1268</v>
      </c>
      <c r="P11" s="31" t="s">
        <v>1268</v>
      </c>
      <c r="Q11" s="38" t="s">
        <v>1269</v>
      </c>
      <c r="R11" s="31" t="s">
        <v>1268</v>
      </c>
      <c r="S11" s="31" t="s">
        <v>1268</v>
      </c>
      <c r="T11" s="38" t="s">
        <v>1269</v>
      </c>
      <c r="U11" s="31" t="s">
        <v>1268</v>
      </c>
      <c r="V11" s="31" t="s">
        <v>1268</v>
      </c>
      <c r="W11" s="38" t="s">
        <v>1269</v>
      </c>
      <c r="X11" s="31" t="s">
        <v>1268</v>
      </c>
      <c r="Y11" s="31" t="s">
        <v>1268</v>
      </c>
      <c r="Z11" s="38" t="s">
        <v>1269</v>
      </c>
      <c r="AA11" s="31" t="s">
        <v>1268</v>
      </c>
      <c r="AB11" s="31" t="s">
        <v>1268</v>
      </c>
      <c r="AC11" s="38" t="s">
        <v>1269</v>
      </c>
      <c r="AD11" s="31">
        <v>0</v>
      </c>
      <c r="AE11" s="31" t="s">
        <v>1336</v>
      </c>
      <c r="AF11" s="37" t="s">
        <v>1258</v>
      </c>
      <c r="AG11" s="31">
        <v>0</v>
      </c>
      <c r="AH11" s="31" t="s">
        <v>1337</v>
      </c>
      <c r="AI11" s="37" t="s">
        <v>1258</v>
      </c>
      <c r="AJ11" s="31">
        <v>2</v>
      </c>
      <c r="AK11" s="31" t="s">
        <v>1338</v>
      </c>
      <c r="AL11" s="37" t="s">
        <v>1258</v>
      </c>
      <c r="AM11" s="31">
        <v>2</v>
      </c>
      <c r="AN11" s="31" t="s">
        <v>1338</v>
      </c>
      <c r="AO11" s="37" t="s">
        <v>1258</v>
      </c>
      <c r="AP11" s="8"/>
      <c r="AQ11" s="8" t="b">
        <f>AND($A11&lt;&gt;"",COUNTIFS($F$2:$AO$2,"Status",$F11:$AO11,"A")+COUNTIFS($F$2:$AO$2,"Status",$F11:$AO11,"B")=COUNTIF($F$2:$AO$2,"Status"))</f>
        <v>0</v>
      </c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19" t="s">
        <v>1144</v>
      </c>
      <c r="B12" s="19" t="s">
        <v>54</v>
      </c>
      <c r="C12" s="20" t="s">
        <v>1339</v>
      </c>
      <c r="D12" s="21" t="s">
        <v>55</v>
      </c>
      <c r="E12" s="41">
        <v>46321</v>
      </c>
      <c r="F12" s="21" t="s">
        <v>1257</v>
      </c>
      <c r="G12" s="21"/>
      <c r="H12" s="21" t="s">
        <v>1258</v>
      </c>
      <c r="I12" s="30" t="s">
        <v>1268</v>
      </c>
      <c r="J12" s="31" t="s">
        <v>1268</v>
      </c>
      <c r="K12" s="38" t="s">
        <v>1269</v>
      </c>
      <c r="L12" s="31" t="s">
        <v>1268</v>
      </c>
      <c r="M12" s="31" t="s">
        <v>1268</v>
      </c>
      <c r="N12" s="38" t="s">
        <v>1269</v>
      </c>
      <c r="O12" s="31" t="s">
        <v>1268</v>
      </c>
      <c r="P12" s="31" t="s">
        <v>1268</v>
      </c>
      <c r="Q12" s="38" t="s">
        <v>1269</v>
      </c>
      <c r="R12" s="31" t="s">
        <v>1268</v>
      </c>
      <c r="S12" s="31" t="s">
        <v>1268</v>
      </c>
      <c r="T12" s="38" t="s">
        <v>1269</v>
      </c>
      <c r="U12" s="31" t="s">
        <v>1268</v>
      </c>
      <c r="V12" s="31" t="s">
        <v>1268</v>
      </c>
      <c r="W12" s="38" t="s">
        <v>1269</v>
      </c>
      <c r="X12" s="31" t="s">
        <v>1268</v>
      </c>
      <c r="Y12" s="31" t="s">
        <v>1268</v>
      </c>
      <c r="Z12" s="38" t="s">
        <v>1269</v>
      </c>
      <c r="AA12" s="31" t="s">
        <v>1268</v>
      </c>
      <c r="AB12" s="31" t="s">
        <v>1268</v>
      </c>
      <c r="AC12" s="38" t="s">
        <v>1269</v>
      </c>
      <c r="AD12" s="31" t="s">
        <v>1268</v>
      </c>
      <c r="AE12" s="31" t="s">
        <v>1268</v>
      </c>
      <c r="AF12" s="38" t="s">
        <v>1269</v>
      </c>
      <c r="AG12" s="31">
        <v>0</v>
      </c>
      <c r="AH12" s="31" t="s">
        <v>1340</v>
      </c>
      <c r="AI12" s="37" t="s">
        <v>1258</v>
      </c>
      <c r="AJ12" s="31">
        <v>1</v>
      </c>
      <c r="AK12" s="31" t="s">
        <v>1341</v>
      </c>
      <c r="AL12" s="37" t="s">
        <v>1258</v>
      </c>
      <c r="AM12" s="31">
        <v>1</v>
      </c>
      <c r="AN12" s="31" t="s">
        <v>1341</v>
      </c>
      <c r="AO12" s="37" t="s">
        <v>1258</v>
      </c>
      <c r="AP12" s="8"/>
      <c r="AQ12" s="8" t="b">
        <f>AND($A12&lt;&gt;"",COUNTIFS($F$2:$AO$2,"Status",$F12:$AO12,"A")+COUNTIFS($F$2:$AO$2,"Status",$F12:$AO12,"B")=COUNTIF($F$2:$AO$2,"Status"))</f>
        <v>0</v>
      </c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19" t="s">
        <v>62</v>
      </c>
      <c r="B13" s="19" t="s">
        <v>63</v>
      </c>
      <c r="C13" s="20" t="s">
        <v>1342</v>
      </c>
      <c r="D13" s="21" t="s">
        <v>55</v>
      </c>
      <c r="E13" s="22"/>
      <c r="F13" s="21" t="s">
        <v>1257</v>
      </c>
      <c r="G13" s="21"/>
      <c r="H13" s="21" t="s">
        <v>1258</v>
      </c>
      <c r="I13" s="30">
        <v>0</v>
      </c>
      <c r="J13" s="31" t="s">
        <v>1343</v>
      </c>
      <c r="K13" s="37" t="s">
        <v>1258</v>
      </c>
      <c r="L13" s="31">
        <v>0</v>
      </c>
      <c r="M13" s="31" t="s">
        <v>1344</v>
      </c>
      <c r="N13" s="37" t="s">
        <v>1258</v>
      </c>
      <c r="O13" s="31">
        <v>0</v>
      </c>
      <c r="P13" s="31" t="s">
        <v>1345</v>
      </c>
      <c r="Q13" s="37" t="s">
        <v>1258</v>
      </c>
      <c r="R13" s="31">
        <v>0</v>
      </c>
      <c r="S13" s="31" t="s">
        <v>1346</v>
      </c>
      <c r="T13" s="37" t="s">
        <v>1258</v>
      </c>
      <c r="U13" s="31">
        <v>0</v>
      </c>
      <c r="V13" s="31" t="s">
        <v>1347</v>
      </c>
      <c r="W13" s="37" t="s">
        <v>1258</v>
      </c>
      <c r="X13" s="31">
        <v>0</v>
      </c>
      <c r="Y13" s="31" t="s">
        <v>1348</v>
      </c>
      <c r="Z13" s="37" t="s">
        <v>1258</v>
      </c>
      <c r="AA13" s="31">
        <v>0</v>
      </c>
      <c r="AB13" s="31" t="s">
        <v>1349</v>
      </c>
      <c r="AC13" s="37" t="s">
        <v>1258</v>
      </c>
      <c r="AD13" s="31">
        <v>0</v>
      </c>
      <c r="AE13" s="31" t="s">
        <v>1350</v>
      </c>
      <c r="AF13" s="37" t="s">
        <v>1258</v>
      </c>
      <c r="AG13" s="31">
        <v>0</v>
      </c>
      <c r="AH13" s="31" t="s">
        <v>1351</v>
      </c>
      <c r="AI13" s="37" t="s">
        <v>1258</v>
      </c>
      <c r="AJ13" s="31">
        <v>0</v>
      </c>
      <c r="AK13" s="31" t="s">
        <v>1352</v>
      </c>
      <c r="AL13" s="37" t="s">
        <v>1258</v>
      </c>
      <c r="AM13" s="31">
        <v>0</v>
      </c>
      <c r="AN13" s="31" t="s">
        <v>1352</v>
      </c>
      <c r="AO13" s="37" t="s">
        <v>1258</v>
      </c>
      <c r="AP13" s="8"/>
      <c r="AQ13" s="8" t="b">
        <f>AND($A13&lt;&gt;"",COUNTIFS($F$2:$AO$2,"Status",$F13:$AO13,"A")+COUNTIFS($F$2:$AO$2,"Status",$F13:$AO13,"B")=COUNTIF($F$2:$AO$2,"Status"))</f>
        <v>1</v>
      </c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19" t="s">
        <v>66</v>
      </c>
      <c r="B14" s="19" t="s">
        <v>67</v>
      </c>
      <c r="C14" s="20" t="s">
        <v>1353</v>
      </c>
      <c r="D14" s="21" t="s">
        <v>1354</v>
      </c>
      <c r="E14" s="22"/>
      <c r="F14" s="21"/>
      <c r="G14" s="21"/>
      <c r="H14" s="21" t="s">
        <v>1258</v>
      </c>
      <c r="I14" s="30">
        <v>0</v>
      </c>
      <c r="J14" s="31" t="s">
        <v>1355</v>
      </c>
      <c r="K14" s="29" t="s">
        <v>1258</v>
      </c>
      <c r="L14" s="31" t="s">
        <v>1268</v>
      </c>
      <c r="M14" s="31" t="s">
        <v>1268</v>
      </c>
      <c r="N14" s="33" t="s">
        <v>1269</v>
      </c>
      <c r="O14" s="31" t="s">
        <v>1268</v>
      </c>
      <c r="P14" s="31" t="s">
        <v>1268</v>
      </c>
      <c r="Q14" s="33" t="s">
        <v>1269</v>
      </c>
      <c r="R14" s="31" t="s">
        <v>1268</v>
      </c>
      <c r="S14" s="31" t="s">
        <v>1268</v>
      </c>
      <c r="T14" s="33" t="s">
        <v>1269</v>
      </c>
      <c r="U14" s="31" t="s">
        <v>1268</v>
      </c>
      <c r="V14" s="31" t="s">
        <v>1268</v>
      </c>
      <c r="W14" s="33" t="s">
        <v>1269</v>
      </c>
      <c r="X14" s="31" t="s">
        <v>1268</v>
      </c>
      <c r="Y14" s="31" t="s">
        <v>1268</v>
      </c>
      <c r="Z14" s="33" t="s">
        <v>1269</v>
      </c>
      <c r="AA14" s="31" t="s">
        <v>1268</v>
      </c>
      <c r="AB14" s="31" t="s">
        <v>1268</v>
      </c>
      <c r="AC14" s="33" t="s">
        <v>1269</v>
      </c>
      <c r="AD14" s="31" t="s">
        <v>1268</v>
      </c>
      <c r="AE14" s="31" t="s">
        <v>1268</v>
      </c>
      <c r="AF14" s="33" t="s">
        <v>1269</v>
      </c>
      <c r="AG14" s="31" t="s">
        <v>1268</v>
      </c>
      <c r="AH14" s="31" t="s">
        <v>1268</v>
      </c>
      <c r="AI14" s="33" t="s">
        <v>1269</v>
      </c>
      <c r="AJ14" s="31" t="s">
        <v>1268</v>
      </c>
      <c r="AK14" s="31" t="s">
        <v>1268</v>
      </c>
      <c r="AL14" s="32" t="s">
        <v>1258</v>
      </c>
      <c r="AM14" s="31" t="s">
        <v>1268</v>
      </c>
      <c r="AN14" s="31" t="s">
        <v>1268</v>
      </c>
      <c r="AO14" s="33" t="s">
        <v>1269</v>
      </c>
      <c r="AP14" s="8"/>
      <c r="AQ14" s="8" t="b">
        <f>AND($A14&lt;&gt;"",COUNTIFS($F$2:$AO$2,"Status",$F14:$AO14,"A")+COUNTIFS($F$2:$AO$2,"Status",$F14:$AO14,"B")=COUNTIF($F$2:$AO$2,"Status"))</f>
        <v>0</v>
      </c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26" t="s">
        <v>662</v>
      </c>
      <c r="B15" s="19" t="s">
        <v>67</v>
      </c>
      <c r="C15" s="20" t="s">
        <v>1353</v>
      </c>
      <c r="D15" s="21" t="s">
        <v>1354</v>
      </c>
      <c r="E15" s="22"/>
      <c r="F15" s="21"/>
      <c r="G15" s="21"/>
      <c r="H15" s="21" t="s">
        <v>1258</v>
      </c>
      <c r="I15" s="30">
        <v>0</v>
      </c>
      <c r="J15" s="31" t="s">
        <v>1356</v>
      </c>
      <c r="K15" s="29" t="s">
        <v>1260</v>
      </c>
      <c r="L15" s="31" t="s">
        <v>1268</v>
      </c>
      <c r="M15" s="31" t="s">
        <v>1268</v>
      </c>
      <c r="N15" s="33" t="s">
        <v>1269</v>
      </c>
      <c r="O15" s="31" t="s">
        <v>1268</v>
      </c>
      <c r="P15" s="31" t="s">
        <v>1268</v>
      </c>
      <c r="Q15" s="33" t="s">
        <v>1269</v>
      </c>
      <c r="R15" s="31" t="s">
        <v>1268</v>
      </c>
      <c r="S15" s="31" t="s">
        <v>1268</v>
      </c>
      <c r="T15" s="33" t="s">
        <v>1269</v>
      </c>
      <c r="U15" s="31" t="s">
        <v>1268</v>
      </c>
      <c r="V15" s="31" t="s">
        <v>1268</v>
      </c>
      <c r="W15" s="33" t="s">
        <v>1269</v>
      </c>
      <c r="X15" s="31" t="s">
        <v>1268</v>
      </c>
      <c r="Y15" s="31" t="s">
        <v>1268</v>
      </c>
      <c r="Z15" s="33" t="s">
        <v>1269</v>
      </c>
      <c r="AA15" s="31" t="s">
        <v>1268</v>
      </c>
      <c r="AB15" s="31" t="s">
        <v>1268</v>
      </c>
      <c r="AC15" s="33" t="s">
        <v>1269</v>
      </c>
      <c r="AD15" s="31" t="s">
        <v>1268</v>
      </c>
      <c r="AE15" s="31" t="s">
        <v>1268</v>
      </c>
      <c r="AF15" s="33" t="s">
        <v>1269</v>
      </c>
      <c r="AG15" s="31">
        <v>0</v>
      </c>
      <c r="AH15" s="31" t="s">
        <v>1357</v>
      </c>
      <c r="AI15" s="35" t="s">
        <v>1286</v>
      </c>
      <c r="AJ15" s="31" t="s">
        <v>1268</v>
      </c>
      <c r="AK15" s="31" t="s">
        <v>1268</v>
      </c>
      <c r="AL15" s="33" t="s">
        <v>1269</v>
      </c>
      <c r="AM15" s="31" t="s">
        <v>1268</v>
      </c>
      <c r="AN15" s="31" t="s">
        <v>1268</v>
      </c>
      <c r="AO15" s="33" t="s">
        <v>1269</v>
      </c>
      <c r="AP15" s="8"/>
      <c r="AQ15" s="8" t="b">
        <f>AND($A15&lt;&gt;"",COUNTIFS($F$2:$AO$2,"Status",$F15:$AO15,"A")+COUNTIFS($F$2:$AO$2,"Status",$F15:$AO15,"B")=COUNTIF($F$2:$AO$2,"Status"))</f>
        <v>0</v>
      </c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26" t="s">
        <v>74</v>
      </c>
      <c r="B16" s="19" t="s">
        <v>67</v>
      </c>
      <c r="C16" s="20" t="s">
        <v>1353</v>
      </c>
      <c r="D16" s="21" t="s">
        <v>1354</v>
      </c>
      <c r="E16" s="22"/>
      <c r="F16" s="21"/>
      <c r="G16" s="21"/>
      <c r="H16" s="21" t="s">
        <v>1258</v>
      </c>
      <c r="I16" s="30">
        <v>0</v>
      </c>
      <c r="J16" s="31" t="s">
        <v>1358</v>
      </c>
      <c r="K16" s="29" t="s">
        <v>1260</v>
      </c>
      <c r="L16" s="31" t="s">
        <v>1268</v>
      </c>
      <c r="M16" s="31" t="s">
        <v>1268</v>
      </c>
      <c r="N16" s="33" t="s">
        <v>1269</v>
      </c>
      <c r="O16" s="31" t="s">
        <v>1268</v>
      </c>
      <c r="P16" s="31" t="s">
        <v>1268</v>
      </c>
      <c r="Q16" s="33" t="s">
        <v>1269</v>
      </c>
      <c r="R16" s="31" t="s">
        <v>1268</v>
      </c>
      <c r="S16" s="31" t="s">
        <v>1268</v>
      </c>
      <c r="T16" s="33" t="s">
        <v>1269</v>
      </c>
      <c r="U16" s="31" t="s">
        <v>1268</v>
      </c>
      <c r="V16" s="31" t="s">
        <v>1268</v>
      </c>
      <c r="W16" s="33" t="s">
        <v>1269</v>
      </c>
      <c r="X16" s="31" t="s">
        <v>1268</v>
      </c>
      <c r="Y16" s="31" t="s">
        <v>1268</v>
      </c>
      <c r="Z16" s="33" t="s">
        <v>1269</v>
      </c>
      <c r="AA16" s="31" t="s">
        <v>1268</v>
      </c>
      <c r="AB16" s="31" t="s">
        <v>1268</v>
      </c>
      <c r="AC16" s="33" t="s">
        <v>1269</v>
      </c>
      <c r="AD16" s="31" t="s">
        <v>1268</v>
      </c>
      <c r="AE16" s="31" t="s">
        <v>1268</v>
      </c>
      <c r="AF16" s="33" t="s">
        <v>1269</v>
      </c>
      <c r="AG16" s="31">
        <v>0</v>
      </c>
      <c r="AH16" s="31" t="s">
        <v>1359</v>
      </c>
      <c r="AI16" s="32" t="s">
        <v>1258</v>
      </c>
      <c r="AJ16" s="31" t="s">
        <v>1268</v>
      </c>
      <c r="AK16" s="31" t="s">
        <v>1268</v>
      </c>
      <c r="AL16" s="33" t="s">
        <v>1269</v>
      </c>
      <c r="AM16" s="31" t="s">
        <v>1268</v>
      </c>
      <c r="AN16" s="31" t="s">
        <v>1268</v>
      </c>
      <c r="AO16" s="33" t="s">
        <v>1269</v>
      </c>
      <c r="AP16" s="8"/>
      <c r="AQ16" s="8" t="b">
        <f>AND($A16&lt;&gt;"",COUNTIFS($F$2:$AO$2,"Status",$F16:$AO16,"A")+COUNTIFS($F$2:$AO$2,"Status",$F16:$AO16,"B")=COUNTIF($F$2:$AO$2,"Status"))</f>
        <v>0</v>
      </c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26" t="s">
        <v>79</v>
      </c>
      <c r="B17" s="19" t="s">
        <v>67</v>
      </c>
      <c r="C17" s="20" t="s">
        <v>1353</v>
      </c>
      <c r="D17" s="21" t="s">
        <v>1354</v>
      </c>
      <c r="E17" s="22"/>
      <c r="F17" s="21"/>
      <c r="G17" s="21"/>
      <c r="H17" s="21" t="s">
        <v>1258</v>
      </c>
      <c r="I17" s="30" t="s">
        <v>1268</v>
      </c>
      <c r="J17" s="31" t="s">
        <v>1268</v>
      </c>
      <c r="K17" s="33" t="s">
        <v>1269</v>
      </c>
      <c r="L17" s="31" t="s">
        <v>1268</v>
      </c>
      <c r="M17" s="31" t="s">
        <v>1268</v>
      </c>
      <c r="N17" s="33" t="s">
        <v>1269</v>
      </c>
      <c r="O17" s="31" t="s">
        <v>1268</v>
      </c>
      <c r="P17" s="31" t="s">
        <v>1268</v>
      </c>
      <c r="Q17" s="33" t="s">
        <v>1269</v>
      </c>
      <c r="R17" s="31" t="s">
        <v>1268</v>
      </c>
      <c r="S17" s="31" t="s">
        <v>1268</v>
      </c>
      <c r="T17" s="33" t="s">
        <v>1269</v>
      </c>
      <c r="U17" s="31" t="s">
        <v>1268</v>
      </c>
      <c r="V17" s="31" t="s">
        <v>1268</v>
      </c>
      <c r="W17" s="33" t="s">
        <v>1269</v>
      </c>
      <c r="X17" s="31" t="s">
        <v>1268</v>
      </c>
      <c r="Y17" s="31" t="s">
        <v>1268</v>
      </c>
      <c r="Z17" s="33" t="s">
        <v>1269</v>
      </c>
      <c r="AA17" s="31" t="s">
        <v>1268</v>
      </c>
      <c r="AB17" s="31" t="s">
        <v>1268</v>
      </c>
      <c r="AC17" s="33" t="s">
        <v>1269</v>
      </c>
      <c r="AD17" s="31" t="s">
        <v>1268</v>
      </c>
      <c r="AE17" s="31" t="s">
        <v>1268</v>
      </c>
      <c r="AF17" s="33" t="s">
        <v>1269</v>
      </c>
      <c r="AG17" s="31">
        <v>0</v>
      </c>
      <c r="AH17" s="31" t="s">
        <v>1360</v>
      </c>
      <c r="AI17" s="32" t="s">
        <v>1258</v>
      </c>
      <c r="AJ17" s="31" t="s">
        <v>1268</v>
      </c>
      <c r="AK17" s="31" t="s">
        <v>1268</v>
      </c>
      <c r="AL17" s="33" t="s">
        <v>1269</v>
      </c>
      <c r="AM17" s="31" t="s">
        <v>1268</v>
      </c>
      <c r="AN17" s="31" t="s">
        <v>1268</v>
      </c>
      <c r="AO17" s="33" t="s">
        <v>1269</v>
      </c>
      <c r="AP17" s="8"/>
      <c r="AQ17" s="8" t="b">
        <f>AND($A17&lt;&gt;"",COUNTIFS($F$2:$AO$2,"Status",$F17:$AO17,"A")+COUNTIFS($F$2:$AO$2,"Status",$F17:$AO17,"B")=COUNTIF($F$2:$AO$2,"Status"))</f>
        <v>0</v>
      </c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26" t="s">
        <v>667</v>
      </c>
      <c r="B18" s="19" t="s">
        <v>67</v>
      </c>
      <c r="C18" s="20" t="s">
        <v>1353</v>
      </c>
      <c r="D18" s="21" t="s">
        <v>1354</v>
      </c>
      <c r="E18" s="22"/>
      <c r="F18" s="21"/>
      <c r="G18" s="21"/>
      <c r="H18" s="21" t="s">
        <v>1258</v>
      </c>
      <c r="I18" s="30" t="s">
        <v>1268</v>
      </c>
      <c r="J18" s="31" t="s">
        <v>1268</v>
      </c>
      <c r="K18" s="33" t="s">
        <v>1269</v>
      </c>
      <c r="L18" s="31" t="s">
        <v>1268</v>
      </c>
      <c r="M18" s="31" t="s">
        <v>1268</v>
      </c>
      <c r="N18" s="33" t="s">
        <v>1269</v>
      </c>
      <c r="O18" s="31" t="s">
        <v>1268</v>
      </c>
      <c r="P18" s="31" t="s">
        <v>1268</v>
      </c>
      <c r="Q18" s="33" t="s">
        <v>1269</v>
      </c>
      <c r="R18" s="31" t="s">
        <v>1268</v>
      </c>
      <c r="S18" s="31" t="s">
        <v>1268</v>
      </c>
      <c r="T18" s="33" t="s">
        <v>1269</v>
      </c>
      <c r="U18" s="31" t="s">
        <v>1268</v>
      </c>
      <c r="V18" s="31" t="s">
        <v>1268</v>
      </c>
      <c r="W18" s="33" t="s">
        <v>1269</v>
      </c>
      <c r="X18" s="31" t="s">
        <v>1268</v>
      </c>
      <c r="Y18" s="31" t="s">
        <v>1268</v>
      </c>
      <c r="Z18" s="33" t="s">
        <v>1269</v>
      </c>
      <c r="AA18" s="31" t="s">
        <v>1268</v>
      </c>
      <c r="AB18" s="31" t="s">
        <v>1268</v>
      </c>
      <c r="AC18" s="33" t="s">
        <v>1269</v>
      </c>
      <c r="AD18" s="31" t="s">
        <v>1268</v>
      </c>
      <c r="AE18" s="31" t="s">
        <v>1268</v>
      </c>
      <c r="AF18" s="33" t="s">
        <v>1269</v>
      </c>
      <c r="AG18" s="31">
        <v>0</v>
      </c>
      <c r="AH18" s="31" t="s">
        <v>1361</v>
      </c>
      <c r="AI18" s="29" t="s">
        <v>1258</v>
      </c>
      <c r="AJ18" s="31" t="s">
        <v>1268</v>
      </c>
      <c r="AK18" s="31" t="s">
        <v>1268</v>
      </c>
      <c r="AL18" s="33" t="s">
        <v>1269</v>
      </c>
      <c r="AM18" s="31" t="s">
        <v>1268</v>
      </c>
      <c r="AN18" s="31" t="s">
        <v>1268</v>
      </c>
      <c r="AO18" s="33" t="s">
        <v>1269</v>
      </c>
      <c r="AP18" s="8"/>
      <c r="AQ18" s="8" t="b">
        <f>AND($A18&lt;&gt;"",COUNTIFS($F$2:$AO$2,"Status",$F18:$AO18,"A")+COUNTIFS($F$2:$AO$2,"Status",$F18:$AO18,"B")=COUNTIF($F$2:$AO$2,"Status"))</f>
        <v>0</v>
      </c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26" t="s">
        <v>86</v>
      </c>
      <c r="B19" s="19" t="s">
        <v>67</v>
      </c>
      <c r="C19" s="20" t="s">
        <v>1353</v>
      </c>
      <c r="D19" s="21" t="s">
        <v>1354</v>
      </c>
      <c r="E19" s="22"/>
      <c r="F19" s="21"/>
      <c r="G19" s="21"/>
      <c r="H19" s="21" t="s">
        <v>1258</v>
      </c>
      <c r="I19" s="30" t="s">
        <v>1268</v>
      </c>
      <c r="J19" s="31" t="s">
        <v>1268</v>
      </c>
      <c r="K19" s="33" t="s">
        <v>1269</v>
      </c>
      <c r="L19" s="31" t="s">
        <v>1268</v>
      </c>
      <c r="M19" s="31" t="s">
        <v>1268</v>
      </c>
      <c r="N19" s="33" t="s">
        <v>1269</v>
      </c>
      <c r="O19" s="31" t="s">
        <v>1268</v>
      </c>
      <c r="P19" s="31" t="s">
        <v>1268</v>
      </c>
      <c r="Q19" s="33" t="s">
        <v>1269</v>
      </c>
      <c r="R19" s="31" t="s">
        <v>1268</v>
      </c>
      <c r="S19" s="31" t="s">
        <v>1268</v>
      </c>
      <c r="T19" s="33" t="s">
        <v>1269</v>
      </c>
      <c r="U19" s="31" t="s">
        <v>1268</v>
      </c>
      <c r="V19" s="31" t="s">
        <v>1268</v>
      </c>
      <c r="W19" s="33" t="s">
        <v>1269</v>
      </c>
      <c r="X19" s="31" t="s">
        <v>1268</v>
      </c>
      <c r="Y19" s="31" t="s">
        <v>1268</v>
      </c>
      <c r="Z19" s="33" t="s">
        <v>1269</v>
      </c>
      <c r="AA19" s="31" t="s">
        <v>1268</v>
      </c>
      <c r="AB19" s="31" t="s">
        <v>1268</v>
      </c>
      <c r="AC19" s="33" t="s">
        <v>1269</v>
      </c>
      <c r="AD19" s="31" t="s">
        <v>1268</v>
      </c>
      <c r="AE19" s="31" t="s">
        <v>1268</v>
      </c>
      <c r="AF19" s="33" t="s">
        <v>1269</v>
      </c>
      <c r="AG19" s="31">
        <v>0</v>
      </c>
      <c r="AH19" s="31" t="s">
        <v>1362</v>
      </c>
      <c r="AI19" s="29" t="s">
        <v>1258</v>
      </c>
      <c r="AJ19" s="31" t="s">
        <v>1268</v>
      </c>
      <c r="AK19" s="31" t="s">
        <v>1268</v>
      </c>
      <c r="AL19" s="33" t="s">
        <v>1269</v>
      </c>
      <c r="AM19" s="31" t="s">
        <v>1268</v>
      </c>
      <c r="AN19" s="31" t="s">
        <v>1268</v>
      </c>
      <c r="AO19" s="33" t="s">
        <v>1269</v>
      </c>
      <c r="AP19" s="8"/>
      <c r="AQ19" s="8" t="b">
        <f>AND($A19&lt;&gt;"",COUNTIFS($F$2:$AO$2,"Status",$F19:$AO19,"A")+COUNTIFS($F$2:$AO$2,"Status",$F19:$AO19,"B")=COUNTIF($F$2:$AO$2,"Status"))</f>
        <v>0</v>
      </c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19" t="s">
        <v>89</v>
      </c>
      <c r="B20" s="19" t="s">
        <v>67</v>
      </c>
      <c r="C20" s="20" t="s">
        <v>1363</v>
      </c>
      <c r="D20" s="21" t="s">
        <v>1354</v>
      </c>
      <c r="E20" s="22"/>
      <c r="F20" s="21"/>
      <c r="G20" s="21"/>
      <c r="H20" s="21" t="s">
        <v>1258</v>
      </c>
      <c r="I20" s="30" t="s">
        <v>1268</v>
      </c>
      <c r="J20" s="31" t="s">
        <v>1268</v>
      </c>
      <c r="K20" s="33" t="s">
        <v>1269</v>
      </c>
      <c r="L20" s="31" t="s">
        <v>1268</v>
      </c>
      <c r="M20" s="31" t="s">
        <v>1268</v>
      </c>
      <c r="N20" s="33" t="s">
        <v>1269</v>
      </c>
      <c r="O20" s="31" t="s">
        <v>1268</v>
      </c>
      <c r="P20" s="31" t="s">
        <v>1268</v>
      </c>
      <c r="Q20" s="33" t="s">
        <v>1269</v>
      </c>
      <c r="R20" s="31" t="s">
        <v>1268</v>
      </c>
      <c r="S20" s="31" t="s">
        <v>1268</v>
      </c>
      <c r="T20" s="33" t="s">
        <v>1269</v>
      </c>
      <c r="U20" s="31" t="s">
        <v>1268</v>
      </c>
      <c r="V20" s="31" t="s">
        <v>1268</v>
      </c>
      <c r="W20" s="33" t="s">
        <v>1269</v>
      </c>
      <c r="X20" s="31" t="s">
        <v>1268</v>
      </c>
      <c r="Y20" s="31" t="s">
        <v>1268</v>
      </c>
      <c r="Z20" s="33" t="s">
        <v>1269</v>
      </c>
      <c r="AA20" s="31" t="s">
        <v>1268</v>
      </c>
      <c r="AB20" s="31" t="s">
        <v>1268</v>
      </c>
      <c r="AC20" s="33" t="s">
        <v>1269</v>
      </c>
      <c r="AD20" s="31" t="s">
        <v>1268</v>
      </c>
      <c r="AE20" s="31" t="s">
        <v>1268</v>
      </c>
      <c r="AF20" s="33" t="s">
        <v>1269</v>
      </c>
      <c r="AG20" s="31" t="s">
        <v>1268</v>
      </c>
      <c r="AH20" s="31" t="s">
        <v>1268</v>
      </c>
      <c r="AI20" s="33" t="s">
        <v>1269</v>
      </c>
      <c r="AJ20" s="31" t="s">
        <v>1268</v>
      </c>
      <c r="AK20" s="31" t="s">
        <v>1268</v>
      </c>
      <c r="AL20" s="33" t="s">
        <v>1269</v>
      </c>
      <c r="AM20" s="31" t="s">
        <v>1268</v>
      </c>
      <c r="AN20" s="31" t="s">
        <v>1268</v>
      </c>
      <c r="AO20" s="33" t="s">
        <v>1269</v>
      </c>
      <c r="AP20" s="8"/>
      <c r="AQ20" s="8" t="b">
        <f>AND($A20&lt;&gt;"",COUNTIFS($F$2:$AO$2,"Status",$F20:$AO20,"A")+COUNTIFS($F$2:$AO$2,"Status",$F20:$AO20,"B")=COUNTIF($F$2:$AO$2,"Status"))</f>
        <v>0</v>
      </c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26" t="s">
        <v>674</v>
      </c>
      <c r="B21" s="19" t="s">
        <v>67</v>
      </c>
      <c r="C21" s="20" t="s">
        <v>1363</v>
      </c>
      <c r="D21" s="21" t="s">
        <v>1354</v>
      </c>
      <c r="E21" s="22"/>
      <c r="F21" s="21"/>
      <c r="G21" s="21"/>
      <c r="H21" s="21" t="s">
        <v>1258</v>
      </c>
      <c r="I21" s="30" t="s">
        <v>1268</v>
      </c>
      <c r="J21" s="31" t="s">
        <v>1268</v>
      </c>
      <c r="K21" s="33" t="s">
        <v>1269</v>
      </c>
      <c r="L21" s="31" t="s">
        <v>1268</v>
      </c>
      <c r="M21" s="31" t="s">
        <v>1268</v>
      </c>
      <c r="N21" s="33" t="s">
        <v>1269</v>
      </c>
      <c r="O21" s="31" t="s">
        <v>1268</v>
      </c>
      <c r="P21" s="31" t="s">
        <v>1268</v>
      </c>
      <c r="Q21" s="33" t="s">
        <v>1269</v>
      </c>
      <c r="R21" s="31" t="s">
        <v>1268</v>
      </c>
      <c r="S21" s="31" t="s">
        <v>1268</v>
      </c>
      <c r="T21" s="33" t="s">
        <v>1269</v>
      </c>
      <c r="U21" s="31" t="s">
        <v>1268</v>
      </c>
      <c r="V21" s="31" t="s">
        <v>1268</v>
      </c>
      <c r="W21" s="33" t="s">
        <v>1269</v>
      </c>
      <c r="X21" s="31" t="s">
        <v>1268</v>
      </c>
      <c r="Y21" s="31" t="s">
        <v>1268</v>
      </c>
      <c r="Z21" s="33" t="s">
        <v>1269</v>
      </c>
      <c r="AA21" s="31" t="s">
        <v>1268</v>
      </c>
      <c r="AB21" s="31" t="s">
        <v>1268</v>
      </c>
      <c r="AC21" s="33" t="s">
        <v>1269</v>
      </c>
      <c r="AD21" s="31" t="s">
        <v>1268</v>
      </c>
      <c r="AE21" s="31" t="s">
        <v>1268</v>
      </c>
      <c r="AF21" s="33" t="s">
        <v>1269</v>
      </c>
      <c r="AG21" s="31">
        <v>0</v>
      </c>
      <c r="AH21" s="31" t="s">
        <v>1364</v>
      </c>
      <c r="AI21" s="29" t="s">
        <v>1260</v>
      </c>
      <c r="AJ21" s="31" t="s">
        <v>1268</v>
      </c>
      <c r="AK21" s="31" t="s">
        <v>1268</v>
      </c>
      <c r="AL21" s="33" t="s">
        <v>1269</v>
      </c>
      <c r="AM21" s="31" t="s">
        <v>1268</v>
      </c>
      <c r="AN21" s="31" t="s">
        <v>1268</v>
      </c>
      <c r="AO21" s="33" t="s">
        <v>1269</v>
      </c>
      <c r="AP21" s="8"/>
      <c r="AQ21" s="8" t="b">
        <f>AND($A21&lt;&gt;"",COUNTIFS($F$2:$AO$2,"Status",$F21:$AO21,"A")+COUNTIFS($F$2:$AO$2,"Status",$F21:$AO21,"B")=COUNTIF($F$2:$AO$2,"Status"))</f>
        <v>0</v>
      </c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26" t="s">
        <v>94</v>
      </c>
      <c r="B22" s="19" t="s">
        <v>67</v>
      </c>
      <c r="C22" s="20" t="s">
        <v>1363</v>
      </c>
      <c r="D22" s="21" t="s">
        <v>1354</v>
      </c>
      <c r="E22" s="22"/>
      <c r="F22" s="21"/>
      <c r="G22" s="21"/>
      <c r="H22" s="21" t="s">
        <v>1258</v>
      </c>
      <c r="I22" s="30" t="s">
        <v>1268</v>
      </c>
      <c r="J22" s="31" t="s">
        <v>1268</v>
      </c>
      <c r="K22" s="33" t="s">
        <v>1269</v>
      </c>
      <c r="L22" s="31" t="s">
        <v>1268</v>
      </c>
      <c r="M22" s="31" t="s">
        <v>1268</v>
      </c>
      <c r="N22" s="33" t="s">
        <v>1269</v>
      </c>
      <c r="O22" s="31" t="s">
        <v>1268</v>
      </c>
      <c r="P22" s="31" t="s">
        <v>1268</v>
      </c>
      <c r="Q22" s="33" t="s">
        <v>1269</v>
      </c>
      <c r="R22" s="31" t="s">
        <v>1268</v>
      </c>
      <c r="S22" s="31" t="s">
        <v>1268</v>
      </c>
      <c r="T22" s="33" t="s">
        <v>1269</v>
      </c>
      <c r="U22" s="31" t="s">
        <v>1268</v>
      </c>
      <c r="V22" s="31" t="s">
        <v>1268</v>
      </c>
      <c r="W22" s="33" t="s">
        <v>1269</v>
      </c>
      <c r="X22" s="31" t="s">
        <v>1268</v>
      </c>
      <c r="Y22" s="31" t="s">
        <v>1268</v>
      </c>
      <c r="Z22" s="33" t="s">
        <v>1269</v>
      </c>
      <c r="AA22" s="31" t="s">
        <v>1268</v>
      </c>
      <c r="AB22" s="31" t="s">
        <v>1268</v>
      </c>
      <c r="AC22" s="33" t="s">
        <v>1269</v>
      </c>
      <c r="AD22" s="31" t="s">
        <v>1268</v>
      </c>
      <c r="AE22" s="31" t="s">
        <v>1268</v>
      </c>
      <c r="AF22" s="33" t="s">
        <v>1269</v>
      </c>
      <c r="AG22" s="31" t="s">
        <v>1268</v>
      </c>
      <c r="AH22" s="31" t="s">
        <v>1268</v>
      </c>
      <c r="AI22" s="33" t="s">
        <v>1269</v>
      </c>
      <c r="AJ22" s="31" t="s">
        <v>1268</v>
      </c>
      <c r="AK22" s="31" t="s">
        <v>1268</v>
      </c>
      <c r="AL22" s="33" t="s">
        <v>1269</v>
      </c>
      <c r="AM22" s="31" t="s">
        <v>1268</v>
      </c>
      <c r="AN22" s="31" t="s">
        <v>1268</v>
      </c>
      <c r="AO22" s="33" t="s">
        <v>1269</v>
      </c>
      <c r="AP22" s="8"/>
      <c r="AQ22" s="8" t="b">
        <f>AND($A22&lt;&gt;"",COUNTIFS($F$2:$AO$2,"Status",$F22:$AO22,"A")+COUNTIFS($F$2:$AO$2,"Status",$F22:$AO22,"B")=COUNTIF($F$2:$AO$2,"Status"))</f>
        <v>0</v>
      </c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26" t="s">
        <v>764</v>
      </c>
      <c r="B23" s="19" t="s">
        <v>67</v>
      </c>
      <c r="C23" s="20" t="s">
        <v>1363</v>
      </c>
      <c r="D23" s="21" t="s">
        <v>1354</v>
      </c>
      <c r="E23" s="22"/>
      <c r="F23" s="21"/>
      <c r="G23" s="21"/>
      <c r="H23" s="21" t="s">
        <v>1258</v>
      </c>
      <c r="I23" s="30" t="s">
        <v>1268</v>
      </c>
      <c r="J23" s="31" t="s">
        <v>1268</v>
      </c>
      <c r="K23" s="33" t="s">
        <v>1269</v>
      </c>
      <c r="L23" s="31" t="s">
        <v>1268</v>
      </c>
      <c r="M23" s="31" t="s">
        <v>1268</v>
      </c>
      <c r="N23" s="33" t="s">
        <v>1269</v>
      </c>
      <c r="O23" s="31" t="s">
        <v>1268</v>
      </c>
      <c r="P23" s="31" t="s">
        <v>1268</v>
      </c>
      <c r="Q23" s="33" t="s">
        <v>1269</v>
      </c>
      <c r="R23" s="31" t="s">
        <v>1268</v>
      </c>
      <c r="S23" s="31" t="s">
        <v>1268</v>
      </c>
      <c r="T23" s="33" t="s">
        <v>1269</v>
      </c>
      <c r="U23" s="31" t="s">
        <v>1268</v>
      </c>
      <c r="V23" s="31" t="s">
        <v>1268</v>
      </c>
      <c r="W23" s="33" t="s">
        <v>1269</v>
      </c>
      <c r="X23" s="31" t="s">
        <v>1268</v>
      </c>
      <c r="Y23" s="31" t="s">
        <v>1268</v>
      </c>
      <c r="Z23" s="33" t="s">
        <v>1269</v>
      </c>
      <c r="AA23" s="31" t="s">
        <v>1268</v>
      </c>
      <c r="AB23" s="31" t="s">
        <v>1268</v>
      </c>
      <c r="AC23" s="33" t="s">
        <v>1269</v>
      </c>
      <c r="AD23" s="31" t="s">
        <v>1268</v>
      </c>
      <c r="AE23" s="31" t="s">
        <v>1268</v>
      </c>
      <c r="AF23" s="33" t="s">
        <v>1269</v>
      </c>
      <c r="AG23" s="31">
        <v>0</v>
      </c>
      <c r="AH23" s="31" t="s">
        <v>1365</v>
      </c>
      <c r="AI23" s="32" t="s">
        <v>1258</v>
      </c>
      <c r="AJ23" s="31" t="s">
        <v>1268</v>
      </c>
      <c r="AK23" s="31" t="s">
        <v>1268</v>
      </c>
      <c r="AL23" s="33" t="s">
        <v>1269</v>
      </c>
      <c r="AM23" s="31" t="s">
        <v>1268</v>
      </c>
      <c r="AN23" s="31" t="s">
        <v>1268</v>
      </c>
      <c r="AO23" s="33" t="s">
        <v>1269</v>
      </c>
      <c r="AP23" s="8"/>
      <c r="AQ23" s="8" t="b">
        <f>AND($A23&lt;&gt;"",COUNTIFS($F$2:$AO$2,"Status",$F23:$AO23,"A")+COUNTIFS($F$2:$AO$2,"Status",$F23:$AO23,"B")=COUNTIF($F$2:$AO$2,"Status"))</f>
        <v>0</v>
      </c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26" t="s">
        <v>186</v>
      </c>
      <c r="B24" s="19" t="s">
        <v>67</v>
      </c>
      <c r="C24" s="20" t="s">
        <v>1363</v>
      </c>
      <c r="D24" s="21" t="s">
        <v>1354</v>
      </c>
      <c r="E24" s="22"/>
      <c r="F24" s="21"/>
      <c r="G24" s="21"/>
      <c r="H24" s="21" t="s">
        <v>1258</v>
      </c>
      <c r="I24" s="30" t="s">
        <v>1268</v>
      </c>
      <c r="J24" s="31" t="s">
        <v>1268</v>
      </c>
      <c r="K24" s="33" t="s">
        <v>1269</v>
      </c>
      <c r="L24" s="31" t="s">
        <v>1268</v>
      </c>
      <c r="M24" s="31" t="s">
        <v>1268</v>
      </c>
      <c r="N24" s="33" t="s">
        <v>1269</v>
      </c>
      <c r="O24" s="31" t="s">
        <v>1268</v>
      </c>
      <c r="P24" s="31" t="s">
        <v>1268</v>
      </c>
      <c r="Q24" s="33" t="s">
        <v>1269</v>
      </c>
      <c r="R24" s="31" t="s">
        <v>1268</v>
      </c>
      <c r="S24" s="31" t="s">
        <v>1268</v>
      </c>
      <c r="T24" s="33" t="s">
        <v>1269</v>
      </c>
      <c r="U24" s="31" t="s">
        <v>1268</v>
      </c>
      <c r="V24" s="31" t="s">
        <v>1268</v>
      </c>
      <c r="W24" s="33" t="s">
        <v>1269</v>
      </c>
      <c r="X24" s="31" t="s">
        <v>1268</v>
      </c>
      <c r="Y24" s="31" t="s">
        <v>1268</v>
      </c>
      <c r="Z24" s="33" t="s">
        <v>1269</v>
      </c>
      <c r="AA24" s="31" t="s">
        <v>1268</v>
      </c>
      <c r="AB24" s="31" t="s">
        <v>1268</v>
      </c>
      <c r="AC24" s="33" t="s">
        <v>1269</v>
      </c>
      <c r="AD24" s="31" t="s">
        <v>1268</v>
      </c>
      <c r="AE24" s="31" t="s">
        <v>1268</v>
      </c>
      <c r="AF24" s="33" t="s">
        <v>1269</v>
      </c>
      <c r="AG24" s="31">
        <v>0</v>
      </c>
      <c r="AH24" s="31" t="s">
        <v>1366</v>
      </c>
      <c r="AI24" s="29" t="s">
        <v>1260</v>
      </c>
      <c r="AJ24" s="31" t="s">
        <v>1268</v>
      </c>
      <c r="AK24" s="31" t="s">
        <v>1268</v>
      </c>
      <c r="AL24" s="33" t="s">
        <v>1269</v>
      </c>
      <c r="AM24" s="31" t="s">
        <v>1268</v>
      </c>
      <c r="AN24" s="31" t="s">
        <v>1268</v>
      </c>
      <c r="AO24" s="33" t="s">
        <v>1269</v>
      </c>
      <c r="AP24" s="8"/>
      <c r="AQ24" s="8" t="b">
        <f>AND($A24&lt;&gt;"",COUNTIFS($F$2:$AO$2,"Status",$F24:$AO24,"A")+COUNTIFS($F$2:$AO$2,"Status",$F24:$AO24,"B")=COUNTIF($F$2:$AO$2,"Status"))</f>
        <v>0</v>
      </c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26" t="s">
        <v>101</v>
      </c>
      <c r="B25" s="19" t="s">
        <v>67</v>
      </c>
      <c r="C25" s="20" t="s">
        <v>1363</v>
      </c>
      <c r="D25" s="21" t="s">
        <v>1354</v>
      </c>
      <c r="E25" s="22"/>
      <c r="F25" s="21"/>
      <c r="G25" s="21"/>
      <c r="H25" s="21" t="s">
        <v>1258</v>
      </c>
      <c r="I25" s="30" t="s">
        <v>1268</v>
      </c>
      <c r="J25" s="31" t="s">
        <v>1268</v>
      </c>
      <c r="K25" s="33" t="s">
        <v>1269</v>
      </c>
      <c r="L25" s="31" t="s">
        <v>1268</v>
      </c>
      <c r="M25" s="31" t="s">
        <v>1268</v>
      </c>
      <c r="N25" s="33" t="s">
        <v>1269</v>
      </c>
      <c r="O25" s="31" t="s">
        <v>1268</v>
      </c>
      <c r="P25" s="31" t="s">
        <v>1268</v>
      </c>
      <c r="Q25" s="33" t="s">
        <v>1269</v>
      </c>
      <c r="R25" s="31" t="s">
        <v>1268</v>
      </c>
      <c r="S25" s="31" t="s">
        <v>1268</v>
      </c>
      <c r="T25" s="33" t="s">
        <v>1269</v>
      </c>
      <c r="U25" s="31" t="s">
        <v>1268</v>
      </c>
      <c r="V25" s="31" t="s">
        <v>1268</v>
      </c>
      <c r="W25" s="33" t="s">
        <v>1269</v>
      </c>
      <c r="X25" s="31" t="s">
        <v>1268</v>
      </c>
      <c r="Y25" s="31" t="s">
        <v>1268</v>
      </c>
      <c r="Z25" s="33" t="s">
        <v>1269</v>
      </c>
      <c r="AA25" s="31" t="s">
        <v>1268</v>
      </c>
      <c r="AB25" s="31" t="s">
        <v>1268</v>
      </c>
      <c r="AC25" s="33" t="s">
        <v>1269</v>
      </c>
      <c r="AD25" s="31" t="s">
        <v>1268</v>
      </c>
      <c r="AE25" s="31" t="s">
        <v>1268</v>
      </c>
      <c r="AF25" s="33" t="s">
        <v>1269</v>
      </c>
      <c r="AG25" s="31" t="s">
        <v>1268</v>
      </c>
      <c r="AH25" s="31" t="s">
        <v>1268</v>
      </c>
      <c r="AI25" s="33" t="s">
        <v>1269</v>
      </c>
      <c r="AJ25" s="31" t="s">
        <v>1268</v>
      </c>
      <c r="AK25" s="31" t="s">
        <v>1268</v>
      </c>
      <c r="AL25" s="33" t="s">
        <v>1269</v>
      </c>
      <c r="AM25" s="31" t="s">
        <v>1268</v>
      </c>
      <c r="AN25" s="31" t="s">
        <v>1268</v>
      </c>
      <c r="AO25" s="33" t="s">
        <v>1269</v>
      </c>
      <c r="AP25" s="8"/>
      <c r="AQ25" s="8" t="b">
        <f>AND($A25&lt;&gt;"",COUNTIFS($F$2:$AO$2,"Status",$F25:$AO25,"A")+COUNTIFS($F$2:$AO$2,"Status",$F25:$AO25,"B")=COUNTIF($F$2:$AO$2,"Status"))</f>
        <v>0</v>
      </c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26" t="s">
        <v>106</v>
      </c>
      <c r="B26" s="19" t="s">
        <v>67</v>
      </c>
      <c r="C26" s="20" t="s">
        <v>1363</v>
      </c>
      <c r="D26" s="21" t="s">
        <v>1354</v>
      </c>
      <c r="E26" s="22"/>
      <c r="F26" s="21"/>
      <c r="G26" s="21"/>
      <c r="H26" s="21" t="s">
        <v>1258</v>
      </c>
      <c r="I26" s="30" t="s">
        <v>1268</v>
      </c>
      <c r="J26" s="31" t="s">
        <v>1268</v>
      </c>
      <c r="K26" s="33" t="s">
        <v>1269</v>
      </c>
      <c r="L26" s="31" t="s">
        <v>1268</v>
      </c>
      <c r="M26" s="31" t="s">
        <v>1268</v>
      </c>
      <c r="N26" s="33" t="s">
        <v>1269</v>
      </c>
      <c r="O26" s="31" t="s">
        <v>1268</v>
      </c>
      <c r="P26" s="31" t="s">
        <v>1268</v>
      </c>
      <c r="Q26" s="33" t="s">
        <v>1269</v>
      </c>
      <c r="R26" s="31" t="s">
        <v>1268</v>
      </c>
      <c r="S26" s="31" t="s">
        <v>1268</v>
      </c>
      <c r="T26" s="33" t="s">
        <v>1269</v>
      </c>
      <c r="U26" s="31" t="s">
        <v>1268</v>
      </c>
      <c r="V26" s="31" t="s">
        <v>1268</v>
      </c>
      <c r="W26" s="33" t="s">
        <v>1269</v>
      </c>
      <c r="X26" s="31" t="s">
        <v>1268</v>
      </c>
      <c r="Y26" s="31" t="s">
        <v>1268</v>
      </c>
      <c r="Z26" s="33" t="s">
        <v>1269</v>
      </c>
      <c r="AA26" s="31" t="s">
        <v>1268</v>
      </c>
      <c r="AB26" s="31" t="s">
        <v>1268</v>
      </c>
      <c r="AC26" s="33" t="s">
        <v>1269</v>
      </c>
      <c r="AD26" s="31" t="s">
        <v>1268</v>
      </c>
      <c r="AE26" s="31" t="s">
        <v>1268</v>
      </c>
      <c r="AF26" s="33" t="s">
        <v>1269</v>
      </c>
      <c r="AG26" s="31" t="s">
        <v>1268</v>
      </c>
      <c r="AH26" s="31" t="s">
        <v>1268</v>
      </c>
      <c r="AI26" s="33" t="s">
        <v>1269</v>
      </c>
      <c r="AJ26" s="31" t="s">
        <v>1268</v>
      </c>
      <c r="AK26" s="31" t="s">
        <v>1268</v>
      </c>
      <c r="AL26" s="33" t="s">
        <v>1269</v>
      </c>
      <c r="AM26" s="31" t="s">
        <v>1268</v>
      </c>
      <c r="AN26" s="31" t="s">
        <v>1268</v>
      </c>
      <c r="AO26" s="33" t="s">
        <v>1269</v>
      </c>
      <c r="AP26" s="8"/>
      <c r="AQ26" s="8" t="b">
        <f>AND($A26&lt;&gt;"",COUNTIFS($F$2:$AO$2,"Status",$F26:$AO26,"A")+COUNTIFS($F$2:$AO$2,"Status",$F26:$AO26,"B")=COUNTIF($F$2:$AO$2,"Status"))</f>
        <v>0</v>
      </c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19" t="s">
        <v>679</v>
      </c>
      <c r="B27" s="19" t="s">
        <v>67</v>
      </c>
      <c r="C27" s="20" t="s">
        <v>1367</v>
      </c>
      <c r="D27" s="21" t="s">
        <v>55</v>
      </c>
      <c r="E27" s="22"/>
      <c r="F27" s="21"/>
      <c r="G27" s="21"/>
      <c r="H27" s="21" t="s">
        <v>1258</v>
      </c>
      <c r="I27" s="30" t="s">
        <v>1268</v>
      </c>
      <c r="J27" s="31" t="s">
        <v>1268</v>
      </c>
      <c r="K27" s="33" t="s">
        <v>1269</v>
      </c>
      <c r="L27" s="31">
        <v>0</v>
      </c>
      <c r="M27" s="31" t="s">
        <v>1268</v>
      </c>
      <c r="N27" s="32" t="s">
        <v>1258</v>
      </c>
      <c r="O27" s="31">
        <v>0</v>
      </c>
      <c r="P27" s="31" t="s">
        <v>1268</v>
      </c>
      <c r="Q27" s="32" t="s">
        <v>1258</v>
      </c>
      <c r="R27" s="31" t="s">
        <v>1268</v>
      </c>
      <c r="S27" s="31" t="s">
        <v>1268</v>
      </c>
      <c r="T27" s="33" t="s">
        <v>1269</v>
      </c>
      <c r="U27" s="31" t="s">
        <v>1268</v>
      </c>
      <c r="V27" s="31" t="s">
        <v>1268</v>
      </c>
      <c r="W27" s="33" t="s">
        <v>1269</v>
      </c>
      <c r="X27" s="31" t="s">
        <v>1268</v>
      </c>
      <c r="Y27" s="31" t="s">
        <v>1268</v>
      </c>
      <c r="Z27" s="33" t="s">
        <v>1269</v>
      </c>
      <c r="AA27" s="31" t="s">
        <v>1268</v>
      </c>
      <c r="AB27" s="31" t="s">
        <v>1268</v>
      </c>
      <c r="AC27" s="33" t="s">
        <v>1269</v>
      </c>
      <c r="AD27" s="31">
        <v>3</v>
      </c>
      <c r="AE27" s="31" t="s">
        <v>1268</v>
      </c>
      <c r="AF27" s="32" t="s">
        <v>1258</v>
      </c>
      <c r="AG27" s="31">
        <v>0</v>
      </c>
      <c r="AH27" s="31" t="s">
        <v>1368</v>
      </c>
      <c r="AI27" s="29" t="s">
        <v>1258</v>
      </c>
      <c r="AJ27" s="31" t="s">
        <v>1268</v>
      </c>
      <c r="AK27" s="31" t="s">
        <v>1268</v>
      </c>
      <c r="AL27" s="33" t="s">
        <v>1269</v>
      </c>
      <c r="AM27" s="31" t="s">
        <v>1268</v>
      </c>
      <c r="AN27" s="31" t="s">
        <v>1268</v>
      </c>
      <c r="AO27" s="33" t="s">
        <v>1269</v>
      </c>
      <c r="AP27" s="8"/>
      <c r="AQ27" s="8" t="b">
        <f>AND($A27&lt;&gt;"",COUNTIFS($F$2:$AO$2,"Status",$F27:$AO27,"A")+COUNTIFS($F$2:$AO$2,"Status",$F27:$AO27,"B")=COUNTIF($F$2:$AO$2,"Status"))</f>
        <v>0</v>
      </c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19" t="s">
        <v>682</v>
      </c>
      <c r="B28" s="19" t="s">
        <v>683</v>
      </c>
      <c r="C28" s="20" t="s">
        <v>1369</v>
      </c>
      <c r="D28" s="21" t="s">
        <v>1354</v>
      </c>
      <c r="E28" s="41">
        <v>46321</v>
      </c>
      <c r="F28" s="21" t="s">
        <v>1257</v>
      </c>
      <c r="G28" s="21"/>
      <c r="H28" s="21" t="s">
        <v>1258</v>
      </c>
      <c r="I28" s="30" t="s">
        <v>1268</v>
      </c>
      <c r="J28" s="31" t="s">
        <v>1268</v>
      </c>
      <c r="K28" s="38" t="s">
        <v>1269</v>
      </c>
      <c r="L28" s="31">
        <v>0</v>
      </c>
      <c r="M28" s="31" t="s">
        <v>1268</v>
      </c>
      <c r="N28" s="37" t="s">
        <v>1258</v>
      </c>
      <c r="O28" s="31">
        <v>1</v>
      </c>
      <c r="P28" s="31" t="s">
        <v>1268</v>
      </c>
      <c r="Q28" s="37" t="s">
        <v>1258</v>
      </c>
      <c r="R28" s="31" t="s">
        <v>1268</v>
      </c>
      <c r="S28" s="31" t="s">
        <v>1268</v>
      </c>
      <c r="T28" s="38" t="s">
        <v>1269</v>
      </c>
      <c r="U28" s="31" t="s">
        <v>1268</v>
      </c>
      <c r="V28" s="31" t="s">
        <v>1268</v>
      </c>
      <c r="W28" s="38" t="s">
        <v>1269</v>
      </c>
      <c r="X28" s="31" t="s">
        <v>1268</v>
      </c>
      <c r="Y28" s="31" t="s">
        <v>1268</v>
      </c>
      <c r="Z28" s="38" t="s">
        <v>1269</v>
      </c>
      <c r="AA28" s="31" t="s">
        <v>1268</v>
      </c>
      <c r="AB28" s="31" t="s">
        <v>1268</v>
      </c>
      <c r="AC28" s="38" t="s">
        <v>1269</v>
      </c>
      <c r="AD28" s="31">
        <v>2</v>
      </c>
      <c r="AE28" s="31" t="s">
        <v>1268</v>
      </c>
      <c r="AF28" s="37" t="s">
        <v>1258</v>
      </c>
      <c r="AG28" s="31">
        <v>0</v>
      </c>
      <c r="AH28" s="31" t="s">
        <v>1370</v>
      </c>
      <c r="AI28" s="37" t="s">
        <v>1258</v>
      </c>
      <c r="AJ28" s="31" t="s">
        <v>1268</v>
      </c>
      <c r="AK28" s="31" t="s">
        <v>1268</v>
      </c>
      <c r="AL28" s="38" t="s">
        <v>1269</v>
      </c>
      <c r="AM28" s="31" t="s">
        <v>1268</v>
      </c>
      <c r="AN28" s="31" t="s">
        <v>1268</v>
      </c>
      <c r="AO28" s="38" t="s">
        <v>1269</v>
      </c>
      <c r="AP28" s="8"/>
      <c r="AQ28" s="8" t="b">
        <f>AND($A28&lt;&gt;"",COUNTIFS($F$2:$AO$2,"Status",$F28:$AO28,"A")+COUNTIFS($F$2:$AO$2,"Status",$F28:$AO28,"B")=COUNTIF($F$2:$AO$2,"Status"))</f>
        <v>0</v>
      </c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19" t="s">
        <v>912</v>
      </c>
      <c r="B29" s="19" t="s">
        <v>683</v>
      </c>
      <c r="C29" s="20" t="s">
        <v>1291</v>
      </c>
      <c r="D29" s="21" t="s">
        <v>1354</v>
      </c>
      <c r="E29" s="41">
        <v>46321</v>
      </c>
      <c r="F29" s="21" t="s">
        <v>1257</v>
      </c>
      <c r="G29" s="21"/>
      <c r="H29" s="21" t="s">
        <v>1258</v>
      </c>
      <c r="I29" s="30" t="s">
        <v>1268</v>
      </c>
      <c r="J29" s="31" t="s">
        <v>1268</v>
      </c>
      <c r="K29" s="38" t="s">
        <v>1269</v>
      </c>
      <c r="L29" s="31" t="s">
        <v>1268</v>
      </c>
      <c r="M29" s="31" t="s">
        <v>1268</v>
      </c>
      <c r="N29" s="38" t="s">
        <v>1269</v>
      </c>
      <c r="O29" s="31" t="s">
        <v>1268</v>
      </c>
      <c r="P29" s="31" t="s">
        <v>1268</v>
      </c>
      <c r="Q29" s="38" t="s">
        <v>1269</v>
      </c>
      <c r="R29" s="31" t="s">
        <v>1268</v>
      </c>
      <c r="S29" s="31" t="s">
        <v>1268</v>
      </c>
      <c r="T29" s="38" t="s">
        <v>1269</v>
      </c>
      <c r="U29" s="31" t="s">
        <v>1268</v>
      </c>
      <c r="V29" s="31" t="s">
        <v>1268</v>
      </c>
      <c r="W29" s="38" t="s">
        <v>1269</v>
      </c>
      <c r="X29" s="31" t="s">
        <v>1268</v>
      </c>
      <c r="Y29" s="31" t="s">
        <v>1268</v>
      </c>
      <c r="Z29" s="38" t="s">
        <v>1269</v>
      </c>
      <c r="AA29" s="31" t="s">
        <v>1268</v>
      </c>
      <c r="AB29" s="31" t="s">
        <v>1268</v>
      </c>
      <c r="AC29" s="38" t="s">
        <v>1269</v>
      </c>
      <c r="AD29" s="31">
        <v>0</v>
      </c>
      <c r="AE29" s="31" t="s">
        <v>1268</v>
      </c>
      <c r="AF29" s="37" t="s">
        <v>1258</v>
      </c>
      <c r="AG29" s="31">
        <v>0</v>
      </c>
      <c r="AH29" s="31" t="s">
        <v>1371</v>
      </c>
      <c r="AI29" s="36" t="s">
        <v>1258</v>
      </c>
      <c r="AJ29" s="31" t="s">
        <v>1268</v>
      </c>
      <c r="AK29" s="31" t="s">
        <v>1268</v>
      </c>
      <c r="AL29" s="38" t="s">
        <v>1269</v>
      </c>
      <c r="AM29" s="31" t="s">
        <v>1268</v>
      </c>
      <c r="AN29" s="31" t="s">
        <v>1268</v>
      </c>
      <c r="AO29" s="38" t="s">
        <v>1269</v>
      </c>
      <c r="AP29" s="8"/>
      <c r="AQ29" s="8" t="b">
        <f>AND($A29&lt;&gt;"",COUNTIFS($F$2:$AO$2,"Status",$F29:$AO29,"A")+COUNTIFS($F$2:$AO$2,"Status",$F29:$AO29,"B")=COUNTIF($F$2:$AO$2,"Status"))</f>
        <v>0</v>
      </c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19" t="s">
        <v>109</v>
      </c>
      <c r="B30" s="19" t="s">
        <v>110</v>
      </c>
      <c r="C30" s="20" t="s">
        <v>1372</v>
      </c>
      <c r="D30" s="21" t="s">
        <v>1354</v>
      </c>
      <c r="E30" s="22"/>
      <c r="F30" s="21"/>
      <c r="G30" s="21"/>
      <c r="H30" s="21" t="s">
        <v>1258</v>
      </c>
      <c r="I30" s="30">
        <v>0</v>
      </c>
      <c r="J30" s="31" t="s">
        <v>1373</v>
      </c>
      <c r="K30" s="32" t="s">
        <v>1258</v>
      </c>
      <c r="L30" s="31">
        <v>0</v>
      </c>
      <c r="M30" s="31" t="s">
        <v>1374</v>
      </c>
      <c r="N30" s="32" t="s">
        <v>1258</v>
      </c>
      <c r="O30" s="31">
        <v>0</v>
      </c>
      <c r="P30" s="31" t="s">
        <v>1375</v>
      </c>
      <c r="Q30" s="35" t="s">
        <v>1286</v>
      </c>
      <c r="R30" s="31">
        <v>0</v>
      </c>
      <c r="S30" s="31" t="s">
        <v>1376</v>
      </c>
      <c r="T30" s="32" t="s">
        <v>1258</v>
      </c>
      <c r="U30" s="31">
        <v>0</v>
      </c>
      <c r="V30" s="31" t="s">
        <v>1377</v>
      </c>
      <c r="W30" s="32" t="s">
        <v>1258</v>
      </c>
      <c r="X30" s="31">
        <v>0</v>
      </c>
      <c r="Y30" s="31" t="s">
        <v>1378</v>
      </c>
      <c r="Z30" s="32" t="s">
        <v>1258</v>
      </c>
      <c r="AA30" s="31">
        <v>0</v>
      </c>
      <c r="AB30" s="31" t="s">
        <v>1379</v>
      </c>
      <c r="AC30" s="32" t="s">
        <v>1258</v>
      </c>
      <c r="AD30" s="31">
        <v>1</v>
      </c>
      <c r="AE30" s="31" t="s">
        <v>1380</v>
      </c>
      <c r="AF30" s="32" t="s">
        <v>1258</v>
      </c>
      <c r="AG30" s="31">
        <v>0</v>
      </c>
      <c r="AH30" s="31" t="s">
        <v>1370</v>
      </c>
      <c r="AI30" s="32" t="s">
        <v>1258</v>
      </c>
      <c r="AJ30" s="31">
        <v>0</v>
      </c>
      <c r="AK30" s="31" t="s">
        <v>1381</v>
      </c>
      <c r="AL30" s="29" t="s">
        <v>1258</v>
      </c>
      <c r="AM30" s="31">
        <v>0</v>
      </c>
      <c r="AN30" s="31" t="s">
        <v>1381</v>
      </c>
      <c r="AO30" s="29" t="s">
        <v>1258</v>
      </c>
      <c r="AP30" s="8"/>
      <c r="AQ30" s="8" t="b">
        <f>AND($A30&lt;&gt;"",COUNTIFS($F$2:$AO$2,"Status",$F30:$AO30,"A")+COUNTIFS($F$2:$AO$2,"Status",$F30:$AO30,"B")=COUNTIF($F$2:$AO$2,"Status"))</f>
        <v>0</v>
      </c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26" t="s">
        <v>113</v>
      </c>
      <c r="B31" s="19" t="s">
        <v>110</v>
      </c>
      <c r="C31" s="20" t="s">
        <v>1372</v>
      </c>
      <c r="D31" s="21" t="s">
        <v>1354</v>
      </c>
      <c r="E31" s="22"/>
      <c r="F31" s="21"/>
      <c r="G31" s="21"/>
      <c r="H31" s="21" t="s">
        <v>1258</v>
      </c>
      <c r="I31" s="30">
        <v>1</v>
      </c>
      <c r="J31" s="31" t="s">
        <v>1382</v>
      </c>
      <c r="K31" s="32" t="s">
        <v>1258</v>
      </c>
      <c r="L31" s="31">
        <v>0</v>
      </c>
      <c r="M31" s="31" t="s">
        <v>1383</v>
      </c>
      <c r="N31" s="32" t="s">
        <v>1258</v>
      </c>
      <c r="O31" s="31">
        <v>0</v>
      </c>
      <c r="P31" s="31" t="s">
        <v>1384</v>
      </c>
      <c r="Q31" s="35" t="s">
        <v>1286</v>
      </c>
      <c r="R31" s="31">
        <v>0</v>
      </c>
      <c r="S31" s="31" t="s">
        <v>1385</v>
      </c>
      <c r="T31" s="32" t="s">
        <v>1258</v>
      </c>
      <c r="U31" s="31">
        <v>0</v>
      </c>
      <c r="V31" s="31" t="s">
        <v>1386</v>
      </c>
      <c r="W31" s="32" t="s">
        <v>1258</v>
      </c>
      <c r="X31" s="31">
        <v>2</v>
      </c>
      <c r="Y31" s="31" t="s">
        <v>1387</v>
      </c>
      <c r="Z31" s="32" t="s">
        <v>1258</v>
      </c>
      <c r="AA31" s="31">
        <v>0</v>
      </c>
      <c r="AB31" s="31" t="s">
        <v>1388</v>
      </c>
      <c r="AC31" s="32" t="s">
        <v>1258</v>
      </c>
      <c r="AD31" s="31">
        <v>3</v>
      </c>
      <c r="AE31" s="31" t="s">
        <v>1389</v>
      </c>
      <c r="AF31" s="29" t="s">
        <v>1258</v>
      </c>
      <c r="AG31" s="31">
        <v>0</v>
      </c>
      <c r="AH31" s="31" t="s">
        <v>1371</v>
      </c>
      <c r="AI31" s="29" t="s">
        <v>1258</v>
      </c>
      <c r="AJ31" s="31">
        <v>0</v>
      </c>
      <c r="AK31" s="31" t="s">
        <v>1390</v>
      </c>
      <c r="AL31" s="29" t="s">
        <v>1258</v>
      </c>
      <c r="AM31" s="31">
        <v>0</v>
      </c>
      <c r="AN31" s="31" t="s">
        <v>1390</v>
      </c>
      <c r="AO31" s="29" t="s">
        <v>1258</v>
      </c>
      <c r="AP31" s="8"/>
      <c r="AQ31" s="8" t="b">
        <f>AND($A31&lt;&gt;"",COUNTIFS($F$2:$AO$2,"Status",$F31:$AO31,"A")+COUNTIFS($F$2:$AO$2,"Status",$F31:$AO31,"B")=COUNTIF($F$2:$AO$2,"Status"))</f>
        <v>0</v>
      </c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26" t="s">
        <v>120</v>
      </c>
      <c r="B32" s="19" t="s">
        <v>110</v>
      </c>
      <c r="C32" s="20" t="s">
        <v>1372</v>
      </c>
      <c r="D32" s="21" t="s">
        <v>1354</v>
      </c>
      <c r="E32" s="22"/>
      <c r="F32" s="21"/>
      <c r="G32" s="21"/>
      <c r="H32" s="21" t="s">
        <v>1258</v>
      </c>
      <c r="I32" s="30">
        <v>1</v>
      </c>
      <c r="J32" s="31" t="s">
        <v>1382</v>
      </c>
      <c r="K32" s="32" t="s">
        <v>1258</v>
      </c>
      <c r="L32" s="31">
        <v>0</v>
      </c>
      <c r="M32" s="31" t="s">
        <v>1383</v>
      </c>
      <c r="N32" s="32" t="s">
        <v>1258</v>
      </c>
      <c r="O32" s="31">
        <v>0</v>
      </c>
      <c r="P32" s="31" t="s">
        <v>1384</v>
      </c>
      <c r="Q32" s="35" t="s">
        <v>1286</v>
      </c>
      <c r="R32" s="31">
        <v>0</v>
      </c>
      <c r="S32" s="31" t="s">
        <v>1385</v>
      </c>
      <c r="T32" s="32" t="s">
        <v>1258</v>
      </c>
      <c r="U32" s="31">
        <v>0</v>
      </c>
      <c r="V32" s="31" t="s">
        <v>1386</v>
      </c>
      <c r="W32" s="32" t="s">
        <v>1258</v>
      </c>
      <c r="X32" s="31">
        <v>2</v>
      </c>
      <c r="Y32" s="31" t="s">
        <v>1387</v>
      </c>
      <c r="Z32" s="32" t="s">
        <v>1258</v>
      </c>
      <c r="AA32" s="31">
        <v>0</v>
      </c>
      <c r="AB32" s="31" t="s">
        <v>1388</v>
      </c>
      <c r="AC32" s="32" t="s">
        <v>1258</v>
      </c>
      <c r="AD32" s="31">
        <v>2</v>
      </c>
      <c r="AE32" s="31" t="s">
        <v>1391</v>
      </c>
      <c r="AF32" s="29" t="s">
        <v>1260</v>
      </c>
      <c r="AG32" s="31">
        <v>0</v>
      </c>
      <c r="AH32" s="31" t="s">
        <v>1392</v>
      </c>
      <c r="AI32" s="29" t="s">
        <v>1260</v>
      </c>
      <c r="AJ32" s="31">
        <v>0</v>
      </c>
      <c r="AK32" s="31" t="s">
        <v>1393</v>
      </c>
      <c r="AL32" s="32" t="s">
        <v>1258</v>
      </c>
      <c r="AM32" s="31">
        <v>0</v>
      </c>
      <c r="AN32" s="31" t="s">
        <v>1393</v>
      </c>
      <c r="AO32" s="32" t="s">
        <v>1258</v>
      </c>
      <c r="AP32" s="8"/>
      <c r="AQ32" s="8" t="b">
        <f>AND($A32&lt;&gt;"",COUNTIFS($F$2:$AO$2,"Status",$F32:$AO32,"A")+COUNTIFS($F$2:$AO$2,"Status",$F32:$AO32,"B")=COUNTIF($F$2:$AO$2,"Status"))</f>
        <v>0</v>
      </c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19" t="s">
        <v>123</v>
      </c>
      <c r="B33" s="19" t="s">
        <v>110</v>
      </c>
      <c r="C33" s="20" t="s">
        <v>1394</v>
      </c>
      <c r="D33" s="21" t="s">
        <v>1354</v>
      </c>
      <c r="E33" s="22"/>
      <c r="F33" s="21"/>
      <c r="G33" s="21"/>
      <c r="H33" s="21" t="s">
        <v>1258</v>
      </c>
      <c r="I33" s="30">
        <v>0</v>
      </c>
      <c r="J33" s="31" t="s">
        <v>1373</v>
      </c>
      <c r="K33" s="32" t="s">
        <v>1258</v>
      </c>
      <c r="L33" s="31">
        <v>0</v>
      </c>
      <c r="M33" s="31" t="s">
        <v>1374</v>
      </c>
      <c r="N33" s="32" t="s">
        <v>1258</v>
      </c>
      <c r="O33" s="31">
        <v>0</v>
      </c>
      <c r="P33" s="31" t="s">
        <v>1375</v>
      </c>
      <c r="Q33" s="35" t="s">
        <v>1286</v>
      </c>
      <c r="R33" s="31">
        <v>0</v>
      </c>
      <c r="S33" s="31" t="s">
        <v>1376</v>
      </c>
      <c r="T33" s="32" t="s">
        <v>1258</v>
      </c>
      <c r="U33" s="31">
        <v>0</v>
      </c>
      <c r="V33" s="31" t="s">
        <v>1377</v>
      </c>
      <c r="W33" s="32" t="s">
        <v>1258</v>
      </c>
      <c r="X33" s="31">
        <v>0</v>
      </c>
      <c r="Y33" s="31" t="s">
        <v>1378</v>
      </c>
      <c r="Z33" s="32" t="s">
        <v>1258</v>
      </c>
      <c r="AA33" s="31">
        <v>0</v>
      </c>
      <c r="AB33" s="31" t="s">
        <v>1379</v>
      </c>
      <c r="AC33" s="32" t="s">
        <v>1258</v>
      </c>
      <c r="AD33" s="31">
        <v>0</v>
      </c>
      <c r="AE33" s="31" t="s">
        <v>1395</v>
      </c>
      <c r="AF33" s="29" t="s">
        <v>1260</v>
      </c>
      <c r="AG33" s="31">
        <v>0</v>
      </c>
      <c r="AH33" s="31" t="s">
        <v>1396</v>
      </c>
      <c r="AI33" s="29" t="s">
        <v>1260</v>
      </c>
      <c r="AJ33" s="31">
        <v>0</v>
      </c>
      <c r="AK33" s="31" t="s">
        <v>1397</v>
      </c>
      <c r="AL33" s="32" t="s">
        <v>1258</v>
      </c>
      <c r="AM33" s="31">
        <v>0</v>
      </c>
      <c r="AN33" s="31" t="s">
        <v>1397</v>
      </c>
      <c r="AO33" s="32" t="s">
        <v>1258</v>
      </c>
      <c r="AP33" s="8"/>
      <c r="AQ33" s="8" t="b">
        <f>AND($A33&lt;&gt;"",COUNTIFS($F$2:$AO$2,"Status",$F33:$AO33,"A")+COUNTIFS($F$2:$AO$2,"Status",$F33:$AO33,"B")=COUNTIF($F$2:$AO$2,"Status"))</f>
        <v>0</v>
      </c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26" t="s">
        <v>700</v>
      </c>
      <c r="B34" s="19" t="s">
        <v>110</v>
      </c>
      <c r="C34" s="20" t="s">
        <v>1394</v>
      </c>
      <c r="D34" s="21" t="s">
        <v>1354</v>
      </c>
      <c r="E34" s="22"/>
      <c r="F34" s="21"/>
      <c r="G34" s="21"/>
      <c r="H34" s="21" t="s">
        <v>1258</v>
      </c>
      <c r="I34" s="30">
        <v>0</v>
      </c>
      <c r="J34" s="31" t="s">
        <v>1398</v>
      </c>
      <c r="K34" s="32" t="s">
        <v>1258</v>
      </c>
      <c r="L34" s="31">
        <v>0</v>
      </c>
      <c r="M34" s="31" t="s">
        <v>1399</v>
      </c>
      <c r="N34" s="32" t="s">
        <v>1258</v>
      </c>
      <c r="O34" s="31">
        <v>2</v>
      </c>
      <c r="P34" s="31" t="s">
        <v>1400</v>
      </c>
      <c r="Q34" s="32" t="s">
        <v>1258</v>
      </c>
      <c r="R34" s="31">
        <v>0</v>
      </c>
      <c r="S34" s="31" t="s">
        <v>1401</v>
      </c>
      <c r="T34" s="32" t="s">
        <v>1258</v>
      </c>
      <c r="U34" s="31">
        <v>0</v>
      </c>
      <c r="V34" s="31" t="s">
        <v>1402</v>
      </c>
      <c r="W34" s="32" t="s">
        <v>1258</v>
      </c>
      <c r="X34" s="31">
        <v>0</v>
      </c>
      <c r="Y34" s="31" t="s">
        <v>1403</v>
      </c>
      <c r="Z34" s="32" t="s">
        <v>1258</v>
      </c>
      <c r="AA34" s="31">
        <v>0</v>
      </c>
      <c r="AB34" s="31" t="s">
        <v>1404</v>
      </c>
      <c r="AC34" s="32" t="s">
        <v>1258</v>
      </c>
      <c r="AD34" s="31">
        <v>0</v>
      </c>
      <c r="AE34" s="31" t="s">
        <v>1405</v>
      </c>
      <c r="AF34" s="32" t="s">
        <v>1258</v>
      </c>
      <c r="AG34" s="31">
        <v>0</v>
      </c>
      <c r="AH34" s="31" t="s">
        <v>1406</v>
      </c>
      <c r="AI34" s="32" t="s">
        <v>1258</v>
      </c>
      <c r="AJ34" s="31">
        <v>0</v>
      </c>
      <c r="AK34" s="31" t="s">
        <v>1407</v>
      </c>
      <c r="AL34" s="32" t="s">
        <v>1258</v>
      </c>
      <c r="AM34" s="31">
        <v>0</v>
      </c>
      <c r="AN34" s="31" t="s">
        <v>1407</v>
      </c>
      <c r="AO34" s="32" t="s">
        <v>1258</v>
      </c>
      <c r="AP34" s="8"/>
      <c r="AQ34" s="8" t="b">
        <f>AND($A34&lt;&gt;"",COUNTIFS($F$2:$AO$2,"Status",$F34:$AO34,"A")+COUNTIFS($F$2:$AO$2,"Status",$F34:$AO34,"B")=COUNTIF($F$2:$AO$2,"Status"))</f>
        <v>1</v>
      </c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26" t="s">
        <v>205</v>
      </c>
      <c r="B35" s="19" t="s">
        <v>110</v>
      </c>
      <c r="C35" s="20" t="s">
        <v>1394</v>
      </c>
      <c r="D35" s="21" t="s">
        <v>1354</v>
      </c>
      <c r="E35" s="22"/>
      <c r="F35" s="21"/>
      <c r="G35" s="21"/>
      <c r="H35" s="21" t="s">
        <v>1258</v>
      </c>
      <c r="I35" s="30" t="s">
        <v>1268</v>
      </c>
      <c r="J35" s="31" t="s">
        <v>1268</v>
      </c>
      <c r="K35" s="33" t="s">
        <v>1269</v>
      </c>
      <c r="L35" s="31" t="s">
        <v>1268</v>
      </c>
      <c r="M35" s="31" t="s">
        <v>1268</v>
      </c>
      <c r="N35" s="33" t="s">
        <v>1269</v>
      </c>
      <c r="O35" s="31" t="s">
        <v>1268</v>
      </c>
      <c r="P35" s="31" t="s">
        <v>1268</v>
      </c>
      <c r="Q35" s="33" t="s">
        <v>1269</v>
      </c>
      <c r="R35" s="31" t="s">
        <v>1268</v>
      </c>
      <c r="S35" s="31" t="s">
        <v>1268</v>
      </c>
      <c r="T35" s="33" t="s">
        <v>1269</v>
      </c>
      <c r="U35" s="31" t="s">
        <v>1268</v>
      </c>
      <c r="V35" s="31" t="s">
        <v>1268</v>
      </c>
      <c r="W35" s="33" t="s">
        <v>1269</v>
      </c>
      <c r="X35" s="31" t="s">
        <v>1268</v>
      </c>
      <c r="Y35" s="31" t="s">
        <v>1268</v>
      </c>
      <c r="Z35" s="33" t="s">
        <v>1269</v>
      </c>
      <c r="AA35" s="31" t="s">
        <v>1268</v>
      </c>
      <c r="AB35" s="31" t="s">
        <v>1268</v>
      </c>
      <c r="AC35" s="33" t="s">
        <v>1269</v>
      </c>
      <c r="AD35" s="31">
        <v>0</v>
      </c>
      <c r="AE35" s="31" t="s">
        <v>1405</v>
      </c>
      <c r="AF35" s="32" t="s">
        <v>1258</v>
      </c>
      <c r="AG35" s="31">
        <v>0</v>
      </c>
      <c r="AH35" s="31" t="s">
        <v>1406</v>
      </c>
      <c r="AI35" s="32" t="s">
        <v>1258</v>
      </c>
      <c r="AJ35" s="31">
        <v>0</v>
      </c>
      <c r="AK35" s="31" t="s">
        <v>1407</v>
      </c>
      <c r="AL35" s="32" t="s">
        <v>1258</v>
      </c>
      <c r="AM35" s="31">
        <v>0</v>
      </c>
      <c r="AN35" s="31" t="s">
        <v>1407</v>
      </c>
      <c r="AO35" s="32" t="s">
        <v>1258</v>
      </c>
      <c r="AP35" s="8"/>
      <c r="AQ35" s="8" t="b">
        <f>AND($A35&lt;&gt;"",COUNTIFS($F$2:$AO$2,"Status",$F35:$AO35,"A")+COUNTIFS($F$2:$AO$2,"Status",$F35:$AO35,"B")=COUNTIF($F$2:$AO$2,"Status"))</f>
        <v>0</v>
      </c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26" t="s">
        <v>126</v>
      </c>
      <c r="B36" s="19" t="s">
        <v>110</v>
      </c>
      <c r="C36" s="20" t="s">
        <v>1394</v>
      </c>
      <c r="D36" s="21" t="s">
        <v>1354</v>
      </c>
      <c r="E36" s="22"/>
      <c r="F36" s="21"/>
      <c r="G36" s="21"/>
      <c r="H36" s="21" t="s">
        <v>1258</v>
      </c>
      <c r="I36" s="30" t="s">
        <v>1268</v>
      </c>
      <c r="J36" s="31" t="s">
        <v>1268</v>
      </c>
      <c r="K36" s="33" t="s">
        <v>1269</v>
      </c>
      <c r="L36" s="31" t="s">
        <v>1268</v>
      </c>
      <c r="M36" s="31" t="s">
        <v>1268</v>
      </c>
      <c r="N36" s="33" t="s">
        <v>1269</v>
      </c>
      <c r="O36" s="31" t="s">
        <v>1268</v>
      </c>
      <c r="P36" s="31" t="s">
        <v>1268</v>
      </c>
      <c r="Q36" s="33" t="s">
        <v>1269</v>
      </c>
      <c r="R36" s="31" t="s">
        <v>1268</v>
      </c>
      <c r="S36" s="31" t="s">
        <v>1268</v>
      </c>
      <c r="T36" s="33" t="s">
        <v>1269</v>
      </c>
      <c r="U36" s="31" t="s">
        <v>1268</v>
      </c>
      <c r="V36" s="31" t="s">
        <v>1268</v>
      </c>
      <c r="W36" s="33" t="s">
        <v>1269</v>
      </c>
      <c r="X36" s="31" t="s">
        <v>1268</v>
      </c>
      <c r="Y36" s="31" t="s">
        <v>1268</v>
      </c>
      <c r="Z36" s="33" t="s">
        <v>1269</v>
      </c>
      <c r="AA36" s="31" t="s">
        <v>1268</v>
      </c>
      <c r="AB36" s="31" t="s">
        <v>1268</v>
      </c>
      <c r="AC36" s="33" t="s">
        <v>1269</v>
      </c>
      <c r="AD36" s="31" t="s">
        <v>1268</v>
      </c>
      <c r="AE36" s="31" t="s">
        <v>1268</v>
      </c>
      <c r="AF36" s="33" t="s">
        <v>1269</v>
      </c>
      <c r="AG36" s="31" t="s">
        <v>1268</v>
      </c>
      <c r="AH36" s="31" t="s">
        <v>1268</v>
      </c>
      <c r="AI36" s="33" t="s">
        <v>1269</v>
      </c>
      <c r="AJ36" s="31" t="s">
        <v>1268</v>
      </c>
      <c r="AK36" s="31" t="s">
        <v>1268</v>
      </c>
      <c r="AL36" s="33" t="s">
        <v>1269</v>
      </c>
      <c r="AM36" s="31" t="s">
        <v>1268</v>
      </c>
      <c r="AN36" s="31" t="s">
        <v>1268</v>
      </c>
      <c r="AO36" s="33" t="s">
        <v>1269</v>
      </c>
      <c r="AP36" s="8"/>
      <c r="AQ36" s="8" t="b">
        <f>AND($A36&lt;&gt;"",COUNTIFS($F$2:$AO$2,"Status",$F36:$AO36,"A")+COUNTIFS($F$2:$AO$2,"Status",$F36:$AO36,"B")=COUNTIF($F$2:$AO$2,"Status"))</f>
        <v>0</v>
      </c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26" t="s">
        <v>705</v>
      </c>
      <c r="B37" s="19" t="s">
        <v>110</v>
      </c>
      <c r="C37" s="20" t="s">
        <v>1394</v>
      </c>
      <c r="D37" s="21" t="s">
        <v>1354</v>
      </c>
      <c r="E37" s="22"/>
      <c r="F37" s="21"/>
      <c r="G37" s="21"/>
      <c r="H37" s="21" t="s">
        <v>1258</v>
      </c>
      <c r="I37" s="30" t="s">
        <v>1268</v>
      </c>
      <c r="J37" s="31" t="s">
        <v>1268</v>
      </c>
      <c r="K37" s="33" t="s">
        <v>1269</v>
      </c>
      <c r="L37" s="31" t="s">
        <v>1268</v>
      </c>
      <c r="M37" s="31" t="s">
        <v>1268</v>
      </c>
      <c r="N37" s="33" t="s">
        <v>1269</v>
      </c>
      <c r="O37" s="31" t="s">
        <v>1268</v>
      </c>
      <c r="P37" s="31" t="s">
        <v>1268</v>
      </c>
      <c r="Q37" s="33" t="s">
        <v>1269</v>
      </c>
      <c r="R37" s="31" t="s">
        <v>1268</v>
      </c>
      <c r="S37" s="31" t="s">
        <v>1268</v>
      </c>
      <c r="T37" s="33" t="s">
        <v>1269</v>
      </c>
      <c r="U37" s="31" t="s">
        <v>1268</v>
      </c>
      <c r="V37" s="31" t="s">
        <v>1268</v>
      </c>
      <c r="W37" s="33" t="s">
        <v>1269</v>
      </c>
      <c r="X37" s="31" t="s">
        <v>1268</v>
      </c>
      <c r="Y37" s="31" t="s">
        <v>1268</v>
      </c>
      <c r="Z37" s="33" t="s">
        <v>1269</v>
      </c>
      <c r="AA37" s="31" t="s">
        <v>1268</v>
      </c>
      <c r="AB37" s="31" t="s">
        <v>1268</v>
      </c>
      <c r="AC37" s="33" t="s">
        <v>1269</v>
      </c>
      <c r="AD37" s="31" t="s">
        <v>1268</v>
      </c>
      <c r="AE37" s="31" t="s">
        <v>1268</v>
      </c>
      <c r="AF37" s="33" t="s">
        <v>1269</v>
      </c>
      <c r="AG37" s="31" t="s">
        <v>1268</v>
      </c>
      <c r="AH37" s="31" t="s">
        <v>1268</v>
      </c>
      <c r="AI37" s="33" t="s">
        <v>1269</v>
      </c>
      <c r="AJ37" s="31" t="s">
        <v>1268</v>
      </c>
      <c r="AK37" s="31" t="s">
        <v>1268</v>
      </c>
      <c r="AL37" s="33" t="s">
        <v>1269</v>
      </c>
      <c r="AM37" s="31" t="s">
        <v>1268</v>
      </c>
      <c r="AN37" s="31" t="s">
        <v>1268</v>
      </c>
      <c r="AO37" s="33" t="s">
        <v>1269</v>
      </c>
      <c r="AP37" s="8"/>
      <c r="AQ37" s="8" t="b">
        <f>AND($A37&lt;&gt;"",COUNTIFS($F$2:$AO$2,"Status",$F37:$AO37,"A")+COUNTIFS($F$2:$AO$2,"Status",$F37:$AO37,"B")=COUNTIF($F$2:$AO$2,"Status"))</f>
        <v>0</v>
      </c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26" t="s">
        <v>131</v>
      </c>
      <c r="B38" s="19" t="s">
        <v>110</v>
      </c>
      <c r="C38" s="20" t="s">
        <v>1394</v>
      </c>
      <c r="D38" s="21" t="s">
        <v>1354</v>
      </c>
      <c r="E38" s="22"/>
      <c r="F38" s="21"/>
      <c r="G38" s="21"/>
      <c r="H38" s="21" t="s">
        <v>1258</v>
      </c>
      <c r="I38" s="30" t="s">
        <v>1268</v>
      </c>
      <c r="J38" s="31" t="s">
        <v>1268</v>
      </c>
      <c r="K38" s="33" t="s">
        <v>1269</v>
      </c>
      <c r="L38" s="31" t="s">
        <v>1268</v>
      </c>
      <c r="M38" s="31" t="s">
        <v>1268</v>
      </c>
      <c r="N38" s="33" t="s">
        <v>1269</v>
      </c>
      <c r="O38" s="31" t="s">
        <v>1268</v>
      </c>
      <c r="P38" s="31" t="s">
        <v>1268</v>
      </c>
      <c r="Q38" s="33" t="s">
        <v>1269</v>
      </c>
      <c r="R38" s="31" t="s">
        <v>1268</v>
      </c>
      <c r="S38" s="31" t="s">
        <v>1268</v>
      </c>
      <c r="T38" s="33" t="s">
        <v>1269</v>
      </c>
      <c r="U38" s="31" t="s">
        <v>1268</v>
      </c>
      <c r="V38" s="31" t="s">
        <v>1268</v>
      </c>
      <c r="W38" s="33" t="s">
        <v>1269</v>
      </c>
      <c r="X38" s="31" t="s">
        <v>1268</v>
      </c>
      <c r="Y38" s="31" t="s">
        <v>1268</v>
      </c>
      <c r="Z38" s="33" t="s">
        <v>1269</v>
      </c>
      <c r="AA38" s="31" t="s">
        <v>1268</v>
      </c>
      <c r="AB38" s="31" t="s">
        <v>1268</v>
      </c>
      <c r="AC38" s="33" t="s">
        <v>1269</v>
      </c>
      <c r="AD38" s="31" t="s">
        <v>1268</v>
      </c>
      <c r="AE38" s="31" t="s">
        <v>1268</v>
      </c>
      <c r="AF38" s="33" t="s">
        <v>1269</v>
      </c>
      <c r="AG38" s="31" t="s">
        <v>1268</v>
      </c>
      <c r="AH38" s="31" t="s">
        <v>1268</v>
      </c>
      <c r="AI38" s="33" t="s">
        <v>1269</v>
      </c>
      <c r="AJ38" s="31" t="s">
        <v>1268</v>
      </c>
      <c r="AK38" s="31" t="s">
        <v>1268</v>
      </c>
      <c r="AL38" s="33" t="s">
        <v>1269</v>
      </c>
      <c r="AM38" s="31" t="s">
        <v>1268</v>
      </c>
      <c r="AN38" s="31" t="s">
        <v>1268</v>
      </c>
      <c r="AO38" s="33" t="s">
        <v>1269</v>
      </c>
      <c r="AP38" s="8"/>
      <c r="AQ38" s="8" t="b">
        <f>AND($A38&lt;&gt;"",COUNTIFS($F$2:$AO$2,"Status",$F38:$AO38,"A")+COUNTIFS($F$2:$AO$2,"Status",$F38:$AO38,"B")=COUNTIF($F$2:$AO$2,"Status"))</f>
        <v>0</v>
      </c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19" t="s">
        <v>134</v>
      </c>
      <c r="B39" s="19" t="s">
        <v>110</v>
      </c>
      <c r="C39" s="20" t="s">
        <v>1408</v>
      </c>
      <c r="D39" s="21" t="s">
        <v>1354</v>
      </c>
      <c r="E39" s="22"/>
      <c r="F39" s="21"/>
      <c r="G39" s="21"/>
      <c r="H39" s="21" t="s">
        <v>1258</v>
      </c>
      <c r="I39" s="30">
        <v>0</v>
      </c>
      <c r="J39" s="31" t="s">
        <v>1268</v>
      </c>
      <c r="K39" s="32" t="s">
        <v>1258</v>
      </c>
      <c r="L39" s="31">
        <v>0</v>
      </c>
      <c r="M39" s="31" t="s">
        <v>1268</v>
      </c>
      <c r="N39" s="32" t="s">
        <v>1258</v>
      </c>
      <c r="O39" s="31">
        <v>0</v>
      </c>
      <c r="P39" s="31" t="s">
        <v>1268</v>
      </c>
      <c r="Q39" s="35" t="s">
        <v>1286</v>
      </c>
      <c r="R39" s="31">
        <v>0</v>
      </c>
      <c r="S39" s="31" t="s">
        <v>1268</v>
      </c>
      <c r="T39" s="32" t="s">
        <v>1258</v>
      </c>
      <c r="U39" s="31">
        <v>0</v>
      </c>
      <c r="V39" s="31" t="s">
        <v>1268</v>
      </c>
      <c r="W39" s="32" t="s">
        <v>1258</v>
      </c>
      <c r="X39" s="31">
        <v>0</v>
      </c>
      <c r="Y39" s="31" t="s">
        <v>1268</v>
      </c>
      <c r="Z39" s="32" t="s">
        <v>1258</v>
      </c>
      <c r="AA39" s="31">
        <v>0</v>
      </c>
      <c r="AB39" s="31" t="s">
        <v>1268</v>
      </c>
      <c r="AC39" s="32" t="s">
        <v>1258</v>
      </c>
      <c r="AD39" s="31">
        <v>1</v>
      </c>
      <c r="AE39" s="31" t="s">
        <v>1268</v>
      </c>
      <c r="AF39" s="32" t="s">
        <v>1258</v>
      </c>
      <c r="AG39" s="31">
        <v>0</v>
      </c>
      <c r="AH39" s="31" t="s">
        <v>1268</v>
      </c>
      <c r="AI39" s="32" t="s">
        <v>1258</v>
      </c>
      <c r="AJ39" s="31" t="s">
        <v>1268</v>
      </c>
      <c r="AK39" s="31" t="s">
        <v>1268</v>
      </c>
      <c r="AL39" s="29" t="s">
        <v>1260</v>
      </c>
      <c r="AM39" s="31" t="s">
        <v>1268</v>
      </c>
      <c r="AN39" s="31" t="s">
        <v>1268</v>
      </c>
      <c r="AO39" s="29" t="s">
        <v>1260</v>
      </c>
      <c r="AP39" s="8"/>
      <c r="AQ39" s="8" t="b">
        <f>AND($A39&lt;&gt;"",COUNTIFS($F$2:$AO$2,"Status",$F39:$AO39,"A")+COUNTIFS($F$2:$AO$2,"Status",$F39:$AO39,"B")=COUNTIF($F$2:$AO$2,"Status"))</f>
        <v>0</v>
      </c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19" t="s">
        <v>791</v>
      </c>
      <c r="B40" s="19" t="s">
        <v>110</v>
      </c>
      <c r="C40" s="20" t="s">
        <v>1409</v>
      </c>
      <c r="D40" s="21" t="s">
        <v>1354</v>
      </c>
      <c r="E40" s="22"/>
      <c r="F40" s="21"/>
      <c r="G40" s="21"/>
      <c r="H40" s="21" t="s">
        <v>1258</v>
      </c>
      <c r="I40" s="30">
        <v>1</v>
      </c>
      <c r="J40" s="31" t="s">
        <v>1268</v>
      </c>
      <c r="K40" s="32" t="s">
        <v>1258</v>
      </c>
      <c r="L40" s="31">
        <v>0</v>
      </c>
      <c r="M40" s="31" t="s">
        <v>1268</v>
      </c>
      <c r="N40" s="32" t="s">
        <v>1258</v>
      </c>
      <c r="O40" s="31">
        <v>0</v>
      </c>
      <c r="P40" s="31" t="s">
        <v>1268</v>
      </c>
      <c r="Q40" s="35" t="s">
        <v>1286</v>
      </c>
      <c r="R40" s="31">
        <v>0</v>
      </c>
      <c r="S40" s="31" t="s">
        <v>1268</v>
      </c>
      <c r="T40" s="32" t="s">
        <v>1258</v>
      </c>
      <c r="U40" s="31">
        <v>0</v>
      </c>
      <c r="V40" s="31" t="s">
        <v>1268</v>
      </c>
      <c r="W40" s="32" t="s">
        <v>1258</v>
      </c>
      <c r="X40" s="31">
        <v>2</v>
      </c>
      <c r="Y40" s="31" t="s">
        <v>1268</v>
      </c>
      <c r="Z40" s="32" t="s">
        <v>1258</v>
      </c>
      <c r="AA40" s="31">
        <v>0</v>
      </c>
      <c r="AB40" s="31" t="s">
        <v>1268</v>
      </c>
      <c r="AC40" s="32" t="s">
        <v>1258</v>
      </c>
      <c r="AD40" s="31">
        <v>2</v>
      </c>
      <c r="AE40" s="31" t="s">
        <v>1268</v>
      </c>
      <c r="AF40" s="35" t="s">
        <v>1286</v>
      </c>
      <c r="AG40" s="31" t="s">
        <v>1268</v>
      </c>
      <c r="AH40" s="31" t="s">
        <v>1268</v>
      </c>
      <c r="AI40" s="33" t="s">
        <v>1269</v>
      </c>
      <c r="AJ40" s="31" t="s">
        <v>1268</v>
      </c>
      <c r="AK40" s="31" t="s">
        <v>1268</v>
      </c>
      <c r="AL40" s="33" t="s">
        <v>1269</v>
      </c>
      <c r="AM40" s="31" t="s">
        <v>1268</v>
      </c>
      <c r="AN40" s="31" t="s">
        <v>1268</v>
      </c>
      <c r="AO40" s="33" t="s">
        <v>1269</v>
      </c>
      <c r="AP40" s="8"/>
      <c r="AQ40" s="8" t="b">
        <f>AND($A40&lt;&gt;"",COUNTIFS($F$2:$AO$2,"Status",$F40:$AO40,"A")+COUNTIFS($F$2:$AO$2,"Status",$F40:$AO40,"B")=COUNTIF($F$2:$AO$2,"Status"))</f>
        <v>0</v>
      </c>
      <c r="AR40" s="8"/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19" t="s">
        <v>708</v>
      </c>
      <c r="B41" s="19" t="s">
        <v>110</v>
      </c>
      <c r="C41" s="20" t="s">
        <v>1409</v>
      </c>
      <c r="D41" s="21" t="s">
        <v>1354</v>
      </c>
      <c r="E41" s="22"/>
      <c r="F41" s="21"/>
      <c r="G41" s="21"/>
      <c r="H41" s="21" t="s">
        <v>1258</v>
      </c>
      <c r="I41" s="30" t="s">
        <v>1268</v>
      </c>
      <c r="J41" s="31" t="s">
        <v>1268</v>
      </c>
      <c r="K41" s="33" t="s">
        <v>1269</v>
      </c>
      <c r="L41" s="31" t="s">
        <v>1268</v>
      </c>
      <c r="M41" s="31" t="s">
        <v>1268</v>
      </c>
      <c r="N41" s="33" t="s">
        <v>1269</v>
      </c>
      <c r="O41" s="31" t="s">
        <v>1268</v>
      </c>
      <c r="P41" s="31" t="s">
        <v>1268</v>
      </c>
      <c r="Q41" s="33" t="s">
        <v>1269</v>
      </c>
      <c r="R41" s="31" t="s">
        <v>1268</v>
      </c>
      <c r="S41" s="31" t="s">
        <v>1268</v>
      </c>
      <c r="T41" s="33" t="s">
        <v>1269</v>
      </c>
      <c r="U41" s="31" t="s">
        <v>1268</v>
      </c>
      <c r="V41" s="31" t="s">
        <v>1268</v>
      </c>
      <c r="W41" s="33" t="s">
        <v>1269</v>
      </c>
      <c r="X41" s="31" t="s">
        <v>1268</v>
      </c>
      <c r="Y41" s="31" t="s">
        <v>1268</v>
      </c>
      <c r="Z41" s="33" t="s">
        <v>1269</v>
      </c>
      <c r="AA41" s="31" t="s">
        <v>1268</v>
      </c>
      <c r="AB41" s="31" t="s">
        <v>1268</v>
      </c>
      <c r="AC41" s="33" t="s">
        <v>1269</v>
      </c>
      <c r="AD41" s="31" t="s">
        <v>1268</v>
      </c>
      <c r="AE41" s="31" t="s">
        <v>1268</v>
      </c>
      <c r="AF41" s="33" t="s">
        <v>1269</v>
      </c>
      <c r="AG41" s="31" t="s">
        <v>1268</v>
      </c>
      <c r="AH41" s="31" t="s">
        <v>1268</v>
      </c>
      <c r="AI41" s="33" t="s">
        <v>1269</v>
      </c>
      <c r="AJ41" s="31" t="s">
        <v>1268</v>
      </c>
      <c r="AK41" s="31" t="s">
        <v>1268</v>
      </c>
      <c r="AL41" s="33" t="s">
        <v>1269</v>
      </c>
      <c r="AM41" s="31" t="s">
        <v>1268</v>
      </c>
      <c r="AN41" s="31" t="s">
        <v>1268</v>
      </c>
      <c r="AO41" s="33" t="s">
        <v>1269</v>
      </c>
      <c r="AP41" s="8"/>
      <c r="AQ41" s="8" t="b">
        <f>AND($A41&lt;&gt;"",COUNTIFS($F$2:$AO$2,"Status",$F41:$AO41,"A")+COUNTIFS($F$2:$AO$2,"Status",$F41:$AO41,"B")=COUNTIF($F$2:$AO$2,"Status"))</f>
        <v>0</v>
      </c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19" t="s">
        <v>794</v>
      </c>
      <c r="B42" s="19" t="s">
        <v>110</v>
      </c>
      <c r="C42" s="20" t="s">
        <v>1410</v>
      </c>
      <c r="D42" s="21" t="s">
        <v>1354</v>
      </c>
      <c r="E42" s="22"/>
      <c r="F42" s="21"/>
      <c r="G42" s="21"/>
      <c r="H42" s="21" t="s">
        <v>1258</v>
      </c>
      <c r="I42" s="30">
        <v>1</v>
      </c>
      <c r="J42" s="31" t="s">
        <v>1268</v>
      </c>
      <c r="K42" s="32" t="s">
        <v>1258</v>
      </c>
      <c r="L42" s="31">
        <v>0</v>
      </c>
      <c r="M42" s="31" t="s">
        <v>1268</v>
      </c>
      <c r="N42" s="32" t="s">
        <v>1258</v>
      </c>
      <c r="O42" s="31">
        <v>0</v>
      </c>
      <c r="P42" s="31" t="s">
        <v>1268</v>
      </c>
      <c r="Q42" s="35" t="s">
        <v>1286</v>
      </c>
      <c r="R42" s="31">
        <v>0</v>
      </c>
      <c r="S42" s="31" t="s">
        <v>1268</v>
      </c>
      <c r="T42" s="32" t="s">
        <v>1258</v>
      </c>
      <c r="U42" s="31">
        <v>0</v>
      </c>
      <c r="V42" s="31" t="s">
        <v>1268</v>
      </c>
      <c r="W42" s="32" t="s">
        <v>1258</v>
      </c>
      <c r="X42" s="31">
        <v>2</v>
      </c>
      <c r="Y42" s="31" t="s">
        <v>1268</v>
      </c>
      <c r="Z42" s="32" t="s">
        <v>1258</v>
      </c>
      <c r="AA42" s="31">
        <v>0</v>
      </c>
      <c r="AB42" s="31" t="s">
        <v>1268</v>
      </c>
      <c r="AC42" s="32" t="s">
        <v>1258</v>
      </c>
      <c r="AD42" s="31">
        <v>1</v>
      </c>
      <c r="AE42" s="31" t="s">
        <v>1268</v>
      </c>
      <c r="AF42" s="35" t="s">
        <v>1286</v>
      </c>
      <c r="AG42" s="31" t="s">
        <v>1268</v>
      </c>
      <c r="AH42" s="31" t="s">
        <v>1268</v>
      </c>
      <c r="AI42" s="33" t="s">
        <v>1269</v>
      </c>
      <c r="AJ42" s="31" t="s">
        <v>1268</v>
      </c>
      <c r="AK42" s="31" t="s">
        <v>1268</v>
      </c>
      <c r="AL42" s="33" t="s">
        <v>1269</v>
      </c>
      <c r="AM42" s="31" t="s">
        <v>1268</v>
      </c>
      <c r="AN42" s="31" t="s">
        <v>1268</v>
      </c>
      <c r="AO42" s="33" t="s">
        <v>1269</v>
      </c>
      <c r="AP42" s="8"/>
      <c r="AQ42" s="8" t="b">
        <f>AND($A42&lt;&gt;"",COUNTIFS($F$2:$AO$2,"Status",$F42:$AO42,"A")+COUNTIFS($F$2:$AO$2,"Status",$F42:$AO42,"B")=COUNTIF($F$2:$AO$2,"Status"))</f>
        <v>0</v>
      </c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19" t="s">
        <v>711</v>
      </c>
      <c r="B43" s="19" t="s">
        <v>110</v>
      </c>
      <c r="C43" s="20" t="s">
        <v>1411</v>
      </c>
      <c r="D43" s="21" t="s">
        <v>1354</v>
      </c>
      <c r="E43" s="22"/>
      <c r="F43" s="21"/>
      <c r="G43" s="21"/>
      <c r="H43" s="21" t="s">
        <v>1258</v>
      </c>
      <c r="I43" s="30">
        <v>0</v>
      </c>
      <c r="J43" s="31" t="s">
        <v>1268</v>
      </c>
      <c r="K43" s="32" t="s">
        <v>1258</v>
      </c>
      <c r="L43" s="31">
        <v>0</v>
      </c>
      <c r="M43" s="31" t="s">
        <v>1268</v>
      </c>
      <c r="N43" s="32" t="s">
        <v>1258</v>
      </c>
      <c r="O43" s="31">
        <v>0</v>
      </c>
      <c r="P43" s="31" t="s">
        <v>1268</v>
      </c>
      <c r="Q43" s="35" t="s">
        <v>1286</v>
      </c>
      <c r="R43" s="31">
        <v>0</v>
      </c>
      <c r="S43" s="31" t="s">
        <v>1268</v>
      </c>
      <c r="T43" s="32" t="s">
        <v>1258</v>
      </c>
      <c r="U43" s="31">
        <v>0</v>
      </c>
      <c r="V43" s="31" t="s">
        <v>1268</v>
      </c>
      <c r="W43" s="32" t="s">
        <v>1258</v>
      </c>
      <c r="X43" s="31">
        <v>0</v>
      </c>
      <c r="Y43" s="31" t="s">
        <v>1268</v>
      </c>
      <c r="Z43" s="32" t="s">
        <v>1258</v>
      </c>
      <c r="AA43" s="31">
        <v>0</v>
      </c>
      <c r="AB43" s="31" t="s">
        <v>1268</v>
      </c>
      <c r="AC43" s="32" t="s">
        <v>1258</v>
      </c>
      <c r="AD43" s="31" t="s">
        <v>1268</v>
      </c>
      <c r="AE43" s="31" t="s">
        <v>1268</v>
      </c>
      <c r="AF43" s="33" t="s">
        <v>1269</v>
      </c>
      <c r="AG43" s="31" t="s">
        <v>1268</v>
      </c>
      <c r="AH43" s="31" t="s">
        <v>1268</v>
      </c>
      <c r="AI43" s="33" t="s">
        <v>1269</v>
      </c>
      <c r="AJ43" s="31" t="s">
        <v>1268</v>
      </c>
      <c r="AK43" s="31" t="s">
        <v>1268</v>
      </c>
      <c r="AL43" s="33" t="s">
        <v>1269</v>
      </c>
      <c r="AM43" s="31" t="s">
        <v>1268</v>
      </c>
      <c r="AN43" s="31" t="s">
        <v>1268</v>
      </c>
      <c r="AO43" s="33" t="s">
        <v>1269</v>
      </c>
      <c r="AP43" s="8"/>
      <c r="AQ43" s="8" t="b">
        <f>AND($A43&lt;&gt;"",COUNTIFS($F$2:$AO$2,"Status",$F43:$AO43,"A")+COUNTIFS($F$2:$AO$2,"Status",$F43:$AO43,"B")=COUNTIF($F$2:$AO$2,"Status"))</f>
        <v>0</v>
      </c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19" t="s">
        <v>1124</v>
      </c>
      <c r="B44" s="19" t="s">
        <v>110</v>
      </c>
      <c r="C44" s="20" t="s">
        <v>1412</v>
      </c>
      <c r="D44" s="21" t="s">
        <v>1354</v>
      </c>
      <c r="E44" s="22"/>
      <c r="F44" s="21"/>
      <c r="G44" s="21"/>
      <c r="H44" s="21" t="s">
        <v>1258</v>
      </c>
      <c r="I44" s="30" t="s">
        <v>1268</v>
      </c>
      <c r="J44" s="31" t="s">
        <v>1268</v>
      </c>
      <c r="K44" s="33" t="s">
        <v>1269</v>
      </c>
      <c r="L44" s="31" t="s">
        <v>1268</v>
      </c>
      <c r="M44" s="31" t="s">
        <v>1268</v>
      </c>
      <c r="N44" s="33" t="s">
        <v>1269</v>
      </c>
      <c r="O44" s="31" t="s">
        <v>1268</v>
      </c>
      <c r="P44" s="31" t="s">
        <v>1268</v>
      </c>
      <c r="Q44" s="33" t="s">
        <v>1269</v>
      </c>
      <c r="R44" s="31" t="s">
        <v>1268</v>
      </c>
      <c r="S44" s="31" t="s">
        <v>1268</v>
      </c>
      <c r="T44" s="33" t="s">
        <v>1269</v>
      </c>
      <c r="U44" s="31" t="s">
        <v>1268</v>
      </c>
      <c r="V44" s="31" t="s">
        <v>1268</v>
      </c>
      <c r="W44" s="33" t="s">
        <v>1269</v>
      </c>
      <c r="X44" s="31" t="s">
        <v>1268</v>
      </c>
      <c r="Y44" s="31" t="s">
        <v>1268</v>
      </c>
      <c r="Z44" s="33" t="s">
        <v>1269</v>
      </c>
      <c r="AA44" s="31" t="s">
        <v>1268</v>
      </c>
      <c r="AB44" s="31" t="s">
        <v>1268</v>
      </c>
      <c r="AC44" s="33" t="s">
        <v>1269</v>
      </c>
      <c r="AD44" s="31" t="s">
        <v>1268</v>
      </c>
      <c r="AE44" s="31" t="s">
        <v>1268</v>
      </c>
      <c r="AF44" s="33" t="s">
        <v>1269</v>
      </c>
      <c r="AG44" s="31" t="s">
        <v>1268</v>
      </c>
      <c r="AH44" s="31" t="s">
        <v>1268</v>
      </c>
      <c r="AI44" s="33" t="s">
        <v>1269</v>
      </c>
      <c r="AJ44" s="31" t="s">
        <v>1268</v>
      </c>
      <c r="AK44" s="31" t="s">
        <v>1268</v>
      </c>
      <c r="AL44" s="33" t="s">
        <v>1269</v>
      </c>
      <c r="AM44" s="31" t="s">
        <v>1268</v>
      </c>
      <c r="AN44" s="31" t="s">
        <v>1268</v>
      </c>
      <c r="AO44" s="33" t="s">
        <v>1269</v>
      </c>
      <c r="AP44" s="8"/>
      <c r="AQ44" s="8" t="b">
        <f>AND($A44&lt;&gt;"",COUNTIFS($F$2:$AO$2,"Status",$F44:$AO44,"A")+COUNTIFS($F$2:$AO$2,"Status",$F44:$AO44,"B")=COUNTIF($F$2:$AO$2,"Status"))</f>
        <v>0</v>
      </c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19" t="s">
        <v>714</v>
      </c>
      <c r="B45" s="19" t="s">
        <v>110</v>
      </c>
      <c r="C45" s="20" t="s">
        <v>1412</v>
      </c>
      <c r="D45" s="21" t="s">
        <v>1354</v>
      </c>
      <c r="E45" s="22"/>
      <c r="F45" s="21"/>
      <c r="G45" s="21"/>
      <c r="H45" s="21" t="s">
        <v>1258</v>
      </c>
      <c r="I45" s="30" t="s">
        <v>1268</v>
      </c>
      <c r="J45" s="31" t="s">
        <v>1268</v>
      </c>
      <c r="K45" s="33" t="s">
        <v>1269</v>
      </c>
      <c r="L45" s="31" t="s">
        <v>1268</v>
      </c>
      <c r="M45" s="31" t="s">
        <v>1268</v>
      </c>
      <c r="N45" s="33" t="s">
        <v>1269</v>
      </c>
      <c r="O45" s="31" t="s">
        <v>1268</v>
      </c>
      <c r="P45" s="31" t="s">
        <v>1268</v>
      </c>
      <c r="Q45" s="33" t="s">
        <v>1269</v>
      </c>
      <c r="R45" s="31" t="s">
        <v>1268</v>
      </c>
      <c r="S45" s="31" t="s">
        <v>1268</v>
      </c>
      <c r="T45" s="33" t="s">
        <v>1269</v>
      </c>
      <c r="U45" s="31" t="s">
        <v>1268</v>
      </c>
      <c r="V45" s="31" t="s">
        <v>1268</v>
      </c>
      <c r="W45" s="33" t="s">
        <v>1269</v>
      </c>
      <c r="X45" s="31" t="s">
        <v>1268</v>
      </c>
      <c r="Y45" s="31" t="s">
        <v>1268</v>
      </c>
      <c r="Z45" s="33" t="s">
        <v>1269</v>
      </c>
      <c r="AA45" s="31" t="s">
        <v>1268</v>
      </c>
      <c r="AB45" s="31" t="s">
        <v>1268</v>
      </c>
      <c r="AC45" s="33" t="s">
        <v>1269</v>
      </c>
      <c r="AD45" s="31" t="s">
        <v>1268</v>
      </c>
      <c r="AE45" s="31" t="s">
        <v>1268</v>
      </c>
      <c r="AF45" s="33" t="s">
        <v>1269</v>
      </c>
      <c r="AG45" s="31" t="s">
        <v>1268</v>
      </c>
      <c r="AH45" s="31" t="s">
        <v>1268</v>
      </c>
      <c r="AI45" s="33" t="s">
        <v>1269</v>
      </c>
      <c r="AJ45" s="31" t="s">
        <v>1268</v>
      </c>
      <c r="AK45" s="31" t="s">
        <v>1268</v>
      </c>
      <c r="AL45" s="33" t="s">
        <v>1269</v>
      </c>
      <c r="AM45" s="31" t="s">
        <v>1268</v>
      </c>
      <c r="AN45" s="31" t="s">
        <v>1268</v>
      </c>
      <c r="AO45" s="33" t="s">
        <v>1269</v>
      </c>
      <c r="AP45" s="8"/>
      <c r="AQ45" s="8" t="b">
        <f>AND($A45&lt;&gt;"",COUNTIFS($F$2:$AO$2,"Status",$F45:$AO45,"A")+COUNTIFS($F$2:$AO$2,"Status",$F45:$AO45,"B")=COUNTIF($F$2:$AO$2,"Status"))</f>
        <v>0</v>
      </c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19" t="s">
        <v>137</v>
      </c>
      <c r="B46" s="19" t="s">
        <v>138</v>
      </c>
      <c r="C46" s="20" t="s">
        <v>1413</v>
      </c>
      <c r="D46" s="21" t="s">
        <v>55</v>
      </c>
      <c r="E46" s="22"/>
      <c r="F46" s="21" t="s">
        <v>1257</v>
      </c>
      <c r="G46" s="21"/>
      <c r="H46" s="21" t="s">
        <v>1258</v>
      </c>
      <c r="I46" s="30">
        <v>0</v>
      </c>
      <c r="J46" s="31" t="s">
        <v>1268</v>
      </c>
      <c r="K46" s="36" t="s">
        <v>1260</v>
      </c>
      <c r="L46" s="31">
        <v>0</v>
      </c>
      <c r="M46" s="31" t="s">
        <v>1268</v>
      </c>
      <c r="N46" s="36" t="s">
        <v>1260</v>
      </c>
      <c r="O46" s="31">
        <v>1</v>
      </c>
      <c r="P46" s="31" t="s">
        <v>1268</v>
      </c>
      <c r="Q46" s="37" t="s">
        <v>1258</v>
      </c>
      <c r="R46" s="31">
        <v>0</v>
      </c>
      <c r="S46" s="31" t="s">
        <v>1268</v>
      </c>
      <c r="T46" s="36" t="s">
        <v>1260</v>
      </c>
      <c r="U46" s="31">
        <v>0</v>
      </c>
      <c r="V46" s="31" t="s">
        <v>1268</v>
      </c>
      <c r="W46" s="36" t="s">
        <v>1260</v>
      </c>
      <c r="X46" s="31">
        <v>0</v>
      </c>
      <c r="Y46" s="31" t="s">
        <v>1268</v>
      </c>
      <c r="Z46" s="36" t="s">
        <v>1260</v>
      </c>
      <c r="AA46" s="31">
        <v>0</v>
      </c>
      <c r="AB46" s="31" t="s">
        <v>1268</v>
      </c>
      <c r="AC46" s="36" t="s">
        <v>1260</v>
      </c>
      <c r="AD46" s="31">
        <v>0</v>
      </c>
      <c r="AE46" s="31" t="s">
        <v>1268</v>
      </c>
      <c r="AF46" s="37" t="s">
        <v>1258</v>
      </c>
      <c r="AG46" s="31">
        <v>0</v>
      </c>
      <c r="AH46" s="31" t="s">
        <v>1268</v>
      </c>
      <c r="AI46" s="36" t="s">
        <v>1260</v>
      </c>
      <c r="AJ46" s="31">
        <v>0</v>
      </c>
      <c r="AK46" s="31" t="s">
        <v>1268</v>
      </c>
      <c r="AL46" s="36" t="s">
        <v>1260</v>
      </c>
      <c r="AM46" s="31">
        <v>0</v>
      </c>
      <c r="AN46" s="31" t="s">
        <v>1268</v>
      </c>
      <c r="AO46" s="36" t="s">
        <v>1260</v>
      </c>
      <c r="AP46" s="8"/>
      <c r="AQ46" s="8" t="b">
        <f>AND($A46&lt;&gt;"",COUNTIFS($F$2:$AO$2,"Status",$F46:$AO46,"A")+COUNTIFS($F$2:$AO$2,"Status",$F46:$AO46,"B")=COUNTIF($F$2:$AO$2,"Status"))</f>
        <v>0</v>
      </c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26" t="s">
        <v>287</v>
      </c>
      <c r="B47" s="19" t="s">
        <v>138</v>
      </c>
      <c r="C47" s="20" t="s">
        <v>1414</v>
      </c>
      <c r="D47" s="21" t="s">
        <v>55</v>
      </c>
      <c r="E47" s="22"/>
      <c r="F47" s="21" t="s">
        <v>1257</v>
      </c>
      <c r="G47" s="21"/>
      <c r="H47" s="21" t="s">
        <v>1258</v>
      </c>
      <c r="I47" s="30" t="s">
        <v>1268</v>
      </c>
      <c r="J47" s="31" t="s">
        <v>1268</v>
      </c>
      <c r="K47" s="38" t="s">
        <v>1269</v>
      </c>
      <c r="L47" s="31" t="s">
        <v>1268</v>
      </c>
      <c r="M47" s="31" t="s">
        <v>1268</v>
      </c>
      <c r="N47" s="38" t="s">
        <v>1269</v>
      </c>
      <c r="O47" s="31" t="s">
        <v>1268</v>
      </c>
      <c r="P47" s="31" t="s">
        <v>1268</v>
      </c>
      <c r="Q47" s="38" t="s">
        <v>1269</v>
      </c>
      <c r="R47" s="31" t="s">
        <v>1268</v>
      </c>
      <c r="S47" s="31" t="s">
        <v>1268</v>
      </c>
      <c r="T47" s="38" t="s">
        <v>1269</v>
      </c>
      <c r="U47" s="31" t="s">
        <v>1268</v>
      </c>
      <c r="V47" s="31" t="s">
        <v>1268</v>
      </c>
      <c r="W47" s="38" t="s">
        <v>1269</v>
      </c>
      <c r="X47" s="31" t="s">
        <v>1268</v>
      </c>
      <c r="Y47" s="31" t="s">
        <v>1268</v>
      </c>
      <c r="Z47" s="38" t="s">
        <v>1269</v>
      </c>
      <c r="AA47" s="31" t="s">
        <v>1268</v>
      </c>
      <c r="AB47" s="31" t="s">
        <v>1268</v>
      </c>
      <c r="AC47" s="38" t="s">
        <v>1269</v>
      </c>
      <c r="AD47" s="31">
        <v>0</v>
      </c>
      <c r="AE47" s="31" t="s">
        <v>1268</v>
      </c>
      <c r="AF47" s="37" t="s">
        <v>1258</v>
      </c>
      <c r="AG47" s="31">
        <v>0</v>
      </c>
      <c r="AH47" s="31" t="s">
        <v>1268</v>
      </c>
      <c r="AI47" s="36" t="s">
        <v>1260</v>
      </c>
      <c r="AJ47" s="31">
        <v>0</v>
      </c>
      <c r="AK47" s="31" t="s">
        <v>1268</v>
      </c>
      <c r="AL47" s="36" t="s">
        <v>1260</v>
      </c>
      <c r="AM47" s="31">
        <v>0</v>
      </c>
      <c r="AN47" s="31" t="s">
        <v>1268</v>
      </c>
      <c r="AO47" s="36" t="s">
        <v>1260</v>
      </c>
      <c r="AP47" s="8"/>
      <c r="AQ47" s="8" t="b">
        <f>AND($A47&lt;&gt;"",COUNTIFS($F$2:$AO$2,"Status",$F47:$AO47,"A")+COUNTIFS($F$2:$AO$2,"Status",$F47:$AO47,"B")=COUNTIF($F$2:$AO$2,"Status"))</f>
        <v>0</v>
      </c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19" t="s">
        <v>719</v>
      </c>
      <c r="B48" s="19" t="s">
        <v>49</v>
      </c>
      <c r="C48" s="20" t="s">
        <v>1415</v>
      </c>
      <c r="D48" s="21" t="s">
        <v>55</v>
      </c>
      <c r="E48" s="41">
        <v>46321</v>
      </c>
      <c r="F48" s="21" t="s">
        <v>1257</v>
      </c>
      <c r="G48" s="21"/>
      <c r="H48" s="21" t="s">
        <v>1258</v>
      </c>
      <c r="I48" s="30">
        <v>0</v>
      </c>
      <c r="J48" s="31" t="s">
        <v>1416</v>
      </c>
      <c r="K48" s="37" t="s">
        <v>1258</v>
      </c>
      <c r="L48" s="31">
        <v>0</v>
      </c>
      <c r="M48" s="31" t="s">
        <v>1417</v>
      </c>
      <c r="N48" s="37" t="s">
        <v>1258</v>
      </c>
      <c r="O48" s="31">
        <v>0</v>
      </c>
      <c r="P48" s="31" t="s">
        <v>1418</v>
      </c>
      <c r="Q48" s="37" t="s">
        <v>1258</v>
      </c>
      <c r="R48" s="31">
        <v>0</v>
      </c>
      <c r="S48" s="31" t="s">
        <v>1419</v>
      </c>
      <c r="T48" s="37" t="s">
        <v>1258</v>
      </c>
      <c r="U48" s="31">
        <v>0</v>
      </c>
      <c r="V48" s="31" t="s">
        <v>1420</v>
      </c>
      <c r="W48" s="36" t="s">
        <v>1269</v>
      </c>
      <c r="X48" s="31">
        <v>0</v>
      </c>
      <c r="Y48" s="31" t="s">
        <v>1421</v>
      </c>
      <c r="Z48" s="37" t="s">
        <v>1258</v>
      </c>
      <c r="AA48" s="31">
        <v>0</v>
      </c>
      <c r="AB48" s="31" t="s">
        <v>1422</v>
      </c>
      <c r="AC48" s="37" t="s">
        <v>1258</v>
      </c>
      <c r="AD48" s="31">
        <v>2</v>
      </c>
      <c r="AE48" s="31" t="s">
        <v>1423</v>
      </c>
      <c r="AF48" s="37" t="s">
        <v>1258</v>
      </c>
      <c r="AG48" s="31">
        <v>0</v>
      </c>
      <c r="AH48" s="31" t="s">
        <v>1268</v>
      </c>
      <c r="AI48" s="37" t="s">
        <v>1258</v>
      </c>
      <c r="AJ48" s="31">
        <v>1</v>
      </c>
      <c r="AK48" s="31" t="s">
        <v>1424</v>
      </c>
      <c r="AL48" s="37" t="s">
        <v>1258</v>
      </c>
      <c r="AM48" s="31">
        <v>1</v>
      </c>
      <c r="AN48" s="31" t="s">
        <v>1424</v>
      </c>
      <c r="AO48" s="37" t="s">
        <v>1258</v>
      </c>
      <c r="AP48" s="8"/>
      <c r="AQ48" s="8" t="b">
        <f>AND($A48&lt;&gt;"",COUNTIFS($F$2:$AO$2,"Status",$F48:$AO48,"A")+COUNTIFS($F$2:$AO$2,"Status",$F48:$AO48,"B")=COUNTIF($F$2:$AO$2,"Status"))</f>
        <v>0</v>
      </c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19" t="s">
        <v>722</v>
      </c>
      <c r="B49" s="19" t="s">
        <v>49</v>
      </c>
      <c r="C49" s="20" t="s">
        <v>1425</v>
      </c>
      <c r="D49" s="21" t="s">
        <v>55</v>
      </c>
      <c r="E49" s="41">
        <v>46321</v>
      </c>
      <c r="F49" s="21" t="s">
        <v>1257</v>
      </c>
      <c r="G49" s="21"/>
      <c r="H49" s="21" t="s">
        <v>1258</v>
      </c>
      <c r="I49" s="30">
        <v>0</v>
      </c>
      <c r="J49" s="31" t="s">
        <v>1426</v>
      </c>
      <c r="K49" s="37" t="s">
        <v>1258</v>
      </c>
      <c r="L49" s="31" t="s">
        <v>1268</v>
      </c>
      <c r="M49" s="31" t="s">
        <v>1268</v>
      </c>
      <c r="N49" s="38" t="s">
        <v>1269</v>
      </c>
      <c r="O49" s="31">
        <v>0</v>
      </c>
      <c r="P49" s="31" t="s">
        <v>1427</v>
      </c>
      <c r="Q49" s="37" t="s">
        <v>1258</v>
      </c>
      <c r="R49" s="31">
        <v>0</v>
      </c>
      <c r="S49" s="31" t="s">
        <v>1428</v>
      </c>
      <c r="T49" s="37" t="s">
        <v>1258</v>
      </c>
      <c r="U49" s="31">
        <v>0</v>
      </c>
      <c r="V49" s="31" t="s">
        <v>1429</v>
      </c>
      <c r="W49" s="37" t="s">
        <v>1258</v>
      </c>
      <c r="X49" s="31">
        <v>0</v>
      </c>
      <c r="Y49" s="31" t="s">
        <v>1430</v>
      </c>
      <c r="Z49" s="37" t="s">
        <v>1258</v>
      </c>
      <c r="AA49" s="31">
        <v>0</v>
      </c>
      <c r="AB49" s="31" t="s">
        <v>1431</v>
      </c>
      <c r="AC49" s="37" t="s">
        <v>1258</v>
      </c>
      <c r="AD49" s="31">
        <v>2</v>
      </c>
      <c r="AE49" s="31" t="s">
        <v>1432</v>
      </c>
      <c r="AF49" s="37" t="s">
        <v>1258</v>
      </c>
      <c r="AG49" s="31">
        <v>0</v>
      </c>
      <c r="AH49" s="31" t="s">
        <v>1340</v>
      </c>
      <c r="AI49" s="37" t="s">
        <v>1258</v>
      </c>
      <c r="AJ49" s="31">
        <v>1</v>
      </c>
      <c r="AK49" s="31" t="s">
        <v>1433</v>
      </c>
      <c r="AL49" s="37" t="s">
        <v>1258</v>
      </c>
      <c r="AM49" s="31">
        <v>1</v>
      </c>
      <c r="AN49" s="31" t="s">
        <v>1433</v>
      </c>
      <c r="AO49" s="37" t="s">
        <v>1258</v>
      </c>
      <c r="AP49" s="8"/>
      <c r="AQ49" s="8" t="b">
        <f>AND($A49&lt;&gt;"",COUNTIFS($F$2:$AO$2,"Status",$F49:$AO49,"A")+COUNTIFS($F$2:$AO$2,"Status",$F49:$AO49,"B")=COUNTIF($F$2:$AO$2,"Status"))</f>
        <v>0</v>
      </c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19" t="s">
        <v>725</v>
      </c>
      <c r="B50" s="19" t="s">
        <v>49</v>
      </c>
      <c r="C50" s="20" t="s">
        <v>1434</v>
      </c>
      <c r="D50" s="21" t="s">
        <v>55</v>
      </c>
      <c r="E50" s="22"/>
      <c r="F50" s="21" t="s">
        <v>1257</v>
      </c>
      <c r="G50" s="21"/>
      <c r="H50" s="21" t="s">
        <v>1258</v>
      </c>
      <c r="I50" s="30" t="s">
        <v>1268</v>
      </c>
      <c r="J50" s="31" t="s">
        <v>1268</v>
      </c>
      <c r="K50" s="38" t="s">
        <v>1269</v>
      </c>
      <c r="L50" s="31">
        <v>0</v>
      </c>
      <c r="M50" s="31" t="s">
        <v>1435</v>
      </c>
      <c r="N50" s="37" t="s">
        <v>1258</v>
      </c>
      <c r="O50" s="31">
        <v>0</v>
      </c>
      <c r="P50" s="31" t="s">
        <v>1436</v>
      </c>
      <c r="Q50" s="37" t="s">
        <v>1258</v>
      </c>
      <c r="R50" s="31" t="s">
        <v>1268</v>
      </c>
      <c r="S50" s="31" t="s">
        <v>1268</v>
      </c>
      <c r="T50" s="38" t="s">
        <v>1269</v>
      </c>
      <c r="U50" s="31" t="s">
        <v>1268</v>
      </c>
      <c r="V50" s="31" t="s">
        <v>1268</v>
      </c>
      <c r="W50" s="38" t="s">
        <v>1269</v>
      </c>
      <c r="X50" s="31" t="s">
        <v>1268</v>
      </c>
      <c r="Y50" s="31" t="s">
        <v>1268</v>
      </c>
      <c r="Z50" s="38" t="s">
        <v>1269</v>
      </c>
      <c r="AA50" s="31" t="s">
        <v>1268</v>
      </c>
      <c r="AB50" s="31" t="s">
        <v>1268</v>
      </c>
      <c r="AC50" s="38" t="s">
        <v>1269</v>
      </c>
      <c r="AD50" s="31">
        <v>2</v>
      </c>
      <c r="AE50" s="31" t="s">
        <v>1437</v>
      </c>
      <c r="AF50" s="40" t="s">
        <v>1286</v>
      </c>
      <c r="AG50" s="31">
        <v>0</v>
      </c>
      <c r="AH50" s="31" t="s">
        <v>1351</v>
      </c>
      <c r="AI50" s="37" t="s">
        <v>1258</v>
      </c>
      <c r="AJ50" s="31">
        <v>1</v>
      </c>
      <c r="AK50" s="31" t="s">
        <v>1438</v>
      </c>
      <c r="AL50" s="37" t="s">
        <v>1258</v>
      </c>
      <c r="AM50" s="31">
        <v>1</v>
      </c>
      <c r="AN50" s="31" t="s">
        <v>1438</v>
      </c>
      <c r="AO50" s="37" t="s">
        <v>1258</v>
      </c>
      <c r="AP50" s="8"/>
      <c r="AQ50" s="8" t="b">
        <f>AND($A50&lt;&gt;"",COUNTIFS($F$2:$AO$2,"Status",$F50:$AO50,"A")+COUNTIFS($F$2:$AO$2,"Status",$F50:$AO50,"B")=COUNTIF($F$2:$AO$2,"Status"))</f>
        <v>0</v>
      </c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19" t="s">
        <v>728</v>
      </c>
      <c r="B51" s="19" t="s">
        <v>49</v>
      </c>
      <c r="C51" s="20" t="s">
        <v>1439</v>
      </c>
      <c r="D51" s="21" t="s">
        <v>55</v>
      </c>
      <c r="E51" s="22"/>
      <c r="F51" s="21" t="s">
        <v>1257</v>
      </c>
      <c r="G51" s="21"/>
      <c r="H51" s="21" t="s">
        <v>1258</v>
      </c>
      <c r="I51" s="30">
        <v>0</v>
      </c>
      <c r="J51" s="31" t="s">
        <v>1440</v>
      </c>
      <c r="K51" s="37" t="s">
        <v>1258</v>
      </c>
      <c r="L51" s="31">
        <v>0</v>
      </c>
      <c r="M51" s="31" t="s">
        <v>1441</v>
      </c>
      <c r="N51" s="37" t="s">
        <v>1258</v>
      </c>
      <c r="O51" s="31">
        <v>0</v>
      </c>
      <c r="P51" s="31" t="s">
        <v>1442</v>
      </c>
      <c r="Q51" s="40" t="s">
        <v>1286</v>
      </c>
      <c r="R51" s="31">
        <v>0</v>
      </c>
      <c r="S51" s="31" t="s">
        <v>1443</v>
      </c>
      <c r="T51" s="37" t="s">
        <v>1258</v>
      </c>
      <c r="U51" s="31">
        <v>0</v>
      </c>
      <c r="V51" s="31" t="s">
        <v>1444</v>
      </c>
      <c r="W51" s="37" t="s">
        <v>1258</v>
      </c>
      <c r="X51" s="31">
        <v>0</v>
      </c>
      <c r="Y51" s="31" t="s">
        <v>1445</v>
      </c>
      <c r="Z51" s="37" t="s">
        <v>1258</v>
      </c>
      <c r="AA51" s="31">
        <v>0</v>
      </c>
      <c r="AB51" s="31" t="s">
        <v>1446</v>
      </c>
      <c r="AC51" s="37" t="s">
        <v>1258</v>
      </c>
      <c r="AD51" s="31">
        <v>2</v>
      </c>
      <c r="AE51" s="31" t="s">
        <v>1447</v>
      </c>
      <c r="AF51" s="37" t="s">
        <v>1258</v>
      </c>
      <c r="AG51" s="31" t="s">
        <v>1268</v>
      </c>
      <c r="AH51" s="31" t="s">
        <v>1268</v>
      </c>
      <c r="AI51" s="38" t="s">
        <v>1269</v>
      </c>
      <c r="AJ51" s="31">
        <v>1</v>
      </c>
      <c r="AK51" s="31" t="s">
        <v>1448</v>
      </c>
      <c r="AL51" s="37" t="s">
        <v>1258</v>
      </c>
      <c r="AM51" s="31">
        <v>1</v>
      </c>
      <c r="AN51" s="31" t="s">
        <v>1448</v>
      </c>
      <c r="AO51" s="37" t="s">
        <v>1258</v>
      </c>
      <c r="AP51" s="8"/>
      <c r="AQ51" s="8" t="b">
        <f>AND($A51&lt;&gt;"",COUNTIFS($F$2:$AO$2,"Status",$F51:$AO51,"A")+COUNTIFS($F$2:$AO$2,"Status",$F51:$AO51,"B")=COUNTIF($F$2:$AO$2,"Status"))</f>
        <v>0</v>
      </c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19" t="s">
        <v>141</v>
      </c>
      <c r="B52" s="19" t="s">
        <v>49</v>
      </c>
      <c r="C52" s="20" t="s">
        <v>1449</v>
      </c>
      <c r="D52" s="21" t="s">
        <v>55</v>
      </c>
      <c r="E52" s="22"/>
      <c r="F52" s="21" t="s">
        <v>1257</v>
      </c>
      <c r="G52" s="21"/>
      <c r="H52" s="21" t="s">
        <v>1258</v>
      </c>
      <c r="I52" s="30">
        <v>0</v>
      </c>
      <c r="J52" s="31" t="s">
        <v>1450</v>
      </c>
      <c r="K52" s="37" t="s">
        <v>1258</v>
      </c>
      <c r="L52" s="31">
        <v>0</v>
      </c>
      <c r="M52" s="31" t="s">
        <v>1451</v>
      </c>
      <c r="N52" s="37" t="s">
        <v>1258</v>
      </c>
      <c r="O52" s="31">
        <v>1</v>
      </c>
      <c r="P52" s="31" t="s">
        <v>1452</v>
      </c>
      <c r="Q52" s="37" t="s">
        <v>1258</v>
      </c>
      <c r="R52" s="31">
        <v>0</v>
      </c>
      <c r="S52" s="31" t="s">
        <v>1453</v>
      </c>
      <c r="T52" s="37" t="s">
        <v>1258</v>
      </c>
      <c r="U52" s="31">
        <v>0</v>
      </c>
      <c r="V52" s="31" t="s">
        <v>1454</v>
      </c>
      <c r="W52" s="37" t="s">
        <v>1258</v>
      </c>
      <c r="X52" s="31">
        <v>0</v>
      </c>
      <c r="Y52" s="31" t="s">
        <v>1455</v>
      </c>
      <c r="Z52" s="37" t="s">
        <v>1258</v>
      </c>
      <c r="AA52" s="31">
        <v>0</v>
      </c>
      <c r="AB52" s="31" t="s">
        <v>1456</v>
      </c>
      <c r="AC52" s="37" t="s">
        <v>1258</v>
      </c>
      <c r="AD52" s="31">
        <v>0</v>
      </c>
      <c r="AE52" s="31" t="s">
        <v>1457</v>
      </c>
      <c r="AF52" s="37" t="s">
        <v>1258</v>
      </c>
      <c r="AG52" s="31">
        <v>0</v>
      </c>
      <c r="AH52" s="31" t="s">
        <v>1357</v>
      </c>
      <c r="AI52" s="40" t="s">
        <v>1286</v>
      </c>
      <c r="AJ52" s="31">
        <v>0</v>
      </c>
      <c r="AK52" s="31" t="s">
        <v>1458</v>
      </c>
      <c r="AL52" s="37" t="s">
        <v>1258</v>
      </c>
      <c r="AM52" s="31">
        <v>0</v>
      </c>
      <c r="AN52" s="31" t="s">
        <v>1458</v>
      </c>
      <c r="AO52" s="37" t="s">
        <v>1258</v>
      </c>
      <c r="AP52" s="8"/>
      <c r="AQ52" s="8" t="b">
        <f>AND($A52&lt;&gt;"",COUNTIFS($F$2:$AO$2,"Status",$F52:$AO52,"A")+COUNTIFS($F$2:$AO$2,"Status",$F52:$AO52,"B")=COUNTIF($F$2:$AO$2,"Status"))</f>
        <v>0</v>
      </c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19" t="s">
        <v>144</v>
      </c>
      <c r="B53" s="19" t="s">
        <v>49</v>
      </c>
      <c r="C53" s="20" t="s">
        <v>1459</v>
      </c>
      <c r="D53" s="21" t="s">
        <v>55</v>
      </c>
      <c r="E53" s="22"/>
      <c r="F53" s="21" t="s">
        <v>1257</v>
      </c>
      <c r="G53" s="21"/>
      <c r="H53" s="21" t="s">
        <v>1258</v>
      </c>
      <c r="I53" s="30">
        <v>0</v>
      </c>
      <c r="J53" s="31" t="s">
        <v>1460</v>
      </c>
      <c r="K53" s="37" t="s">
        <v>1258</v>
      </c>
      <c r="L53" s="31">
        <v>0</v>
      </c>
      <c r="M53" s="31" t="s">
        <v>1461</v>
      </c>
      <c r="N53" s="36" t="s">
        <v>1260</v>
      </c>
      <c r="O53" s="31">
        <v>1</v>
      </c>
      <c r="P53" s="31" t="s">
        <v>1462</v>
      </c>
      <c r="Q53" s="37" t="s">
        <v>1258</v>
      </c>
      <c r="R53" s="31">
        <v>0</v>
      </c>
      <c r="S53" s="31" t="s">
        <v>1463</v>
      </c>
      <c r="T53" s="37" t="s">
        <v>1258</v>
      </c>
      <c r="U53" s="31">
        <v>1</v>
      </c>
      <c r="V53" s="31" t="s">
        <v>1464</v>
      </c>
      <c r="W53" s="36" t="s">
        <v>1260</v>
      </c>
      <c r="X53" s="31">
        <v>0</v>
      </c>
      <c r="Y53" s="31" t="s">
        <v>1465</v>
      </c>
      <c r="Z53" s="37" t="s">
        <v>1258</v>
      </c>
      <c r="AA53" s="31">
        <v>0</v>
      </c>
      <c r="AB53" s="31" t="s">
        <v>1466</v>
      </c>
      <c r="AC53" s="37" t="s">
        <v>1258</v>
      </c>
      <c r="AD53" s="31">
        <v>3</v>
      </c>
      <c r="AE53" s="31" t="s">
        <v>1467</v>
      </c>
      <c r="AF53" s="37" t="s">
        <v>1258</v>
      </c>
      <c r="AG53" s="31">
        <v>0</v>
      </c>
      <c r="AH53" s="31" t="s">
        <v>1359</v>
      </c>
      <c r="AI53" s="37" t="s">
        <v>1258</v>
      </c>
      <c r="AJ53" s="31">
        <v>0</v>
      </c>
      <c r="AK53" s="31" t="s">
        <v>1468</v>
      </c>
      <c r="AL53" s="37" t="s">
        <v>1258</v>
      </c>
      <c r="AM53" s="31">
        <v>0</v>
      </c>
      <c r="AN53" s="31" t="s">
        <v>1468</v>
      </c>
      <c r="AO53" s="37" t="s">
        <v>1258</v>
      </c>
      <c r="AP53" s="8"/>
      <c r="AQ53" s="8" t="b">
        <f>AND($A53&lt;&gt;"",COUNTIFS($F$2:$AO$2,"Status",$F53:$AO53,"A")+COUNTIFS($F$2:$AO$2,"Status",$F53:$AO53,"B")=COUNTIF($F$2:$AO$2,"Status"))</f>
        <v>0</v>
      </c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19" t="s">
        <v>799</v>
      </c>
      <c r="B54" s="19" t="s">
        <v>49</v>
      </c>
      <c r="C54" s="20" t="s">
        <v>1469</v>
      </c>
      <c r="D54" s="21" t="s">
        <v>55</v>
      </c>
      <c r="E54" s="41">
        <v>46321</v>
      </c>
      <c r="F54" s="21" t="s">
        <v>1257</v>
      </c>
      <c r="G54" s="21"/>
      <c r="H54" s="21" t="s">
        <v>1258</v>
      </c>
      <c r="I54" s="30">
        <v>0</v>
      </c>
      <c r="J54" s="31" t="s">
        <v>1470</v>
      </c>
      <c r="K54" s="36" t="s">
        <v>1260</v>
      </c>
      <c r="L54" s="31" t="s">
        <v>1268</v>
      </c>
      <c r="M54" s="31" t="s">
        <v>1268</v>
      </c>
      <c r="N54" s="38" t="s">
        <v>1269</v>
      </c>
      <c r="O54" s="31">
        <v>0</v>
      </c>
      <c r="P54" s="31" t="s">
        <v>1471</v>
      </c>
      <c r="Q54" s="36" t="s">
        <v>1260</v>
      </c>
      <c r="R54" s="31">
        <v>0</v>
      </c>
      <c r="S54" s="31" t="s">
        <v>1472</v>
      </c>
      <c r="T54" s="36" t="s">
        <v>1260</v>
      </c>
      <c r="U54" s="31">
        <v>0</v>
      </c>
      <c r="V54" s="31" t="s">
        <v>1473</v>
      </c>
      <c r="W54" s="36" t="s">
        <v>1260</v>
      </c>
      <c r="X54" s="31">
        <v>0</v>
      </c>
      <c r="Y54" s="31" t="s">
        <v>1474</v>
      </c>
      <c r="Z54" s="36" t="s">
        <v>1260</v>
      </c>
      <c r="AA54" s="31">
        <v>0</v>
      </c>
      <c r="AB54" s="31" t="s">
        <v>1475</v>
      </c>
      <c r="AC54" s="36" t="s">
        <v>1260</v>
      </c>
      <c r="AD54" s="31">
        <v>2</v>
      </c>
      <c r="AE54" s="31" t="s">
        <v>1476</v>
      </c>
      <c r="AF54" s="37" t="s">
        <v>1258</v>
      </c>
      <c r="AG54" s="31">
        <v>0</v>
      </c>
      <c r="AH54" s="31" t="s">
        <v>1360</v>
      </c>
      <c r="AI54" s="37" t="s">
        <v>1258</v>
      </c>
      <c r="AJ54" s="31">
        <v>0</v>
      </c>
      <c r="AK54" s="31" t="s">
        <v>1477</v>
      </c>
      <c r="AL54" s="37" t="s">
        <v>1258</v>
      </c>
      <c r="AM54" s="31">
        <v>0</v>
      </c>
      <c r="AN54" s="31" t="s">
        <v>1477</v>
      </c>
      <c r="AO54" s="37" t="s">
        <v>1258</v>
      </c>
      <c r="AP54" s="8"/>
      <c r="AQ54" s="8" t="b">
        <f>AND($A54&lt;&gt;"",COUNTIFS($F$2:$AO$2,"Status",$F54:$AO54,"A")+COUNTIFS($F$2:$AO$2,"Status",$F54:$AO54,"B")=COUNTIF($F$2:$AO$2,"Status"))</f>
        <v>0</v>
      </c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19" t="s">
        <v>505</v>
      </c>
      <c r="B55" s="19" t="s">
        <v>49</v>
      </c>
      <c r="C55" s="20" t="s">
        <v>1478</v>
      </c>
      <c r="D55" s="21" t="s">
        <v>1354</v>
      </c>
      <c r="E55" s="41">
        <v>46321</v>
      </c>
      <c r="F55" s="21" t="s">
        <v>1257</v>
      </c>
      <c r="G55" s="21"/>
      <c r="H55" s="21" t="s">
        <v>1258</v>
      </c>
      <c r="I55" s="30" t="s">
        <v>1268</v>
      </c>
      <c r="J55" s="31" t="s">
        <v>1268</v>
      </c>
      <c r="K55" s="38" t="s">
        <v>1269</v>
      </c>
      <c r="L55" s="31" t="s">
        <v>1268</v>
      </c>
      <c r="M55" s="31" t="s">
        <v>1268</v>
      </c>
      <c r="N55" s="38" t="s">
        <v>1269</v>
      </c>
      <c r="O55" s="31" t="s">
        <v>1268</v>
      </c>
      <c r="P55" s="31" t="s">
        <v>1268</v>
      </c>
      <c r="Q55" s="38" t="s">
        <v>1269</v>
      </c>
      <c r="R55" s="31" t="s">
        <v>1268</v>
      </c>
      <c r="S55" s="31" t="s">
        <v>1268</v>
      </c>
      <c r="T55" s="38" t="s">
        <v>1269</v>
      </c>
      <c r="U55" s="31" t="s">
        <v>1268</v>
      </c>
      <c r="V55" s="31" t="s">
        <v>1268</v>
      </c>
      <c r="W55" s="38" t="s">
        <v>1269</v>
      </c>
      <c r="X55" s="31" t="s">
        <v>1268</v>
      </c>
      <c r="Y55" s="31" t="s">
        <v>1268</v>
      </c>
      <c r="Z55" s="38" t="s">
        <v>1269</v>
      </c>
      <c r="AA55" s="31" t="s">
        <v>1268</v>
      </c>
      <c r="AB55" s="31" t="s">
        <v>1268</v>
      </c>
      <c r="AC55" s="38" t="s">
        <v>1269</v>
      </c>
      <c r="AD55" s="31">
        <v>0</v>
      </c>
      <c r="AE55" s="31" t="s">
        <v>1479</v>
      </c>
      <c r="AF55" s="37" t="s">
        <v>1258</v>
      </c>
      <c r="AG55" s="31">
        <v>0</v>
      </c>
      <c r="AH55" s="31" t="s">
        <v>1361</v>
      </c>
      <c r="AI55" s="36" t="s">
        <v>1258</v>
      </c>
      <c r="AJ55" s="31">
        <v>0</v>
      </c>
      <c r="AK55" s="31" t="s">
        <v>1480</v>
      </c>
      <c r="AL55" s="37" t="s">
        <v>1258</v>
      </c>
      <c r="AM55" s="31">
        <v>0</v>
      </c>
      <c r="AN55" s="31" t="s">
        <v>1480</v>
      </c>
      <c r="AO55" s="37" t="s">
        <v>1258</v>
      </c>
      <c r="AP55" s="8"/>
      <c r="AQ55" s="8" t="b">
        <f>AND($A55&lt;&gt;"",COUNTIFS($F$2:$AO$2,"Status",$F55:$AO55,"A")+COUNTIFS($F$2:$AO$2,"Status",$F55:$AO55,"B")=COUNTIF($F$2:$AO$2,"Status"))</f>
        <v>0</v>
      </c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19" t="s">
        <v>509</v>
      </c>
      <c r="B56" s="19" t="s">
        <v>49</v>
      </c>
      <c r="C56" s="20" t="s">
        <v>1291</v>
      </c>
      <c r="D56" s="21" t="s">
        <v>1354</v>
      </c>
      <c r="E56" s="41">
        <v>46321</v>
      </c>
      <c r="F56" s="21" t="s">
        <v>1257</v>
      </c>
      <c r="G56" s="21"/>
      <c r="H56" s="21" t="s">
        <v>1258</v>
      </c>
      <c r="I56" s="30" t="s">
        <v>1268</v>
      </c>
      <c r="J56" s="31" t="s">
        <v>1268</v>
      </c>
      <c r="K56" s="38" t="s">
        <v>1269</v>
      </c>
      <c r="L56" s="31" t="s">
        <v>1268</v>
      </c>
      <c r="M56" s="31" t="s">
        <v>1268</v>
      </c>
      <c r="N56" s="38" t="s">
        <v>1269</v>
      </c>
      <c r="O56" s="31" t="s">
        <v>1268</v>
      </c>
      <c r="P56" s="31" t="s">
        <v>1268</v>
      </c>
      <c r="Q56" s="38" t="s">
        <v>1269</v>
      </c>
      <c r="R56" s="31" t="s">
        <v>1268</v>
      </c>
      <c r="S56" s="31" t="s">
        <v>1268</v>
      </c>
      <c r="T56" s="38" t="s">
        <v>1269</v>
      </c>
      <c r="U56" s="31" t="s">
        <v>1268</v>
      </c>
      <c r="V56" s="31" t="s">
        <v>1268</v>
      </c>
      <c r="W56" s="38" t="s">
        <v>1269</v>
      </c>
      <c r="X56" s="31" t="s">
        <v>1268</v>
      </c>
      <c r="Y56" s="31" t="s">
        <v>1268</v>
      </c>
      <c r="Z56" s="38" t="s">
        <v>1269</v>
      </c>
      <c r="AA56" s="31" t="s">
        <v>1268</v>
      </c>
      <c r="AB56" s="31" t="s">
        <v>1268</v>
      </c>
      <c r="AC56" s="38" t="s">
        <v>1269</v>
      </c>
      <c r="AD56" s="31">
        <v>0</v>
      </c>
      <c r="AE56" s="31" t="s">
        <v>1479</v>
      </c>
      <c r="AF56" s="37" t="s">
        <v>1258</v>
      </c>
      <c r="AG56" s="31">
        <v>0</v>
      </c>
      <c r="AH56" s="31" t="s">
        <v>1362</v>
      </c>
      <c r="AI56" s="36" t="s">
        <v>1258</v>
      </c>
      <c r="AJ56" s="31">
        <v>0</v>
      </c>
      <c r="AK56" s="31" t="s">
        <v>1481</v>
      </c>
      <c r="AL56" s="37" t="s">
        <v>1258</v>
      </c>
      <c r="AM56" s="31">
        <v>0</v>
      </c>
      <c r="AN56" s="31" t="s">
        <v>1481</v>
      </c>
      <c r="AO56" s="37" t="s">
        <v>1258</v>
      </c>
      <c r="AP56" s="8"/>
      <c r="AQ56" s="8" t="b">
        <f>AND($A56&lt;&gt;"",COUNTIFS($F$2:$AO$2,"Status",$F56:$AO56,"A")+COUNTIFS($F$2:$AO$2,"Status",$F56:$AO56,"B")=COUNTIF($F$2:$AO$2,"Status"))</f>
        <v>0</v>
      </c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19" t="s">
        <v>1131</v>
      </c>
      <c r="B57" s="19" t="s">
        <v>49</v>
      </c>
      <c r="C57" s="20" t="s">
        <v>1482</v>
      </c>
      <c r="D57" s="21" t="s">
        <v>1354</v>
      </c>
      <c r="E57" s="41">
        <v>46321</v>
      </c>
      <c r="F57" s="21" t="s">
        <v>1257</v>
      </c>
      <c r="G57" s="21"/>
      <c r="H57" s="21" t="s">
        <v>1258</v>
      </c>
      <c r="I57" s="30" t="s">
        <v>1268</v>
      </c>
      <c r="J57" s="31" t="s">
        <v>1268</v>
      </c>
      <c r="K57" s="38" t="s">
        <v>1269</v>
      </c>
      <c r="L57" s="31" t="s">
        <v>1268</v>
      </c>
      <c r="M57" s="31" t="s">
        <v>1268</v>
      </c>
      <c r="N57" s="38" t="s">
        <v>1269</v>
      </c>
      <c r="O57" s="31" t="s">
        <v>1268</v>
      </c>
      <c r="P57" s="31" t="s">
        <v>1268</v>
      </c>
      <c r="Q57" s="38" t="s">
        <v>1269</v>
      </c>
      <c r="R57" s="31" t="s">
        <v>1268</v>
      </c>
      <c r="S57" s="31" t="s">
        <v>1268</v>
      </c>
      <c r="T57" s="38" t="s">
        <v>1269</v>
      </c>
      <c r="U57" s="31" t="s">
        <v>1268</v>
      </c>
      <c r="V57" s="31" t="s">
        <v>1268</v>
      </c>
      <c r="W57" s="38" t="s">
        <v>1269</v>
      </c>
      <c r="X57" s="31" t="s">
        <v>1268</v>
      </c>
      <c r="Y57" s="31" t="s">
        <v>1268</v>
      </c>
      <c r="Z57" s="38" t="s">
        <v>1269</v>
      </c>
      <c r="AA57" s="31" t="s">
        <v>1268</v>
      </c>
      <c r="AB57" s="31" t="s">
        <v>1268</v>
      </c>
      <c r="AC57" s="38" t="s">
        <v>1269</v>
      </c>
      <c r="AD57" s="31" t="s">
        <v>1268</v>
      </c>
      <c r="AE57" s="31" t="s">
        <v>1268</v>
      </c>
      <c r="AF57" s="38" t="s">
        <v>1269</v>
      </c>
      <c r="AG57" s="31" t="s">
        <v>1268</v>
      </c>
      <c r="AH57" s="31" t="s">
        <v>1268</v>
      </c>
      <c r="AI57" s="38" t="s">
        <v>1269</v>
      </c>
      <c r="AJ57" s="31">
        <v>0</v>
      </c>
      <c r="AK57" s="31" t="s">
        <v>1483</v>
      </c>
      <c r="AL57" s="37" t="s">
        <v>1258</v>
      </c>
      <c r="AM57" s="31">
        <v>0</v>
      </c>
      <c r="AN57" s="31" t="s">
        <v>1483</v>
      </c>
      <c r="AO57" s="37" t="s">
        <v>1258</v>
      </c>
      <c r="AP57" s="8"/>
      <c r="AQ57" s="8" t="b">
        <f>AND($A57&lt;&gt;"",COUNTIFS($F$2:$AO$2,"Status",$F57:$AO57,"A")+COUNTIFS($F$2:$AO$2,"Status",$F57:$AO57,"B")=COUNTIF($F$2:$AO$2,"Status"))</f>
        <v>0</v>
      </c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19" t="s">
        <v>1134</v>
      </c>
      <c r="B58" s="19" t="s">
        <v>49</v>
      </c>
      <c r="C58" s="20" t="s">
        <v>1484</v>
      </c>
      <c r="D58" s="21" t="s">
        <v>1354</v>
      </c>
      <c r="E58" s="41">
        <v>46321</v>
      </c>
      <c r="F58" s="21" t="s">
        <v>1257</v>
      </c>
      <c r="G58" s="21"/>
      <c r="H58" s="21" t="s">
        <v>1258</v>
      </c>
      <c r="I58" s="30" t="s">
        <v>1268</v>
      </c>
      <c r="J58" s="31" t="s">
        <v>1268</v>
      </c>
      <c r="K58" s="38" t="s">
        <v>1269</v>
      </c>
      <c r="L58" s="31">
        <v>0</v>
      </c>
      <c r="M58" s="31" t="s">
        <v>1485</v>
      </c>
      <c r="N58" s="36" t="s">
        <v>1258</v>
      </c>
      <c r="O58" s="31" t="s">
        <v>1268</v>
      </c>
      <c r="P58" s="31" t="s">
        <v>1268</v>
      </c>
      <c r="Q58" s="38" t="s">
        <v>1269</v>
      </c>
      <c r="R58" s="31" t="s">
        <v>1268</v>
      </c>
      <c r="S58" s="31" t="s">
        <v>1268</v>
      </c>
      <c r="T58" s="38" t="s">
        <v>1269</v>
      </c>
      <c r="U58" s="31" t="s">
        <v>1268</v>
      </c>
      <c r="V58" s="31" t="s">
        <v>1268</v>
      </c>
      <c r="W58" s="38" t="s">
        <v>1269</v>
      </c>
      <c r="X58" s="31" t="s">
        <v>1268</v>
      </c>
      <c r="Y58" s="31" t="s">
        <v>1268</v>
      </c>
      <c r="Z58" s="38" t="s">
        <v>1269</v>
      </c>
      <c r="AA58" s="31" t="s">
        <v>1268</v>
      </c>
      <c r="AB58" s="31" t="s">
        <v>1268</v>
      </c>
      <c r="AC58" s="38" t="s">
        <v>1269</v>
      </c>
      <c r="AD58" s="31">
        <v>1</v>
      </c>
      <c r="AE58" s="31" t="s">
        <v>1486</v>
      </c>
      <c r="AF58" s="36" t="s">
        <v>1260</v>
      </c>
      <c r="AG58" s="31">
        <v>0</v>
      </c>
      <c r="AH58" s="31" t="s">
        <v>1364</v>
      </c>
      <c r="AI58" s="36" t="s">
        <v>1260</v>
      </c>
      <c r="AJ58" s="31">
        <v>0</v>
      </c>
      <c r="AK58" s="31" t="s">
        <v>1487</v>
      </c>
      <c r="AL58" s="37" t="s">
        <v>1258</v>
      </c>
      <c r="AM58" s="31">
        <v>0</v>
      </c>
      <c r="AN58" s="31" t="s">
        <v>1487</v>
      </c>
      <c r="AO58" s="37" t="s">
        <v>1258</v>
      </c>
      <c r="AP58" s="8"/>
      <c r="AQ58" s="8" t="b">
        <f>AND($A58&lt;&gt;"",COUNTIFS($F$2:$AO$2,"Status",$F58:$AO58,"A")+COUNTIFS($F$2:$AO$2,"Status",$F58:$AO58,"B")=COUNTIF($F$2:$AO$2,"Status"))</f>
        <v>0</v>
      </c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19" t="s">
        <v>802</v>
      </c>
      <c r="B59" s="19" t="s">
        <v>803</v>
      </c>
      <c r="C59" s="20" t="s">
        <v>1488</v>
      </c>
      <c r="D59" s="21" t="s">
        <v>55</v>
      </c>
      <c r="E59" s="22"/>
      <c r="F59" s="21" t="s">
        <v>1257</v>
      </c>
      <c r="G59" s="21"/>
      <c r="H59" s="21" t="s">
        <v>1258</v>
      </c>
      <c r="I59" s="30">
        <v>0</v>
      </c>
      <c r="J59" s="31" t="s">
        <v>1489</v>
      </c>
      <c r="K59" s="36" t="s">
        <v>1258</v>
      </c>
      <c r="L59" s="31">
        <v>0</v>
      </c>
      <c r="M59" s="31" t="s">
        <v>1490</v>
      </c>
      <c r="N59" s="37" t="s">
        <v>1258</v>
      </c>
      <c r="O59" s="31">
        <v>1</v>
      </c>
      <c r="P59" s="31" t="s">
        <v>1491</v>
      </c>
      <c r="Q59" s="36" t="s">
        <v>1258</v>
      </c>
      <c r="R59" s="31">
        <v>0</v>
      </c>
      <c r="S59" s="31" t="s">
        <v>1492</v>
      </c>
      <c r="T59" s="36" t="s">
        <v>1258</v>
      </c>
      <c r="U59" s="31">
        <v>0</v>
      </c>
      <c r="V59" s="31" t="s">
        <v>1493</v>
      </c>
      <c r="W59" s="36" t="s">
        <v>1258</v>
      </c>
      <c r="X59" s="31">
        <v>0</v>
      </c>
      <c r="Y59" s="31" t="s">
        <v>1494</v>
      </c>
      <c r="Z59" s="36" t="s">
        <v>1258</v>
      </c>
      <c r="AA59" s="31">
        <v>0</v>
      </c>
      <c r="AB59" s="31" t="s">
        <v>1495</v>
      </c>
      <c r="AC59" s="36" t="s">
        <v>1258</v>
      </c>
      <c r="AD59" s="31">
        <v>0</v>
      </c>
      <c r="AE59" s="31" t="s">
        <v>1496</v>
      </c>
      <c r="AF59" s="37" t="s">
        <v>1258</v>
      </c>
      <c r="AG59" s="31" t="s">
        <v>1268</v>
      </c>
      <c r="AH59" s="31" t="s">
        <v>1268</v>
      </c>
      <c r="AI59" s="38" t="s">
        <v>1269</v>
      </c>
      <c r="AJ59" s="31">
        <v>0</v>
      </c>
      <c r="AK59" s="31" t="s">
        <v>1497</v>
      </c>
      <c r="AL59" s="37" t="s">
        <v>1258</v>
      </c>
      <c r="AM59" s="31">
        <v>0</v>
      </c>
      <c r="AN59" s="31" t="s">
        <v>1497</v>
      </c>
      <c r="AO59" s="37" t="s">
        <v>1258</v>
      </c>
      <c r="AP59" s="8"/>
      <c r="AQ59" s="8" t="b">
        <f>AND($A59&lt;&gt;"",COUNTIFS($F$2:$AO$2,"Status",$F59:$AO59,"A")+COUNTIFS($F$2:$AO$2,"Status",$F59:$AO59,"B")=COUNTIF($F$2:$AO$2,"Status"))</f>
        <v>0</v>
      </c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19" t="s">
        <v>48</v>
      </c>
      <c r="B60" s="19" t="s">
        <v>49</v>
      </c>
      <c r="C60" s="20" t="s">
        <v>1498</v>
      </c>
      <c r="D60" s="21" t="s">
        <v>55</v>
      </c>
      <c r="E60" s="22"/>
      <c r="F60" s="21" t="s">
        <v>1257</v>
      </c>
      <c r="G60" s="21"/>
      <c r="H60" s="21" t="s">
        <v>1258</v>
      </c>
      <c r="I60" s="30">
        <v>0</v>
      </c>
      <c r="J60" s="31" t="s">
        <v>1499</v>
      </c>
      <c r="K60" s="37" t="s">
        <v>1258</v>
      </c>
      <c r="L60" s="31" t="s">
        <v>1268</v>
      </c>
      <c r="M60" s="31" t="s">
        <v>1268</v>
      </c>
      <c r="N60" s="38" t="s">
        <v>1269</v>
      </c>
      <c r="O60" s="31">
        <v>0</v>
      </c>
      <c r="P60" s="31" t="s">
        <v>1500</v>
      </c>
      <c r="Q60" s="37" t="s">
        <v>1258</v>
      </c>
      <c r="R60" s="31">
        <v>0</v>
      </c>
      <c r="S60" s="31" t="s">
        <v>1501</v>
      </c>
      <c r="T60" s="37" t="s">
        <v>1258</v>
      </c>
      <c r="U60" s="31">
        <v>0</v>
      </c>
      <c r="V60" s="31" t="s">
        <v>1502</v>
      </c>
      <c r="W60" s="37" t="s">
        <v>1258</v>
      </c>
      <c r="X60" s="31">
        <v>0</v>
      </c>
      <c r="Y60" s="31" t="s">
        <v>1503</v>
      </c>
      <c r="Z60" s="37" t="s">
        <v>1258</v>
      </c>
      <c r="AA60" s="31">
        <v>0</v>
      </c>
      <c r="AB60" s="31" t="s">
        <v>1504</v>
      </c>
      <c r="AC60" s="37" t="s">
        <v>1258</v>
      </c>
      <c r="AD60" s="31">
        <v>0</v>
      </c>
      <c r="AE60" s="31" t="s">
        <v>1505</v>
      </c>
      <c r="AF60" s="40" t="s">
        <v>1286</v>
      </c>
      <c r="AG60" s="31">
        <v>0</v>
      </c>
      <c r="AH60" s="31" t="s">
        <v>1365</v>
      </c>
      <c r="AI60" s="37" t="s">
        <v>1258</v>
      </c>
      <c r="AJ60" s="31">
        <v>0</v>
      </c>
      <c r="AK60" s="31" t="s">
        <v>1506</v>
      </c>
      <c r="AL60" s="37" t="s">
        <v>1258</v>
      </c>
      <c r="AM60" s="31">
        <v>0</v>
      </c>
      <c r="AN60" s="31" t="s">
        <v>1506</v>
      </c>
      <c r="AO60" s="37" t="s">
        <v>1258</v>
      </c>
      <c r="AP60" s="8"/>
      <c r="AQ60" s="8" t="b">
        <f>AND($A60&lt;&gt;"",COUNTIFS($F$2:$AO$2,"Status",$F60:$AO60,"A")+COUNTIFS($F$2:$AO$2,"Status",$F60:$AO60,"B")=COUNTIF($F$2:$AO$2,"Status"))</f>
        <v>0</v>
      </c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19" t="s">
        <v>686</v>
      </c>
      <c r="B61" s="19" t="s">
        <v>687</v>
      </c>
      <c r="C61" s="20" t="s">
        <v>1507</v>
      </c>
      <c r="D61" s="21" t="s">
        <v>55</v>
      </c>
      <c r="E61" s="41">
        <v>46321</v>
      </c>
      <c r="F61" s="21" t="s">
        <v>1257</v>
      </c>
      <c r="G61" s="21"/>
      <c r="H61" s="21" t="s">
        <v>1258</v>
      </c>
      <c r="I61" s="30" t="s">
        <v>1268</v>
      </c>
      <c r="J61" s="31" t="s">
        <v>1268</v>
      </c>
      <c r="K61" s="38" t="s">
        <v>1269</v>
      </c>
      <c r="L61" s="31" t="s">
        <v>1268</v>
      </c>
      <c r="M61" s="31" t="s">
        <v>1268</v>
      </c>
      <c r="N61" s="38" t="s">
        <v>1269</v>
      </c>
      <c r="O61" s="31" t="s">
        <v>1268</v>
      </c>
      <c r="P61" s="31" t="s">
        <v>1268</v>
      </c>
      <c r="Q61" s="38" t="s">
        <v>1269</v>
      </c>
      <c r="R61" s="31" t="s">
        <v>1268</v>
      </c>
      <c r="S61" s="31" t="s">
        <v>1268</v>
      </c>
      <c r="T61" s="38" t="s">
        <v>1269</v>
      </c>
      <c r="U61" s="31">
        <v>0</v>
      </c>
      <c r="V61" s="31" t="s">
        <v>1493</v>
      </c>
      <c r="W61" s="36" t="s">
        <v>1258</v>
      </c>
      <c r="X61" s="31" t="s">
        <v>1268</v>
      </c>
      <c r="Y61" s="31" t="s">
        <v>1268</v>
      </c>
      <c r="Z61" s="38" t="s">
        <v>1269</v>
      </c>
      <c r="AA61" s="31" t="s">
        <v>1268</v>
      </c>
      <c r="AB61" s="31" t="s">
        <v>1268</v>
      </c>
      <c r="AC61" s="38" t="s">
        <v>1269</v>
      </c>
      <c r="AD61" s="31">
        <v>2</v>
      </c>
      <c r="AE61" s="31">
        <v>0</v>
      </c>
      <c r="AF61" s="36" t="s">
        <v>1260</v>
      </c>
      <c r="AG61" s="31">
        <v>0</v>
      </c>
      <c r="AH61" s="31" t="s">
        <v>1366</v>
      </c>
      <c r="AI61" s="36" t="s">
        <v>1260</v>
      </c>
      <c r="AJ61" s="31">
        <v>1</v>
      </c>
      <c r="AK61" s="31" t="s">
        <v>1508</v>
      </c>
      <c r="AL61" s="37" t="s">
        <v>1258</v>
      </c>
      <c r="AM61" s="31">
        <v>1</v>
      </c>
      <c r="AN61" s="31" t="s">
        <v>1508</v>
      </c>
      <c r="AO61" s="37" t="s">
        <v>1258</v>
      </c>
      <c r="AP61" s="8"/>
      <c r="AQ61" s="8" t="b">
        <f>AND($A61&lt;&gt;"",COUNTIFS($F$2:$AO$2,"Status",$F61:$AO61,"A")+COUNTIFS($F$2:$AO$2,"Status",$F61:$AO61,"B")=COUNTIF($F$2:$AO$2,"Status"))</f>
        <v>0</v>
      </c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19" t="s">
        <v>1100</v>
      </c>
      <c r="B62" s="19" t="s">
        <v>687</v>
      </c>
      <c r="C62" s="20" t="s">
        <v>1509</v>
      </c>
      <c r="D62" s="21" t="s">
        <v>55</v>
      </c>
      <c r="E62" s="41">
        <v>46321</v>
      </c>
      <c r="F62" s="21" t="s">
        <v>1257</v>
      </c>
      <c r="G62" s="21"/>
      <c r="H62" s="21" t="s">
        <v>1258</v>
      </c>
      <c r="I62" s="30" t="s">
        <v>1268</v>
      </c>
      <c r="J62" s="31" t="s">
        <v>1268</v>
      </c>
      <c r="K62" s="38" t="s">
        <v>1269</v>
      </c>
      <c r="L62" s="31" t="s">
        <v>1268</v>
      </c>
      <c r="M62" s="31" t="s">
        <v>1268</v>
      </c>
      <c r="N62" s="38" t="s">
        <v>1269</v>
      </c>
      <c r="O62" s="31" t="s">
        <v>1268</v>
      </c>
      <c r="P62" s="31" t="s">
        <v>1268</v>
      </c>
      <c r="Q62" s="38" t="s">
        <v>1269</v>
      </c>
      <c r="R62" s="31" t="s">
        <v>1268</v>
      </c>
      <c r="S62" s="31" t="s">
        <v>1268</v>
      </c>
      <c r="T62" s="38" t="s">
        <v>1269</v>
      </c>
      <c r="U62" s="31" t="s">
        <v>1268</v>
      </c>
      <c r="V62" s="31" t="s">
        <v>1268</v>
      </c>
      <c r="W62" s="38" t="s">
        <v>1269</v>
      </c>
      <c r="X62" s="31" t="s">
        <v>1268</v>
      </c>
      <c r="Y62" s="31" t="s">
        <v>1268</v>
      </c>
      <c r="Z62" s="38" t="s">
        <v>1269</v>
      </c>
      <c r="AA62" s="31" t="s">
        <v>1268</v>
      </c>
      <c r="AB62" s="31" t="s">
        <v>1268</v>
      </c>
      <c r="AC62" s="38" t="s">
        <v>1269</v>
      </c>
      <c r="AD62" s="31" t="s">
        <v>1268</v>
      </c>
      <c r="AE62" s="31" t="s">
        <v>1268</v>
      </c>
      <c r="AF62" s="38" t="s">
        <v>1269</v>
      </c>
      <c r="AG62" s="31" t="s">
        <v>1268</v>
      </c>
      <c r="AH62" s="31" t="s">
        <v>1268</v>
      </c>
      <c r="AI62" s="38" t="s">
        <v>1269</v>
      </c>
      <c r="AJ62" s="31">
        <v>1</v>
      </c>
      <c r="AK62" s="31" t="s">
        <v>1510</v>
      </c>
      <c r="AL62" s="37" t="s">
        <v>1258</v>
      </c>
      <c r="AM62" s="31">
        <v>1</v>
      </c>
      <c r="AN62" s="31" t="s">
        <v>1510</v>
      </c>
      <c r="AO62" s="37" t="s">
        <v>1258</v>
      </c>
      <c r="AP62" s="8"/>
      <c r="AQ62" s="8" t="b">
        <f>AND($A62&lt;&gt;"",COUNTIFS($F$2:$AO$2,"Status",$F62:$AO62,"A")+COUNTIFS($F$2:$AO$2,"Status",$F62:$AO62,"B")=COUNTIF($F$2:$AO$2,"Status"))</f>
        <v>0</v>
      </c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19" t="s">
        <v>1103</v>
      </c>
      <c r="B63" s="19" t="s">
        <v>687</v>
      </c>
      <c r="C63" s="20" t="s">
        <v>1511</v>
      </c>
      <c r="D63" s="21" t="s">
        <v>1354</v>
      </c>
      <c r="E63" s="41">
        <v>46321</v>
      </c>
      <c r="F63" s="21" t="s">
        <v>1257</v>
      </c>
      <c r="G63" s="21"/>
      <c r="H63" s="21" t="s">
        <v>1258</v>
      </c>
      <c r="I63" s="30" t="s">
        <v>1268</v>
      </c>
      <c r="J63" s="31" t="s">
        <v>1268</v>
      </c>
      <c r="K63" s="38" t="s">
        <v>1269</v>
      </c>
      <c r="L63" s="31" t="s">
        <v>1268</v>
      </c>
      <c r="M63" s="31" t="s">
        <v>1268</v>
      </c>
      <c r="N63" s="38" t="s">
        <v>1269</v>
      </c>
      <c r="O63" s="31" t="s">
        <v>1268</v>
      </c>
      <c r="P63" s="31" t="s">
        <v>1268</v>
      </c>
      <c r="Q63" s="38" t="s">
        <v>1269</v>
      </c>
      <c r="R63" s="31" t="s">
        <v>1268</v>
      </c>
      <c r="S63" s="31" t="s">
        <v>1268</v>
      </c>
      <c r="T63" s="38" t="s">
        <v>1269</v>
      </c>
      <c r="U63" s="31" t="s">
        <v>1268</v>
      </c>
      <c r="V63" s="31" t="s">
        <v>1268</v>
      </c>
      <c r="W63" s="38" t="s">
        <v>1269</v>
      </c>
      <c r="X63" s="31" t="s">
        <v>1268</v>
      </c>
      <c r="Y63" s="31" t="s">
        <v>1268</v>
      </c>
      <c r="Z63" s="38" t="s">
        <v>1269</v>
      </c>
      <c r="AA63" s="31" t="s">
        <v>1268</v>
      </c>
      <c r="AB63" s="31" t="s">
        <v>1268</v>
      </c>
      <c r="AC63" s="38" t="s">
        <v>1269</v>
      </c>
      <c r="AD63" s="31" t="s">
        <v>1268</v>
      </c>
      <c r="AE63" s="31" t="s">
        <v>1268</v>
      </c>
      <c r="AF63" s="38" t="s">
        <v>1269</v>
      </c>
      <c r="AG63" s="31" t="s">
        <v>1268</v>
      </c>
      <c r="AH63" s="31" t="s">
        <v>1268</v>
      </c>
      <c r="AI63" s="38" t="s">
        <v>1269</v>
      </c>
      <c r="AJ63" s="31">
        <v>1</v>
      </c>
      <c r="AK63" s="31" t="s">
        <v>1512</v>
      </c>
      <c r="AL63" s="37" t="s">
        <v>1258</v>
      </c>
      <c r="AM63" s="31">
        <v>1</v>
      </c>
      <c r="AN63" s="31" t="s">
        <v>1512</v>
      </c>
      <c r="AO63" s="37" t="s">
        <v>1258</v>
      </c>
      <c r="AP63" s="8"/>
      <c r="AQ63" s="8" t="b">
        <f>AND($A63&lt;&gt;"",COUNTIFS($F$2:$AO$2,"Status",$F63:$AO63,"A")+COUNTIFS($F$2:$AO$2,"Status",$F63:$AO63,"B")=COUNTIF($F$2:$AO$2,"Status"))</f>
        <v>0</v>
      </c>
      <c r="AR63" s="8"/>
      <c r="AS63" s="8"/>
      <c r="AT63" s="8"/>
      <c r="AU63" s="8"/>
      <c r="AV63" s="8"/>
      <c r="AW63" s="8"/>
      <c r="AX63" s="8"/>
      <c r="AY63" s="8"/>
      <c r="AZ63" s="8"/>
    </row>
  </sheetData>
  <sheetProtection formatCells="0" formatColumns="0" formatRows="0" sort="0" autoFilter="0"/>
  <autoFilter ref="A1:D63" xr:uid="{00000000-0001-0000-0200-000000000000}"/>
  <mergeCells count="17">
    <mergeCell ref="A1:A2"/>
    <mergeCell ref="B1:B2"/>
    <mergeCell ref="D1:D2"/>
    <mergeCell ref="E1:E2"/>
    <mergeCell ref="R1:T1"/>
    <mergeCell ref="C1:C2"/>
    <mergeCell ref="AM1:AO1"/>
    <mergeCell ref="X1:Z1"/>
    <mergeCell ref="AJ1:AL1"/>
    <mergeCell ref="U1:W1"/>
    <mergeCell ref="F1:H1"/>
    <mergeCell ref="I1:K1"/>
    <mergeCell ref="L1:N1"/>
    <mergeCell ref="AA1:AC1"/>
    <mergeCell ref="O1:Q1"/>
    <mergeCell ref="AD1:AF1"/>
    <mergeCell ref="AG1:AI1"/>
  </mergeCells>
  <conditionalFormatting sqref="D3:D63">
    <cfRule type="expression" dxfId="171" priority="62" stopIfTrue="1">
      <formula>TRIM(D3)="Provided"</formula>
    </cfRule>
  </conditionalFormatting>
  <conditionalFormatting sqref="H3:H63">
    <cfRule type="expression" dxfId="170" priority="2" stopIfTrue="1">
      <formula>TRIM(UPPER(H3))="A"</formula>
    </cfRule>
    <cfRule type="expression" dxfId="169" priority="3" stopIfTrue="1">
      <formula>TRIM(UPPER(H3))="B"</formula>
    </cfRule>
    <cfRule type="expression" dxfId="168" priority="4" stopIfTrue="1">
      <formula>TRIM(UPPER(H3))="UR"</formula>
    </cfRule>
    <cfRule type="expression" dxfId="167" priority="5" stopIfTrue="1">
      <formula>TRIM(UPPER(H3))="C"</formula>
    </cfRule>
    <cfRule type="expression" dxfId="166" priority="6" stopIfTrue="1">
      <formula>TRIM(UPPER(H3))="TBS"</formula>
    </cfRule>
  </conditionalFormatting>
  <conditionalFormatting sqref="A3:AO63">
    <cfRule type="expression" dxfId="0" priority="1" stopIfTrue="1">
      <formula>AND($A3&lt;&gt;"",COUNTIFS($F$2:$AO$2,"Status",$F3:$AO3,"A")+COUNTIFS($F$2:$AO$2,"Status",$F3:$AO3,"B")=COUNTIF($F$2:$AO$2,"Status"))</formula>
    </cfRule>
  </conditionalFormatting>
  <dataValidations count="2">
    <dataValidation type="list" allowBlank="1" sqref="D3:D63" xr:uid="{00000000-0002-0000-0200-000001000000}">
      <formula1>"Provided,Not Provided"</formula1>
    </dataValidation>
    <dataValidation type="date" allowBlank="1" sqref="E3:E63" xr:uid="{00000000-0002-0000-0200-00000200000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Use A, B, UR, C or TBS" xr:uid="{00000000-0002-0000-0200-000000000000}">
          <x14:formula1>
            <xm:f>Lists!$A$2:$A$6</xm:f>
          </x14:formula1>
          <xm:sqref>H3:H63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3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2" customWidth="1"/>
    <col min="18" max="18" width="14" customWidth="1"/>
    <col min="19" max="19" width="12" customWidth="1"/>
    <col min="20" max="20" width="14" customWidth="1"/>
    <col min="21" max="21" width="12" customWidth="1"/>
    <col min="22" max="22" width="14" customWidth="1"/>
    <col min="23" max="23" width="12" customWidth="1"/>
    <col min="24" max="24" width="14" customWidth="1"/>
    <col min="25" max="25" width="12" customWidth="1"/>
    <col min="26" max="26" width="14" customWidth="1"/>
    <col min="27" max="27" width="12" customWidth="1"/>
    <col min="28" max="28" width="14" customWidth="1"/>
    <col min="29" max="29" width="12" customWidth="1"/>
    <col min="30" max="30" width="14" customWidth="1"/>
    <col min="31" max="31" width="12" customWidth="1"/>
    <col min="32" max="32" width="14" customWidth="1"/>
    <col min="33" max="33" width="12" customWidth="1"/>
    <col min="34" max="34" width="14" customWidth="1"/>
    <col min="35" max="35" width="12" customWidth="1"/>
    <col min="36" max="36" width="14" customWidth="1"/>
    <col min="37" max="37" width="12" customWidth="1"/>
    <col min="38" max="38" width="14" customWidth="1"/>
    <col min="39" max="39" width="12" customWidth="1"/>
    <col min="40" max="40" width="14" customWidth="1"/>
    <col min="41" max="41" width="12" customWidth="1"/>
    <col min="42" max="42" width="14" customWidth="1"/>
    <col min="43" max="43" width="12" customWidth="1"/>
    <col min="44" max="44" width="14" customWidth="1"/>
    <col min="45" max="45" width="12" customWidth="1"/>
    <col min="46" max="46" width="14" customWidth="1"/>
    <col min="47" max="47" width="12" customWidth="1"/>
    <col min="48" max="48" width="14" customWidth="1"/>
    <col min="49" max="49" width="12" customWidth="1"/>
    <col min="50" max="50" width="14" customWidth="1"/>
    <col min="51" max="51" width="12" customWidth="1"/>
    <col min="52" max="52" width="14" customWidth="1"/>
    <col min="53" max="53" width="12" customWidth="1"/>
    <col min="54" max="54" width="14" customWidth="1"/>
    <col min="55" max="55" width="12" customWidth="1"/>
    <col min="56" max="56" width="14" customWidth="1"/>
    <col min="57" max="57" width="12" customWidth="1"/>
  </cols>
  <sheetData>
    <row r="1" spans="1:57" ht="57.95" customHeight="1" x14ac:dyDescent="0.25">
      <c r="A1" s="17" t="s">
        <v>32</v>
      </c>
      <c r="B1" s="17" t="s">
        <v>33</v>
      </c>
      <c r="C1" s="17" t="s">
        <v>1513</v>
      </c>
      <c r="D1" s="18" t="s">
        <v>1514</v>
      </c>
      <c r="E1" s="18" t="s">
        <v>1515</v>
      </c>
      <c r="F1" s="18" t="s">
        <v>1516</v>
      </c>
      <c r="G1" s="18" t="s">
        <v>1517</v>
      </c>
      <c r="H1" s="18" t="s">
        <v>1518</v>
      </c>
      <c r="I1" s="18" t="s">
        <v>1519</v>
      </c>
      <c r="J1" s="18" t="s">
        <v>1520</v>
      </c>
      <c r="K1" s="18" t="s">
        <v>1521</v>
      </c>
      <c r="L1" s="18" t="s">
        <v>1522</v>
      </c>
      <c r="M1" s="18" t="s">
        <v>1523</v>
      </c>
      <c r="N1" s="18" t="s">
        <v>1524</v>
      </c>
      <c r="O1" s="18" t="s">
        <v>1525</v>
      </c>
      <c r="P1" s="18" t="s">
        <v>1526</v>
      </c>
      <c r="Q1" s="18" t="s">
        <v>1527</v>
      </c>
      <c r="R1" s="18" t="s">
        <v>1528</v>
      </c>
      <c r="S1" s="18" t="s">
        <v>1529</v>
      </c>
      <c r="T1" s="18" t="s">
        <v>1530</v>
      </c>
      <c r="U1" s="18" t="s">
        <v>1531</v>
      </c>
      <c r="V1" s="18" t="s">
        <v>1532</v>
      </c>
      <c r="W1" s="18" t="s">
        <v>1533</v>
      </c>
      <c r="X1" s="18" t="s">
        <v>1534</v>
      </c>
      <c r="Y1" s="18" t="s">
        <v>1535</v>
      </c>
      <c r="Z1" s="18" t="s">
        <v>1536</v>
      </c>
      <c r="AA1" s="18" t="s">
        <v>1537</v>
      </c>
      <c r="AB1" s="18" t="s">
        <v>1538</v>
      </c>
      <c r="AC1" s="18" t="s">
        <v>1539</v>
      </c>
      <c r="AD1" s="18" t="s">
        <v>1540</v>
      </c>
      <c r="AE1" s="18" t="s">
        <v>1541</v>
      </c>
      <c r="AF1" s="18" t="s">
        <v>1542</v>
      </c>
      <c r="AG1" s="18" t="s">
        <v>1543</v>
      </c>
      <c r="AH1" s="18" t="s">
        <v>1544</v>
      </c>
      <c r="AI1" s="18" t="s">
        <v>1545</v>
      </c>
      <c r="AJ1" s="18" t="s">
        <v>1546</v>
      </c>
      <c r="AK1" s="18" t="s">
        <v>1547</v>
      </c>
      <c r="AL1" s="18" t="s">
        <v>1548</v>
      </c>
      <c r="AM1" s="18" t="s">
        <v>1549</v>
      </c>
      <c r="AN1" s="18" t="s">
        <v>1550</v>
      </c>
      <c r="AO1" s="18" t="s">
        <v>1551</v>
      </c>
      <c r="AP1" s="18" t="s">
        <v>1552</v>
      </c>
      <c r="AQ1" s="18" t="s">
        <v>1553</v>
      </c>
      <c r="AR1" s="18" t="s">
        <v>1554</v>
      </c>
      <c r="AS1" s="18" t="s">
        <v>1555</v>
      </c>
      <c r="AT1" s="18" t="s">
        <v>1556</v>
      </c>
      <c r="AU1" s="18" t="s">
        <v>1557</v>
      </c>
      <c r="AV1" s="18" t="s">
        <v>1558</v>
      </c>
      <c r="AW1" s="18" t="s">
        <v>1559</v>
      </c>
      <c r="AX1" s="18" t="s">
        <v>1560</v>
      </c>
      <c r="AY1" s="18" t="s">
        <v>1561</v>
      </c>
      <c r="AZ1" s="18" t="s">
        <v>1562</v>
      </c>
      <c r="BA1" s="18" t="s">
        <v>1563</v>
      </c>
      <c r="BB1" s="18" t="s">
        <v>1564</v>
      </c>
      <c r="BC1" s="18" t="s">
        <v>1565</v>
      </c>
      <c r="BD1" s="18" t="s">
        <v>1566</v>
      </c>
      <c r="BE1" s="18" t="s">
        <v>1567</v>
      </c>
    </row>
    <row r="2" spans="1:57" x14ac:dyDescent="0.25">
      <c r="A2" s="19" t="s">
        <v>45</v>
      </c>
      <c r="B2" s="19" t="s">
        <v>46</v>
      </c>
      <c r="C2" s="19" t="s">
        <v>1568</v>
      </c>
      <c r="D2" s="21" t="s">
        <v>1258</v>
      </c>
      <c r="E2" s="23"/>
      <c r="F2" s="21" t="s">
        <v>1269</v>
      </c>
      <c r="G2" s="23"/>
      <c r="H2" s="21" t="s">
        <v>1269</v>
      </c>
      <c r="I2" s="23"/>
      <c r="J2" s="21" t="s">
        <v>1269</v>
      </c>
      <c r="K2" s="23"/>
      <c r="L2" s="21" t="s">
        <v>1269</v>
      </c>
      <c r="M2" s="23"/>
      <c r="N2" s="21" t="s">
        <v>1269</v>
      </c>
      <c r="O2" s="23"/>
      <c r="P2" s="21" t="s">
        <v>1258</v>
      </c>
      <c r="Q2" s="23"/>
      <c r="R2" s="21" t="s">
        <v>1269</v>
      </c>
      <c r="S2" s="23"/>
      <c r="T2" s="21" t="s">
        <v>1269</v>
      </c>
      <c r="U2" s="23"/>
      <c r="V2" s="21" t="s">
        <v>1269</v>
      </c>
      <c r="W2" s="23"/>
      <c r="X2" s="21" t="s">
        <v>1269</v>
      </c>
      <c r="Y2" s="23"/>
      <c r="Z2" s="21" t="s">
        <v>1269</v>
      </c>
      <c r="AA2" s="23"/>
      <c r="AB2" s="21" t="s">
        <v>1269</v>
      </c>
      <c r="AC2" s="23"/>
      <c r="AD2" s="21" t="s">
        <v>1269</v>
      </c>
      <c r="AE2" s="23"/>
      <c r="AF2" s="21" t="s">
        <v>1269</v>
      </c>
      <c r="AG2" s="23"/>
      <c r="AH2" s="21" t="s">
        <v>1269</v>
      </c>
      <c r="AI2" s="23"/>
      <c r="AJ2" s="21" t="s">
        <v>1269</v>
      </c>
      <c r="AK2" s="23"/>
      <c r="AL2" s="21" t="s">
        <v>1269</v>
      </c>
      <c r="AM2" s="23"/>
      <c r="AN2" s="21" t="s">
        <v>1269</v>
      </c>
      <c r="AO2" s="23"/>
      <c r="AP2" s="21" t="s">
        <v>1269</v>
      </c>
      <c r="AQ2" s="23"/>
      <c r="AR2" s="21" t="s">
        <v>1269</v>
      </c>
      <c r="AS2" s="23"/>
      <c r="AT2" s="21" t="s">
        <v>1269</v>
      </c>
      <c r="AU2" s="23"/>
      <c r="AV2" s="21" t="s">
        <v>1269</v>
      </c>
      <c r="AW2" s="23"/>
      <c r="AX2" s="21" t="s">
        <v>1269</v>
      </c>
      <c r="AY2" s="23"/>
      <c r="AZ2" s="21" t="s">
        <v>1269</v>
      </c>
      <c r="BA2" s="23"/>
      <c r="BB2" s="21" t="s">
        <v>1269</v>
      </c>
      <c r="BC2" s="23"/>
      <c r="BD2" s="21" t="s">
        <v>1269</v>
      </c>
      <c r="BE2" s="23"/>
    </row>
    <row r="3" spans="1:57" x14ac:dyDescent="0.25">
      <c r="A3" s="19" t="s">
        <v>45</v>
      </c>
      <c r="B3" s="19" t="s">
        <v>146</v>
      </c>
      <c r="C3" s="19" t="s">
        <v>1569</v>
      </c>
      <c r="D3" s="21" t="s">
        <v>1258</v>
      </c>
      <c r="E3" s="23"/>
      <c r="F3" s="21" t="s">
        <v>1269</v>
      </c>
      <c r="G3" s="23"/>
      <c r="H3" s="21" t="s">
        <v>1269</v>
      </c>
      <c r="I3" s="23"/>
      <c r="J3" s="21" t="s">
        <v>1269</v>
      </c>
      <c r="K3" s="23"/>
      <c r="L3" s="21" t="s">
        <v>1269</v>
      </c>
      <c r="M3" s="23"/>
      <c r="N3" s="21" t="s">
        <v>1269</v>
      </c>
      <c r="O3" s="23"/>
      <c r="P3" s="21" t="s">
        <v>1258</v>
      </c>
      <c r="Q3" s="23"/>
      <c r="R3" s="21" t="s">
        <v>1269</v>
      </c>
      <c r="S3" s="23"/>
      <c r="T3" s="21" t="s">
        <v>1269</v>
      </c>
      <c r="U3" s="23"/>
      <c r="V3" s="21" t="s">
        <v>1269</v>
      </c>
      <c r="W3" s="23"/>
      <c r="X3" s="21" t="s">
        <v>1269</v>
      </c>
      <c r="Y3" s="23"/>
      <c r="Z3" s="21" t="s">
        <v>1269</v>
      </c>
      <c r="AA3" s="23"/>
      <c r="AB3" s="21" t="s">
        <v>1269</v>
      </c>
      <c r="AC3" s="23"/>
      <c r="AD3" s="21" t="s">
        <v>1269</v>
      </c>
      <c r="AE3" s="23"/>
      <c r="AF3" s="21" t="s">
        <v>1269</v>
      </c>
      <c r="AG3" s="23"/>
      <c r="AH3" s="21" t="s">
        <v>1269</v>
      </c>
      <c r="AI3" s="23"/>
      <c r="AJ3" s="21" t="s">
        <v>1269</v>
      </c>
      <c r="AK3" s="23"/>
      <c r="AL3" s="21" t="s">
        <v>1269</v>
      </c>
      <c r="AM3" s="23"/>
      <c r="AN3" s="21" t="s">
        <v>1269</v>
      </c>
      <c r="AO3" s="23"/>
      <c r="AP3" s="21" t="s">
        <v>1269</v>
      </c>
      <c r="AQ3" s="23"/>
      <c r="AR3" s="21" t="s">
        <v>1269</v>
      </c>
      <c r="AS3" s="23"/>
      <c r="AT3" s="21" t="s">
        <v>1269</v>
      </c>
      <c r="AU3" s="23"/>
      <c r="AV3" s="21" t="s">
        <v>1269</v>
      </c>
      <c r="AW3" s="23"/>
      <c r="AX3" s="21" t="s">
        <v>1269</v>
      </c>
      <c r="AY3" s="23"/>
      <c r="AZ3" s="21" t="s">
        <v>1269</v>
      </c>
      <c r="BA3" s="23"/>
      <c r="BB3" s="21" t="s">
        <v>1269</v>
      </c>
      <c r="BC3" s="23"/>
      <c r="BD3" s="21" t="s">
        <v>1269</v>
      </c>
      <c r="BE3" s="23"/>
    </row>
    <row r="4" spans="1:57" x14ac:dyDescent="0.25">
      <c r="A4" s="19" t="s">
        <v>45</v>
      </c>
      <c r="B4" s="19" t="s">
        <v>221</v>
      </c>
      <c r="C4" s="19" t="s">
        <v>1570</v>
      </c>
      <c r="D4" s="21" t="s">
        <v>1258</v>
      </c>
      <c r="E4" s="23"/>
      <c r="F4" s="21" t="s">
        <v>1269</v>
      </c>
      <c r="G4" s="23"/>
      <c r="H4" s="21" t="s">
        <v>1269</v>
      </c>
      <c r="I4" s="23"/>
      <c r="J4" s="21" t="s">
        <v>1269</v>
      </c>
      <c r="K4" s="23"/>
      <c r="L4" s="21" t="s">
        <v>1269</v>
      </c>
      <c r="M4" s="23"/>
      <c r="N4" s="21" t="s">
        <v>1269</v>
      </c>
      <c r="O4" s="23"/>
      <c r="P4" s="21" t="s">
        <v>1258</v>
      </c>
      <c r="Q4" s="23"/>
      <c r="R4" s="21" t="s">
        <v>1269</v>
      </c>
      <c r="S4" s="23"/>
      <c r="T4" s="21" t="s">
        <v>1269</v>
      </c>
      <c r="U4" s="23"/>
      <c r="V4" s="21" t="s">
        <v>1269</v>
      </c>
      <c r="W4" s="23"/>
      <c r="X4" s="21" t="s">
        <v>1269</v>
      </c>
      <c r="Y4" s="23"/>
      <c r="Z4" s="21" t="s">
        <v>1269</v>
      </c>
      <c r="AA4" s="23"/>
      <c r="AB4" s="21" t="s">
        <v>1269</v>
      </c>
      <c r="AC4" s="23"/>
      <c r="AD4" s="21" t="s">
        <v>1269</v>
      </c>
      <c r="AE4" s="23"/>
      <c r="AF4" s="21" t="s">
        <v>1269</v>
      </c>
      <c r="AG4" s="23"/>
      <c r="AH4" s="21" t="s">
        <v>1269</v>
      </c>
      <c r="AI4" s="23"/>
      <c r="AJ4" s="21" t="s">
        <v>1269</v>
      </c>
      <c r="AK4" s="23"/>
      <c r="AL4" s="21" t="s">
        <v>1269</v>
      </c>
      <c r="AM4" s="23"/>
      <c r="AN4" s="21" t="s">
        <v>1269</v>
      </c>
      <c r="AO4" s="23"/>
      <c r="AP4" s="21" t="s">
        <v>1269</v>
      </c>
      <c r="AQ4" s="23"/>
      <c r="AR4" s="21" t="s">
        <v>1269</v>
      </c>
      <c r="AS4" s="23"/>
      <c r="AT4" s="21" t="s">
        <v>1269</v>
      </c>
      <c r="AU4" s="23"/>
      <c r="AV4" s="21" t="s">
        <v>1269</v>
      </c>
      <c r="AW4" s="23"/>
      <c r="AX4" s="21" t="s">
        <v>1269</v>
      </c>
      <c r="AY4" s="23"/>
      <c r="AZ4" s="21" t="s">
        <v>1269</v>
      </c>
      <c r="BA4" s="23"/>
      <c r="BB4" s="21" t="s">
        <v>1269</v>
      </c>
      <c r="BC4" s="23"/>
      <c r="BD4" s="21" t="s">
        <v>1269</v>
      </c>
      <c r="BE4" s="23"/>
    </row>
    <row r="5" spans="1:57" x14ac:dyDescent="0.25">
      <c r="A5" s="19" t="s">
        <v>45</v>
      </c>
      <c r="B5" s="19" t="s">
        <v>293</v>
      </c>
      <c r="C5" s="19" t="s">
        <v>1571</v>
      </c>
      <c r="D5" s="21" t="s">
        <v>1258</v>
      </c>
      <c r="E5" s="23"/>
      <c r="F5" s="21" t="s">
        <v>1269</v>
      </c>
      <c r="G5" s="23"/>
      <c r="H5" s="21" t="s">
        <v>1269</v>
      </c>
      <c r="I5" s="23"/>
      <c r="J5" s="21" t="s">
        <v>1269</v>
      </c>
      <c r="K5" s="23"/>
      <c r="L5" s="21" t="s">
        <v>1269</v>
      </c>
      <c r="M5" s="23"/>
      <c r="N5" s="21" t="s">
        <v>1269</v>
      </c>
      <c r="O5" s="23"/>
      <c r="P5" s="21" t="s">
        <v>1258</v>
      </c>
      <c r="Q5" s="23"/>
      <c r="R5" s="21" t="s">
        <v>1269</v>
      </c>
      <c r="S5" s="23"/>
      <c r="T5" s="21" t="s">
        <v>1269</v>
      </c>
      <c r="U5" s="23"/>
      <c r="V5" s="21" t="s">
        <v>1269</v>
      </c>
      <c r="W5" s="23"/>
      <c r="X5" s="21" t="s">
        <v>1269</v>
      </c>
      <c r="Y5" s="23"/>
      <c r="Z5" s="21" t="s">
        <v>1269</v>
      </c>
      <c r="AA5" s="23"/>
      <c r="AB5" s="21" t="s">
        <v>1269</v>
      </c>
      <c r="AC5" s="23"/>
      <c r="AD5" s="21" t="s">
        <v>1269</v>
      </c>
      <c r="AE5" s="23"/>
      <c r="AF5" s="21" t="s">
        <v>1269</v>
      </c>
      <c r="AG5" s="23"/>
      <c r="AH5" s="21" t="s">
        <v>1269</v>
      </c>
      <c r="AI5" s="23"/>
      <c r="AJ5" s="21" t="s">
        <v>1269</v>
      </c>
      <c r="AK5" s="23"/>
      <c r="AL5" s="21" t="s">
        <v>1269</v>
      </c>
      <c r="AM5" s="23"/>
      <c r="AN5" s="21" t="s">
        <v>1269</v>
      </c>
      <c r="AO5" s="23"/>
      <c r="AP5" s="21" t="s">
        <v>1269</v>
      </c>
      <c r="AQ5" s="23"/>
      <c r="AR5" s="21" t="s">
        <v>1269</v>
      </c>
      <c r="AS5" s="23"/>
      <c r="AT5" s="21" t="s">
        <v>1269</v>
      </c>
      <c r="AU5" s="23"/>
      <c r="AV5" s="21" t="s">
        <v>1269</v>
      </c>
      <c r="AW5" s="23"/>
      <c r="AX5" s="21" t="s">
        <v>1269</v>
      </c>
      <c r="AY5" s="23"/>
      <c r="AZ5" s="21" t="s">
        <v>1269</v>
      </c>
      <c r="BA5" s="23"/>
      <c r="BB5" s="21" t="s">
        <v>1269</v>
      </c>
      <c r="BC5" s="23"/>
      <c r="BD5" s="21" t="s">
        <v>1269</v>
      </c>
      <c r="BE5" s="23"/>
    </row>
    <row r="6" spans="1:57" x14ac:dyDescent="0.25">
      <c r="A6" s="19" t="s">
        <v>45</v>
      </c>
      <c r="B6" s="19" t="s">
        <v>366</v>
      </c>
      <c r="C6" s="19" t="s">
        <v>1572</v>
      </c>
      <c r="D6" s="21" t="s">
        <v>1258</v>
      </c>
      <c r="E6" s="23"/>
      <c r="F6" s="21" t="s">
        <v>1269</v>
      </c>
      <c r="G6" s="23"/>
      <c r="H6" s="21" t="s">
        <v>1269</v>
      </c>
      <c r="I6" s="23"/>
      <c r="J6" s="21" t="s">
        <v>1269</v>
      </c>
      <c r="K6" s="23"/>
      <c r="L6" s="21" t="s">
        <v>1269</v>
      </c>
      <c r="M6" s="23"/>
      <c r="N6" s="21" t="s">
        <v>1269</v>
      </c>
      <c r="O6" s="23"/>
      <c r="P6" s="21" t="s">
        <v>1258</v>
      </c>
      <c r="Q6" s="23"/>
      <c r="R6" s="21" t="s">
        <v>1269</v>
      </c>
      <c r="S6" s="23"/>
      <c r="T6" s="21" t="s">
        <v>1269</v>
      </c>
      <c r="U6" s="23"/>
      <c r="V6" s="21" t="s">
        <v>1269</v>
      </c>
      <c r="W6" s="23"/>
      <c r="X6" s="21" t="s">
        <v>1269</v>
      </c>
      <c r="Y6" s="23"/>
      <c r="Z6" s="21" t="s">
        <v>1269</v>
      </c>
      <c r="AA6" s="23"/>
      <c r="AB6" s="21" t="s">
        <v>1269</v>
      </c>
      <c r="AC6" s="23"/>
      <c r="AD6" s="21" t="s">
        <v>1269</v>
      </c>
      <c r="AE6" s="23"/>
      <c r="AF6" s="21" t="s">
        <v>1269</v>
      </c>
      <c r="AG6" s="23"/>
      <c r="AH6" s="21" t="s">
        <v>1269</v>
      </c>
      <c r="AI6" s="23"/>
      <c r="AJ6" s="21" t="s">
        <v>1269</v>
      </c>
      <c r="AK6" s="23"/>
      <c r="AL6" s="21" t="s">
        <v>1269</v>
      </c>
      <c r="AM6" s="23"/>
      <c r="AN6" s="21" t="s">
        <v>1269</v>
      </c>
      <c r="AO6" s="23"/>
      <c r="AP6" s="21" t="s">
        <v>1269</v>
      </c>
      <c r="AQ6" s="23"/>
      <c r="AR6" s="21" t="s">
        <v>1269</v>
      </c>
      <c r="AS6" s="23"/>
      <c r="AT6" s="21" t="s">
        <v>1269</v>
      </c>
      <c r="AU6" s="23"/>
      <c r="AV6" s="21" t="s">
        <v>1269</v>
      </c>
      <c r="AW6" s="23"/>
      <c r="AX6" s="21" t="s">
        <v>1269</v>
      </c>
      <c r="AY6" s="23"/>
      <c r="AZ6" s="21" t="s">
        <v>1269</v>
      </c>
      <c r="BA6" s="23"/>
      <c r="BB6" s="21" t="s">
        <v>1269</v>
      </c>
      <c r="BC6" s="23"/>
      <c r="BD6" s="21" t="s">
        <v>1269</v>
      </c>
      <c r="BE6" s="23"/>
    </row>
    <row r="7" spans="1:57" x14ac:dyDescent="0.25">
      <c r="A7" s="19" t="s">
        <v>45</v>
      </c>
      <c r="B7" s="19" t="s">
        <v>437</v>
      </c>
      <c r="C7" s="19" t="s">
        <v>1573</v>
      </c>
      <c r="D7" s="21" t="s">
        <v>1258</v>
      </c>
      <c r="E7" s="23"/>
      <c r="F7" s="21" t="s">
        <v>1269</v>
      </c>
      <c r="G7" s="23"/>
      <c r="H7" s="21" t="s">
        <v>1269</v>
      </c>
      <c r="I7" s="23"/>
      <c r="J7" s="21" t="s">
        <v>1269</v>
      </c>
      <c r="K7" s="23"/>
      <c r="L7" s="21" t="s">
        <v>1269</v>
      </c>
      <c r="M7" s="23"/>
      <c r="N7" s="21" t="s">
        <v>1269</v>
      </c>
      <c r="O7" s="23"/>
      <c r="P7" s="21" t="s">
        <v>1258</v>
      </c>
      <c r="Q7" s="23"/>
      <c r="R7" s="21" t="s">
        <v>1269</v>
      </c>
      <c r="S7" s="23"/>
      <c r="T7" s="21" t="s">
        <v>1269</v>
      </c>
      <c r="U7" s="23"/>
      <c r="V7" s="21" t="s">
        <v>1269</v>
      </c>
      <c r="W7" s="23"/>
      <c r="X7" s="21" t="s">
        <v>1269</v>
      </c>
      <c r="Y7" s="23"/>
      <c r="Z7" s="21" t="s">
        <v>1269</v>
      </c>
      <c r="AA7" s="23"/>
      <c r="AB7" s="21" t="s">
        <v>1269</v>
      </c>
      <c r="AC7" s="23"/>
      <c r="AD7" s="21" t="s">
        <v>1269</v>
      </c>
      <c r="AE7" s="23"/>
      <c r="AF7" s="21" t="s">
        <v>1269</v>
      </c>
      <c r="AG7" s="23"/>
      <c r="AH7" s="21" t="s">
        <v>1269</v>
      </c>
      <c r="AI7" s="23"/>
      <c r="AJ7" s="21" t="s">
        <v>1269</v>
      </c>
      <c r="AK7" s="23"/>
      <c r="AL7" s="21" t="s">
        <v>1269</v>
      </c>
      <c r="AM7" s="23"/>
      <c r="AN7" s="21" t="s">
        <v>1269</v>
      </c>
      <c r="AO7" s="23"/>
      <c r="AP7" s="21" t="s">
        <v>1269</v>
      </c>
      <c r="AQ7" s="23"/>
      <c r="AR7" s="21" t="s">
        <v>1269</v>
      </c>
      <c r="AS7" s="23"/>
      <c r="AT7" s="21" t="s">
        <v>1269</v>
      </c>
      <c r="AU7" s="23"/>
      <c r="AV7" s="21" t="s">
        <v>1269</v>
      </c>
      <c r="AW7" s="23"/>
      <c r="AX7" s="21" t="s">
        <v>1269</v>
      </c>
      <c r="AY7" s="23"/>
      <c r="AZ7" s="21" t="s">
        <v>1269</v>
      </c>
      <c r="BA7" s="23"/>
      <c r="BB7" s="21" t="s">
        <v>1269</v>
      </c>
      <c r="BC7" s="23"/>
      <c r="BD7" s="21" t="s">
        <v>1269</v>
      </c>
      <c r="BE7" s="23"/>
    </row>
    <row r="8" spans="1:57" x14ac:dyDescent="0.25">
      <c r="A8" s="19" t="s">
        <v>45</v>
      </c>
      <c r="B8" s="19" t="s">
        <v>511</v>
      </c>
      <c r="C8" s="19" t="s">
        <v>1574</v>
      </c>
      <c r="D8" s="21" t="s">
        <v>1258</v>
      </c>
      <c r="E8" s="23"/>
      <c r="F8" s="21" t="s">
        <v>1269</v>
      </c>
      <c r="G8" s="23"/>
      <c r="H8" s="21" t="s">
        <v>1269</v>
      </c>
      <c r="I8" s="23"/>
      <c r="J8" s="21" t="s">
        <v>1269</v>
      </c>
      <c r="K8" s="23"/>
      <c r="L8" s="21" t="s">
        <v>1269</v>
      </c>
      <c r="M8" s="23"/>
      <c r="N8" s="21" t="s">
        <v>1269</v>
      </c>
      <c r="O8" s="23"/>
      <c r="P8" s="21" t="s">
        <v>1258</v>
      </c>
      <c r="Q8" s="23"/>
      <c r="R8" s="21" t="s">
        <v>1269</v>
      </c>
      <c r="S8" s="23"/>
      <c r="T8" s="21" t="s">
        <v>1269</v>
      </c>
      <c r="U8" s="23"/>
      <c r="V8" s="21" t="s">
        <v>1269</v>
      </c>
      <c r="W8" s="23"/>
      <c r="X8" s="21" t="s">
        <v>1269</v>
      </c>
      <c r="Y8" s="23"/>
      <c r="Z8" s="21" t="s">
        <v>1269</v>
      </c>
      <c r="AA8" s="23"/>
      <c r="AB8" s="21" t="s">
        <v>1269</v>
      </c>
      <c r="AC8" s="23"/>
      <c r="AD8" s="21" t="s">
        <v>1269</v>
      </c>
      <c r="AE8" s="23"/>
      <c r="AF8" s="21" t="s">
        <v>1269</v>
      </c>
      <c r="AG8" s="23"/>
      <c r="AH8" s="21" t="s">
        <v>1269</v>
      </c>
      <c r="AI8" s="23"/>
      <c r="AJ8" s="21" t="s">
        <v>1269</v>
      </c>
      <c r="AK8" s="23"/>
      <c r="AL8" s="21" t="s">
        <v>1269</v>
      </c>
      <c r="AM8" s="23"/>
      <c r="AN8" s="21" t="s">
        <v>1269</v>
      </c>
      <c r="AO8" s="23"/>
      <c r="AP8" s="21" t="s">
        <v>1269</v>
      </c>
      <c r="AQ8" s="23"/>
      <c r="AR8" s="21" t="s">
        <v>1269</v>
      </c>
      <c r="AS8" s="23"/>
      <c r="AT8" s="21" t="s">
        <v>1269</v>
      </c>
      <c r="AU8" s="23"/>
      <c r="AV8" s="21" t="s">
        <v>1269</v>
      </c>
      <c r="AW8" s="23"/>
      <c r="AX8" s="21" t="s">
        <v>1269</v>
      </c>
      <c r="AY8" s="23"/>
      <c r="AZ8" s="21" t="s">
        <v>1269</v>
      </c>
      <c r="BA8" s="23"/>
      <c r="BB8" s="21" t="s">
        <v>1269</v>
      </c>
      <c r="BC8" s="23"/>
      <c r="BD8" s="21" t="s">
        <v>1269</v>
      </c>
      <c r="BE8" s="23"/>
    </row>
    <row r="9" spans="1:57" x14ac:dyDescent="0.25">
      <c r="A9" s="19" t="s">
        <v>45</v>
      </c>
      <c r="B9" s="19" t="s">
        <v>582</v>
      </c>
      <c r="C9" s="19" t="s">
        <v>1575</v>
      </c>
      <c r="D9" s="21" t="s">
        <v>1258</v>
      </c>
      <c r="E9" s="23"/>
      <c r="F9" s="21" t="s">
        <v>1269</v>
      </c>
      <c r="G9" s="23"/>
      <c r="H9" s="21" t="s">
        <v>1269</v>
      </c>
      <c r="I9" s="23"/>
      <c r="J9" s="21" t="s">
        <v>1269</v>
      </c>
      <c r="K9" s="23"/>
      <c r="L9" s="21" t="s">
        <v>1269</v>
      </c>
      <c r="M9" s="23"/>
      <c r="N9" s="21" t="s">
        <v>1269</v>
      </c>
      <c r="O9" s="23"/>
      <c r="P9" s="21" t="s">
        <v>1258</v>
      </c>
      <c r="Q9" s="23"/>
      <c r="R9" s="21" t="s">
        <v>1269</v>
      </c>
      <c r="S9" s="23"/>
      <c r="T9" s="21" t="s">
        <v>1269</v>
      </c>
      <c r="U9" s="23"/>
      <c r="V9" s="21" t="s">
        <v>1269</v>
      </c>
      <c r="W9" s="23"/>
      <c r="X9" s="21" t="s">
        <v>1269</v>
      </c>
      <c r="Y9" s="23"/>
      <c r="Z9" s="21" t="s">
        <v>1269</v>
      </c>
      <c r="AA9" s="23"/>
      <c r="AB9" s="21" t="s">
        <v>1269</v>
      </c>
      <c r="AC9" s="23"/>
      <c r="AD9" s="21" t="s">
        <v>1269</v>
      </c>
      <c r="AE9" s="23"/>
      <c r="AF9" s="21" t="s">
        <v>1269</v>
      </c>
      <c r="AG9" s="23"/>
      <c r="AH9" s="21" t="s">
        <v>1269</v>
      </c>
      <c r="AI9" s="23"/>
      <c r="AJ9" s="21" t="s">
        <v>1269</v>
      </c>
      <c r="AK9" s="23"/>
      <c r="AL9" s="21" t="s">
        <v>1269</v>
      </c>
      <c r="AM9" s="23"/>
      <c r="AN9" s="21" t="s">
        <v>1269</v>
      </c>
      <c r="AO9" s="23"/>
      <c r="AP9" s="21" t="s">
        <v>1269</v>
      </c>
      <c r="AQ9" s="23"/>
      <c r="AR9" s="21" t="s">
        <v>1269</v>
      </c>
      <c r="AS9" s="23"/>
      <c r="AT9" s="21" t="s">
        <v>1269</v>
      </c>
      <c r="AU9" s="23"/>
      <c r="AV9" s="21" t="s">
        <v>1269</v>
      </c>
      <c r="AW9" s="23"/>
      <c r="AX9" s="21" t="s">
        <v>1269</v>
      </c>
      <c r="AY9" s="23"/>
      <c r="AZ9" s="21" t="s">
        <v>1269</v>
      </c>
      <c r="BA9" s="23"/>
      <c r="BB9" s="21" t="s">
        <v>1269</v>
      </c>
      <c r="BC9" s="23"/>
      <c r="BD9" s="21" t="s">
        <v>1269</v>
      </c>
      <c r="BE9" s="23"/>
    </row>
    <row r="10" spans="1:57" x14ac:dyDescent="0.25">
      <c r="A10" s="19" t="s">
        <v>653</v>
      </c>
      <c r="B10" s="19" t="s">
        <v>654</v>
      </c>
      <c r="C10" s="19" t="s">
        <v>1576</v>
      </c>
      <c r="D10" s="21" t="s">
        <v>1258</v>
      </c>
      <c r="E10" s="23"/>
      <c r="F10" s="21" t="s">
        <v>1269</v>
      </c>
      <c r="G10" s="23"/>
      <c r="H10" s="21" t="s">
        <v>1269</v>
      </c>
      <c r="I10" s="23"/>
      <c r="J10" s="21" t="s">
        <v>1269</v>
      </c>
      <c r="K10" s="23"/>
      <c r="L10" s="21" t="s">
        <v>1269</v>
      </c>
      <c r="M10" s="23"/>
      <c r="N10" s="21" t="s">
        <v>1269</v>
      </c>
      <c r="O10" s="23"/>
      <c r="P10" s="21" t="s">
        <v>1258</v>
      </c>
      <c r="Q10" s="23"/>
      <c r="R10" s="21" t="s">
        <v>1269</v>
      </c>
      <c r="S10" s="23"/>
      <c r="T10" s="21" t="s">
        <v>1269</v>
      </c>
      <c r="U10" s="23"/>
      <c r="V10" s="21" t="s">
        <v>1269</v>
      </c>
      <c r="W10" s="23"/>
      <c r="X10" s="21" t="s">
        <v>1269</v>
      </c>
      <c r="Y10" s="23"/>
      <c r="Z10" s="21" t="s">
        <v>1269</v>
      </c>
      <c r="AA10" s="23"/>
      <c r="AB10" s="21" t="s">
        <v>1269</v>
      </c>
      <c r="AC10" s="23"/>
      <c r="AD10" s="21" t="s">
        <v>1269</v>
      </c>
      <c r="AE10" s="23"/>
      <c r="AF10" s="21" t="s">
        <v>1269</v>
      </c>
      <c r="AG10" s="23"/>
      <c r="AH10" s="21" t="s">
        <v>1269</v>
      </c>
      <c r="AI10" s="23"/>
      <c r="AJ10" s="21" t="s">
        <v>1269</v>
      </c>
      <c r="AK10" s="23"/>
      <c r="AL10" s="21" t="s">
        <v>1269</v>
      </c>
      <c r="AM10" s="23"/>
      <c r="AN10" s="21" t="s">
        <v>1269</v>
      </c>
      <c r="AO10" s="23"/>
      <c r="AP10" s="21" t="s">
        <v>1269</v>
      </c>
      <c r="AQ10" s="23"/>
      <c r="AR10" s="21" t="s">
        <v>1269</v>
      </c>
      <c r="AS10" s="23"/>
      <c r="AT10" s="21" t="s">
        <v>1269</v>
      </c>
      <c r="AU10" s="23"/>
      <c r="AV10" s="21" t="s">
        <v>1269</v>
      </c>
      <c r="AW10" s="23"/>
      <c r="AX10" s="21" t="s">
        <v>1269</v>
      </c>
      <c r="AY10" s="23"/>
      <c r="AZ10" s="21" t="s">
        <v>1269</v>
      </c>
      <c r="BA10" s="23"/>
      <c r="BB10" s="21" t="s">
        <v>1269</v>
      </c>
      <c r="BC10" s="23"/>
      <c r="BD10" s="21" t="s">
        <v>1269</v>
      </c>
      <c r="BE10" s="23"/>
    </row>
    <row r="11" spans="1:57" x14ac:dyDescent="0.25">
      <c r="A11" s="19" t="s">
        <v>653</v>
      </c>
      <c r="B11" s="19" t="s">
        <v>46</v>
      </c>
      <c r="C11" s="19" t="s">
        <v>1577</v>
      </c>
      <c r="D11" s="21" t="s">
        <v>1258</v>
      </c>
      <c r="E11" s="23"/>
      <c r="F11" s="21" t="s">
        <v>1269</v>
      </c>
      <c r="G11" s="23"/>
      <c r="H11" s="21" t="s">
        <v>1269</v>
      </c>
      <c r="I11" s="23"/>
      <c r="J11" s="21" t="s">
        <v>1269</v>
      </c>
      <c r="K11" s="23"/>
      <c r="L11" s="21" t="s">
        <v>1269</v>
      </c>
      <c r="M11" s="23"/>
      <c r="N11" s="21" t="s">
        <v>1269</v>
      </c>
      <c r="O11" s="23"/>
      <c r="P11" s="21" t="s">
        <v>1258</v>
      </c>
      <c r="Q11" s="23"/>
      <c r="R11" s="21" t="s">
        <v>1269</v>
      </c>
      <c r="S11" s="23"/>
      <c r="T11" s="21" t="s">
        <v>1269</v>
      </c>
      <c r="U11" s="23"/>
      <c r="V11" s="21" t="s">
        <v>1269</v>
      </c>
      <c r="W11" s="23"/>
      <c r="X11" s="21" t="s">
        <v>1269</v>
      </c>
      <c r="Y11" s="23"/>
      <c r="Z11" s="21" t="s">
        <v>1269</v>
      </c>
      <c r="AA11" s="23"/>
      <c r="AB11" s="21" t="s">
        <v>1269</v>
      </c>
      <c r="AC11" s="23"/>
      <c r="AD11" s="21" t="s">
        <v>1269</v>
      </c>
      <c r="AE11" s="23"/>
      <c r="AF11" s="21" t="s">
        <v>1269</v>
      </c>
      <c r="AG11" s="23"/>
      <c r="AH11" s="21" t="s">
        <v>1269</v>
      </c>
      <c r="AI11" s="23"/>
      <c r="AJ11" s="21" t="s">
        <v>1269</v>
      </c>
      <c r="AK11" s="23"/>
      <c r="AL11" s="21" t="s">
        <v>1269</v>
      </c>
      <c r="AM11" s="23"/>
      <c r="AN11" s="21" t="s">
        <v>1269</v>
      </c>
      <c r="AO11" s="23"/>
      <c r="AP11" s="21" t="s">
        <v>1269</v>
      </c>
      <c r="AQ11" s="23"/>
      <c r="AR11" s="21" t="s">
        <v>1269</v>
      </c>
      <c r="AS11" s="23"/>
      <c r="AT11" s="21" t="s">
        <v>1269</v>
      </c>
      <c r="AU11" s="23"/>
      <c r="AV11" s="21" t="s">
        <v>1269</v>
      </c>
      <c r="AW11" s="23"/>
      <c r="AX11" s="21" t="s">
        <v>1269</v>
      </c>
      <c r="AY11" s="23"/>
      <c r="AZ11" s="21" t="s">
        <v>1269</v>
      </c>
      <c r="BA11" s="23"/>
      <c r="BB11" s="21" t="s">
        <v>1269</v>
      </c>
      <c r="BC11" s="23"/>
      <c r="BD11" s="21" t="s">
        <v>1269</v>
      </c>
      <c r="BE11" s="23"/>
    </row>
    <row r="12" spans="1:57" x14ac:dyDescent="0.25">
      <c r="A12" s="19" t="s">
        <v>653</v>
      </c>
      <c r="B12" s="19" t="s">
        <v>146</v>
      </c>
      <c r="C12" s="19" t="s">
        <v>1578</v>
      </c>
      <c r="D12" s="21" t="s">
        <v>1258</v>
      </c>
      <c r="E12" s="23"/>
      <c r="F12" s="21" t="s">
        <v>1269</v>
      </c>
      <c r="G12" s="23"/>
      <c r="H12" s="21" t="s">
        <v>1269</v>
      </c>
      <c r="I12" s="23"/>
      <c r="J12" s="21" t="s">
        <v>1269</v>
      </c>
      <c r="K12" s="23"/>
      <c r="L12" s="21" t="s">
        <v>1269</v>
      </c>
      <c r="M12" s="23"/>
      <c r="N12" s="21" t="s">
        <v>1269</v>
      </c>
      <c r="O12" s="23"/>
      <c r="P12" s="21" t="s">
        <v>1258</v>
      </c>
      <c r="Q12" s="23"/>
      <c r="R12" s="21" t="s">
        <v>1269</v>
      </c>
      <c r="S12" s="23"/>
      <c r="T12" s="21" t="s">
        <v>1269</v>
      </c>
      <c r="U12" s="23"/>
      <c r="V12" s="21" t="s">
        <v>1269</v>
      </c>
      <c r="W12" s="23"/>
      <c r="X12" s="21" t="s">
        <v>1269</v>
      </c>
      <c r="Y12" s="23"/>
      <c r="Z12" s="21" t="s">
        <v>1269</v>
      </c>
      <c r="AA12" s="23"/>
      <c r="AB12" s="21" t="s">
        <v>1269</v>
      </c>
      <c r="AC12" s="23"/>
      <c r="AD12" s="21" t="s">
        <v>1269</v>
      </c>
      <c r="AE12" s="23"/>
      <c r="AF12" s="21" t="s">
        <v>1269</v>
      </c>
      <c r="AG12" s="23"/>
      <c r="AH12" s="21" t="s">
        <v>1269</v>
      </c>
      <c r="AI12" s="23"/>
      <c r="AJ12" s="21" t="s">
        <v>1269</v>
      </c>
      <c r="AK12" s="23"/>
      <c r="AL12" s="21" t="s">
        <v>1269</v>
      </c>
      <c r="AM12" s="23"/>
      <c r="AN12" s="21" t="s">
        <v>1269</v>
      </c>
      <c r="AO12" s="23"/>
      <c r="AP12" s="21" t="s">
        <v>1269</v>
      </c>
      <c r="AQ12" s="23"/>
      <c r="AR12" s="21" t="s">
        <v>1269</v>
      </c>
      <c r="AS12" s="23"/>
      <c r="AT12" s="21" t="s">
        <v>1269</v>
      </c>
      <c r="AU12" s="23"/>
      <c r="AV12" s="21" t="s">
        <v>1269</v>
      </c>
      <c r="AW12" s="23"/>
      <c r="AX12" s="21" t="s">
        <v>1269</v>
      </c>
      <c r="AY12" s="23"/>
      <c r="AZ12" s="21" t="s">
        <v>1269</v>
      </c>
      <c r="BA12" s="23"/>
      <c r="BB12" s="21" t="s">
        <v>1269</v>
      </c>
      <c r="BC12" s="23"/>
      <c r="BD12" s="21" t="s">
        <v>1269</v>
      </c>
      <c r="BE12" s="23"/>
    </row>
    <row r="13" spans="1:57" x14ac:dyDescent="0.25">
      <c r="A13" s="19" t="s">
        <v>653</v>
      </c>
      <c r="B13" s="19" t="s">
        <v>221</v>
      </c>
      <c r="C13" s="19" t="s">
        <v>1579</v>
      </c>
      <c r="D13" s="21" t="s">
        <v>1258</v>
      </c>
      <c r="E13" s="23"/>
      <c r="F13" s="21" t="s">
        <v>1269</v>
      </c>
      <c r="G13" s="23"/>
      <c r="H13" s="21" t="s">
        <v>1269</v>
      </c>
      <c r="I13" s="23"/>
      <c r="J13" s="21" t="s">
        <v>1269</v>
      </c>
      <c r="K13" s="23"/>
      <c r="L13" s="21" t="s">
        <v>1269</v>
      </c>
      <c r="M13" s="23"/>
      <c r="N13" s="21" t="s">
        <v>1269</v>
      </c>
      <c r="O13" s="23"/>
      <c r="P13" s="21" t="s">
        <v>1258</v>
      </c>
      <c r="Q13" s="23"/>
      <c r="R13" s="21" t="s">
        <v>1269</v>
      </c>
      <c r="S13" s="23"/>
      <c r="T13" s="21" t="s">
        <v>1269</v>
      </c>
      <c r="U13" s="23"/>
      <c r="V13" s="21" t="s">
        <v>1269</v>
      </c>
      <c r="W13" s="23"/>
      <c r="X13" s="21" t="s">
        <v>1269</v>
      </c>
      <c r="Y13" s="23"/>
      <c r="Z13" s="21" t="s">
        <v>1269</v>
      </c>
      <c r="AA13" s="23"/>
      <c r="AB13" s="21" t="s">
        <v>1269</v>
      </c>
      <c r="AC13" s="23"/>
      <c r="AD13" s="21" t="s">
        <v>1269</v>
      </c>
      <c r="AE13" s="23"/>
      <c r="AF13" s="21" t="s">
        <v>1269</v>
      </c>
      <c r="AG13" s="23"/>
      <c r="AH13" s="21" t="s">
        <v>1269</v>
      </c>
      <c r="AI13" s="23"/>
      <c r="AJ13" s="21" t="s">
        <v>1269</v>
      </c>
      <c r="AK13" s="23"/>
      <c r="AL13" s="21" t="s">
        <v>1269</v>
      </c>
      <c r="AM13" s="23"/>
      <c r="AN13" s="21" t="s">
        <v>1269</v>
      </c>
      <c r="AO13" s="23"/>
      <c r="AP13" s="21" t="s">
        <v>1269</v>
      </c>
      <c r="AQ13" s="23"/>
      <c r="AR13" s="21" t="s">
        <v>1269</v>
      </c>
      <c r="AS13" s="23"/>
      <c r="AT13" s="21" t="s">
        <v>1269</v>
      </c>
      <c r="AU13" s="23"/>
      <c r="AV13" s="21" t="s">
        <v>1269</v>
      </c>
      <c r="AW13" s="23"/>
      <c r="AX13" s="21" t="s">
        <v>1269</v>
      </c>
      <c r="AY13" s="23"/>
      <c r="AZ13" s="21" t="s">
        <v>1269</v>
      </c>
      <c r="BA13" s="23"/>
      <c r="BB13" s="21" t="s">
        <v>1269</v>
      </c>
      <c r="BC13" s="23"/>
      <c r="BD13" s="21" t="s">
        <v>1269</v>
      </c>
      <c r="BE13" s="23"/>
    </row>
    <row r="14" spans="1:57" x14ac:dyDescent="0.25">
      <c r="A14" s="19" t="s">
        <v>653</v>
      </c>
      <c r="B14" s="19" t="s">
        <v>293</v>
      </c>
      <c r="C14" s="19" t="s">
        <v>1580</v>
      </c>
      <c r="D14" s="21" t="s">
        <v>1258</v>
      </c>
      <c r="E14" s="23"/>
      <c r="F14" s="21" t="s">
        <v>1269</v>
      </c>
      <c r="G14" s="23"/>
      <c r="H14" s="21" t="s">
        <v>1269</v>
      </c>
      <c r="I14" s="23"/>
      <c r="J14" s="21" t="s">
        <v>1269</v>
      </c>
      <c r="K14" s="23"/>
      <c r="L14" s="21" t="s">
        <v>1269</v>
      </c>
      <c r="M14" s="23"/>
      <c r="N14" s="21" t="s">
        <v>1269</v>
      </c>
      <c r="O14" s="23"/>
      <c r="P14" s="21" t="s">
        <v>1258</v>
      </c>
      <c r="Q14" s="23"/>
      <c r="R14" s="21" t="s">
        <v>1269</v>
      </c>
      <c r="S14" s="23"/>
      <c r="T14" s="21" t="s">
        <v>1269</v>
      </c>
      <c r="U14" s="23"/>
      <c r="V14" s="21" t="s">
        <v>1269</v>
      </c>
      <c r="W14" s="23"/>
      <c r="X14" s="21" t="s">
        <v>1269</v>
      </c>
      <c r="Y14" s="23"/>
      <c r="Z14" s="21" t="s">
        <v>1269</v>
      </c>
      <c r="AA14" s="23"/>
      <c r="AB14" s="21" t="s">
        <v>1269</v>
      </c>
      <c r="AC14" s="23"/>
      <c r="AD14" s="21" t="s">
        <v>1269</v>
      </c>
      <c r="AE14" s="23"/>
      <c r="AF14" s="21" t="s">
        <v>1269</v>
      </c>
      <c r="AG14" s="23"/>
      <c r="AH14" s="21" t="s">
        <v>1269</v>
      </c>
      <c r="AI14" s="23"/>
      <c r="AJ14" s="21" t="s">
        <v>1269</v>
      </c>
      <c r="AK14" s="23"/>
      <c r="AL14" s="21" t="s">
        <v>1269</v>
      </c>
      <c r="AM14" s="23"/>
      <c r="AN14" s="21" t="s">
        <v>1269</v>
      </c>
      <c r="AO14" s="23"/>
      <c r="AP14" s="21" t="s">
        <v>1269</v>
      </c>
      <c r="AQ14" s="23"/>
      <c r="AR14" s="21" t="s">
        <v>1269</v>
      </c>
      <c r="AS14" s="23"/>
      <c r="AT14" s="21" t="s">
        <v>1269</v>
      </c>
      <c r="AU14" s="23"/>
      <c r="AV14" s="21" t="s">
        <v>1269</v>
      </c>
      <c r="AW14" s="23"/>
      <c r="AX14" s="21" t="s">
        <v>1269</v>
      </c>
      <c r="AY14" s="23"/>
      <c r="AZ14" s="21" t="s">
        <v>1269</v>
      </c>
      <c r="BA14" s="23"/>
      <c r="BB14" s="21" t="s">
        <v>1269</v>
      </c>
      <c r="BC14" s="23"/>
      <c r="BD14" s="21" t="s">
        <v>1269</v>
      </c>
      <c r="BE14" s="23"/>
    </row>
    <row r="15" spans="1:57" x14ac:dyDescent="0.25">
      <c r="A15" s="19" t="s">
        <v>653</v>
      </c>
      <c r="B15" s="19" t="s">
        <v>366</v>
      </c>
      <c r="C15" s="19" t="s">
        <v>1581</v>
      </c>
      <c r="D15" s="21" t="s">
        <v>1258</v>
      </c>
      <c r="E15" s="23"/>
      <c r="F15" s="21" t="s">
        <v>1269</v>
      </c>
      <c r="G15" s="23"/>
      <c r="H15" s="21" t="s">
        <v>1269</v>
      </c>
      <c r="I15" s="23"/>
      <c r="J15" s="21" t="s">
        <v>1269</v>
      </c>
      <c r="K15" s="23"/>
      <c r="L15" s="21" t="s">
        <v>1269</v>
      </c>
      <c r="M15" s="23"/>
      <c r="N15" s="21" t="s">
        <v>1269</v>
      </c>
      <c r="O15" s="23"/>
      <c r="P15" s="21" t="s">
        <v>1258</v>
      </c>
      <c r="Q15" s="23"/>
      <c r="R15" s="21" t="s">
        <v>1269</v>
      </c>
      <c r="S15" s="23"/>
      <c r="T15" s="21" t="s">
        <v>1269</v>
      </c>
      <c r="U15" s="23"/>
      <c r="V15" s="21" t="s">
        <v>1269</v>
      </c>
      <c r="W15" s="23"/>
      <c r="X15" s="21" t="s">
        <v>1269</v>
      </c>
      <c r="Y15" s="23"/>
      <c r="Z15" s="21" t="s">
        <v>1269</v>
      </c>
      <c r="AA15" s="23"/>
      <c r="AB15" s="21" t="s">
        <v>1269</v>
      </c>
      <c r="AC15" s="23"/>
      <c r="AD15" s="21" t="s">
        <v>1269</v>
      </c>
      <c r="AE15" s="23"/>
      <c r="AF15" s="21" t="s">
        <v>1269</v>
      </c>
      <c r="AG15" s="23"/>
      <c r="AH15" s="21" t="s">
        <v>1269</v>
      </c>
      <c r="AI15" s="23"/>
      <c r="AJ15" s="21" t="s">
        <v>1269</v>
      </c>
      <c r="AK15" s="23"/>
      <c r="AL15" s="21" t="s">
        <v>1269</v>
      </c>
      <c r="AM15" s="23"/>
      <c r="AN15" s="21" t="s">
        <v>1269</v>
      </c>
      <c r="AO15" s="23"/>
      <c r="AP15" s="21" t="s">
        <v>1269</v>
      </c>
      <c r="AQ15" s="23"/>
      <c r="AR15" s="21" t="s">
        <v>1269</v>
      </c>
      <c r="AS15" s="23"/>
      <c r="AT15" s="21" t="s">
        <v>1269</v>
      </c>
      <c r="AU15" s="23"/>
      <c r="AV15" s="21" t="s">
        <v>1269</v>
      </c>
      <c r="AW15" s="23"/>
      <c r="AX15" s="21" t="s">
        <v>1269</v>
      </c>
      <c r="AY15" s="23"/>
      <c r="AZ15" s="21" t="s">
        <v>1269</v>
      </c>
      <c r="BA15" s="23"/>
      <c r="BB15" s="21" t="s">
        <v>1269</v>
      </c>
      <c r="BC15" s="23"/>
      <c r="BD15" s="21" t="s">
        <v>1269</v>
      </c>
      <c r="BE15" s="23"/>
    </row>
    <row r="16" spans="1:57" x14ac:dyDescent="0.25">
      <c r="A16" s="19" t="s">
        <v>653</v>
      </c>
      <c r="B16" s="19" t="s">
        <v>437</v>
      </c>
      <c r="C16" s="19" t="s">
        <v>1582</v>
      </c>
      <c r="D16" s="21" t="s">
        <v>1258</v>
      </c>
      <c r="E16" s="23"/>
      <c r="F16" s="21" t="s">
        <v>1269</v>
      </c>
      <c r="G16" s="23"/>
      <c r="H16" s="21" t="s">
        <v>1269</v>
      </c>
      <c r="I16" s="23"/>
      <c r="J16" s="21" t="s">
        <v>1269</v>
      </c>
      <c r="K16" s="23"/>
      <c r="L16" s="21" t="s">
        <v>1269</v>
      </c>
      <c r="M16" s="23"/>
      <c r="N16" s="21" t="s">
        <v>1269</v>
      </c>
      <c r="O16" s="23"/>
      <c r="P16" s="21" t="s">
        <v>1258</v>
      </c>
      <c r="Q16" s="23"/>
      <c r="R16" s="21" t="s">
        <v>1269</v>
      </c>
      <c r="S16" s="23"/>
      <c r="T16" s="21" t="s">
        <v>1269</v>
      </c>
      <c r="U16" s="23"/>
      <c r="V16" s="21" t="s">
        <v>1269</v>
      </c>
      <c r="W16" s="23"/>
      <c r="X16" s="21" t="s">
        <v>1269</v>
      </c>
      <c r="Y16" s="23"/>
      <c r="Z16" s="21" t="s">
        <v>1269</v>
      </c>
      <c r="AA16" s="23"/>
      <c r="AB16" s="21" t="s">
        <v>1269</v>
      </c>
      <c r="AC16" s="23"/>
      <c r="AD16" s="21" t="s">
        <v>1269</v>
      </c>
      <c r="AE16" s="23"/>
      <c r="AF16" s="21" t="s">
        <v>1269</v>
      </c>
      <c r="AG16" s="23"/>
      <c r="AH16" s="21" t="s">
        <v>1269</v>
      </c>
      <c r="AI16" s="23"/>
      <c r="AJ16" s="21" t="s">
        <v>1269</v>
      </c>
      <c r="AK16" s="23"/>
      <c r="AL16" s="21" t="s">
        <v>1269</v>
      </c>
      <c r="AM16" s="23"/>
      <c r="AN16" s="21" t="s">
        <v>1269</v>
      </c>
      <c r="AO16" s="23"/>
      <c r="AP16" s="21" t="s">
        <v>1269</v>
      </c>
      <c r="AQ16" s="23"/>
      <c r="AR16" s="21" t="s">
        <v>1269</v>
      </c>
      <c r="AS16" s="23"/>
      <c r="AT16" s="21" t="s">
        <v>1269</v>
      </c>
      <c r="AU16" s="23"/>
      <c r="AV16" s="21" t="s">
        <v>1269</v>
      </c>
      <c r="AW16" s="23"/>
      <c r="AX16" s="21" t="s">
        <v>1269</v>
      </c>
      <c r="AY16" s="23"/>
      <c r="AZ16" s="21" t="s">
        <v>1269</v>
      </c>
      <c r="BA16" s="23"/>
      <c r="BB16" s="21" t="s">
        <v>1269</v>
      </c>
      <c r="BC16" s="23"/>
      <c r="BD16" s="21" t="s">
        <v>1269</v>
      </c>
      <c r="BE16" s="23"/>
    </row>
    <row r="17" spans="1:57" x14ac:dyDescent="0.25">
      <c r="A17" s="19" t="s">
        <v>653</v>
      </c>
      <c r="B17" s="19" t="s">
        <v>511</v>
      </c>
      <c r="C17" s="19" t="s">
        <v>1583</v>
      </c>
      <c r="D17" s="21" t="s">
        <v>1258</v>
      </c>
      <c r="E17" s="23"/>
      <c r="F17" s="21" t="s">
        <v>1269</v>
      </c>
      <c r="G17" s="23"/>
      <c r="H17" s="21" t="s">
        <v>1269</v>
      </c>
      <c r="I17" s="23"/>
      <c r="J17" s="21" t="s">
        <v>1269</v>
      </c>
      <c r="K17" s="23"/>
      <c r="L17" s="21" t="s">
        <v>1269</v>
      </c>
      <c r="M17" s="23"/>
      <c r="N17" s="21" t="s">
        <v>1269</v>
      </c>
      <c r="O17" s="23"/>
      <c r="P17" s="21" t="s">
        <v>1258</v>
      </c>
      <c r="Q17" s="23"/>
      <c r="R17" s="21" t="s">
        <v>1269</v>
      </c>
      <c r="S17" s="23"/>
      <c r="T17" s="21" t="s">
        <v>1269</v>
      </c>
      <c r="U17" s="23"/>
      <c r="V17" s="21" t="s">
        <v>1269</v>
      </c>
      <c r="W17" s="23"/>
      <c r="X17" s="21" t="s">
        <v>1269</v>
      </c>
      <c r="Y17" s="23"/>
      <c r="Z17" s="21" t="s">
        <v>1269</v>
      </c>
      <c r="AA17" s="23"/>
      <c r="AB17" s="21" t="s">
        <v>1269</v>
      </c>
      <c r="AC17" s="23"/>
      <c r="AD17" s="21" t="s">
        <v>1269</v>
      </c>
      <c r="AE17" s="23"/>
      <c r="AF17" s="21" t="s">
        <v>1269</v>
      </c>
      <c r="AG17" s="23"/>
      <c r="AH17" s="21" t="s">
        <v>1269</v>
      </c>
      <c r="AI17" s="23"/>
      <c r="AJ17" s="21" t="s">
        <v>1269</v>
      </c>
      <c r="AK17" s="23"/>
      <c r="AL17" s="21" t="s">
        <v>1269</v>
      </c>
      <c r="AM17" s="23"/>
      <c r="AN17" s="21" t="s">
        <v>1269</v>
      </c>
      <c r="AO17" s="23"/>
      <c r="AP17" s="21" t="s">
        <v>1269</v>
      </c>
      <c r="AQ17" s="23"/>
      <c r="AR17" s="21" t="s">
        <v>1269</v>
      </c>
      <c r="AS17" s="23"/>
      <c r="AT17" s="21" t="s">
        <v>1269</v>
      </c>
      <c r="AU17" s="23"/>
      <c r="AV17" s="21" t="s">
        <v>1269</v>
      </c>
      <c r="AW17" s="23"/>
      <c r="AX17" s="21" t="s">
        <v>1269</v>
      </c>
      <c r="AY17" s="23"/>
      <c r="AZ17" s="21" t="s">
        <v>1269</v>
      </c>
      <c r="BA17" s="23"/>
      <c r="BB17" s="21" t="s">
        <v>1269</v>
      </c>
      <c r="BC17" s="23"/>
      <c r="BD17" s="21" t="s">
        <v>1269</v>
      </c>
      <c r="BE17" s="23"/>
    </row>
    <row r="18" spans="1:57" x14ac:dyDescent="0.25">
      <c r="A18" s="19" t="s">
        <v>653</v>
      </c>
      <c r="B18" s="19" t="s">
        <v>582</v>
      </c>
      <c r="C18" s="19" t="s">
        <v>1584</v>
      </c>
      <c r="D18" s="21" t="s">
        <v>1258</v>
      </c>
      <c r="E18" s="23"/>
      <c r="F18" s="21" t="s">
        <v>1269</v>
      </c>
      <c r="G18" s="23"/>
      <c r="H18" s="21" t="s">
        <v>1269</v>
      </c>
      <c r="I18" s="23"/>
      <c r="J18" s="21" t="s">
        <v>1269</v>
      </c>
      <c r="K18" s="23"/>
      <c r="L18" s="21" t="s">
        <v>1269</v>
      </c>
      <c r="M18" s="23"/>
      <c r="N18" s="21" t="s">
        <v>1269</v>
      </c>
      <c r="O18" s="23"/>
      <c r="P18" s="21" t="s">
        <v>1258</v>
      </c>
      <c r="Q18" s="23"/>
      <c r="R18" s="21" t="s">
        <v>1269</v>
      </c>
      <c r="S18" s="23"/>
      <c r="T18" s="21" t="s">
        <v>1269</v>
      </c>
      <c r="U18" s="23"/>
      <c r="V18" s="21" t="s">
        <v>1269</v>
      </c>
      <c r="W18" s="23"/>
      <c r="X18" s="21" t="s">
        <v>1269</v>
      </c>
      <c r="Y18" s="23"/>
      <c r="Z18" s="21" t="s">
        <v>1269</v>
      </c>
      <c r="AA18" s="23"/>
      <c r="AB18" s="21" t="s">
        <v>1269</v>
      </c>
      <c r="AC18" s="23"/>
      <c r="AD18" s="21" t="s">
        <v>1269</v>
      </c>
      <c r="AE18" s="23"/>
      <c r="AF18" s="21" t="s">
        <v>1269</v>
      </c>
      <c r="AG18" s="23"/>
      <c r="AH18" s="21" t="s">
        <v>1269</v>
      </c>
      <c r="AI18" s="23"/>
      <c r="AJ18" s="21" t="s">
        <v>1269</v>
      </c>
      <c r="AK18" s="23"/>
      <c r="AL18" s="21" t="s">
        <v>1269</v>
      </c>
      <c r="AM18" s="23"/>
      <c r="AN18" s="21" t="s">
        <v>1269</v>
      </c>
      <c r="AO18" s="23"/>
      <c r="AP18" s="21" t="s">
        <v>1269</v>
      </c>
      <c r="AQ18" s="23"/>
      <c r="AR18" s="21" t="s">
        <v>1269</v>
      </c>
      <c r="AS18" s="23"/>
      <c r="AT18" s="21" t="s">
        <v>1269</v>
      </c>
      <c r="AU18" s="23"/>
      <c r="AV18" s="21" t="s">
        <v>1269</v>
      </c>
      <c r="AW18" s="23"/>
      <c r="AX18" s="21" t="s">
        <v>1269</v>
      </c>
      <c r="AY18" s="23"/>
      <c r="AZ18" s="21" t="s">
        <v>1269</v>
      </c>
      <c r="BA18" s="23"/>
      <c r="BB18" s="21" t="s">
        <v>1269</v>
      </c>
      <c r="BC18" s="23"/>
      <c r="BD18" s="21" t="s">
        <v>1269</v>
      </c>
      <c r="BE18" s="23"/>
    </row>
  </sheetData>
  <sheetProtection password="D6EA" sheet="1" objects="1" scenarios="1" formatCells="0" formatColumns="0" formatRows="0" sort="0" autoFilter="0"/>
  <conditionalFormatting sqref="D2:D18">
    <cfRule type="expression" dxfId="165" priority="1" stopIfTrue="1">
      <formula>TRIM(UPPER(D2))="A"</formula>
    </cfRule>
    <cfRule type="expression" dxfId="164" priority="2" stopIfTrue="1">
      <formula>TRIM(UPPER(D2))="B"</formula>
    </cfRule>
    <cfRule type="expression" dxfId="163" priority="3" stopIfTrue="1">
      <formula>TRIM(UPPER(D2))="UR"</formula>
    </cfRule>
    <cfRule type="expression" dxfId="162" priority="4" stopIfTrue="1">
      <formula>TRIM(UPPER(D2))="C"</formula>
    </cfRule>
    <cfRule type="expression" dxfId="161" priority="5" stopIfTrue="1">
      <formula>TRIM(UPPER(D2))="TBS"</formula>
    </cfRule>
  </conditionalFormatting>
  <conditionalFormatting sqref="F2:F18">
    <cfRule type="expression" dxfId="160" priority="6" stopIfTrue="1">
      <formula>TRIM(UPPER(F2))="A"</formula>
    </cfRule>
    <cfRule type="expression" dxfId="159" priority="7" stopIfTrue="1">
      <formula>TRIM(UPPER(F2))="B"</formula>
    </cfRule>
    <cfRule type="expression" dxfId="158" priority="8" stopIfTrue="1">
      <formula>TRIM(UPPER(F2))="UR"</formula>
    </cfRule>
    <cfRule type="expression" dxfId="157" priority="9" stopIfTrue="1">
      <formula>TRIM(UPPER(F2))="C"</formula>
    </cfRule>
    <cfRule type="expression" dxfId="156" priority="10" stopIfTrue="1">
      <formula>TRIM(UPPER(F2))="TBS"</formula>
    </cfRule>
  </conditionalFormatting>
  <conditionalFormatting sqref="H2:H18">
    <cfRule type="expression" dxfId="155" priority="11" stopIfTrue="1">
      <formula>TRIM(UPPER(H2))="A"</formula>
    </cfRule>
    <cfRule type="expression" dxfId="154" priority="12" stopIfTrue="1">
      <formula>TRIM(UPPER(H2))="B"</formula>
    </cfRule>
    <cfRule type="expression" dxfId="153" priority="13" stopIfTrue="1">
      <formula>TRIM(UPPER(H2))="UR"</formula>
    </cfRule>
    <cfRule type="expression" dxfId="152" priority="14" stopIfTrue="1">
      <formula>TRIM(UPPER(H2))="C"</formula>
    </cfRule>
    <cfRule type="expression" dxfId="151" priority="15" stopIfTrue="1">
      <formula>TRIM(UPPER(H2))="TBS"</formula>
    </cfRule>
  </conditionalFormatting>
  <conditionalFormatting sqref="J2:J18">
    <cfRule type="expression" dxfId="150" priority="16" stopIfTrue="1">
      <formula>TRIM(UPPER(J2))="A"</formula>
    </cfRule>
    <cfRule type="expression" dxfId="149" priority="17" stopIfTrue="1">
      <formula>TRIM(UPPER(J2))="B"</formula>
    </cfRule>
    <cfRule type="expression" dxfId="148" priority="18" stopIfTrue="1">
      <formula>TRIM(UPPER(J2))="UR"</formula>
    </cfRule>
    <cfRule type="expression" dxfId="147" priority="19" stopIfTrue="1">
      <formula>TRIM(UPPER(J2))="C"</formula>
    </cfRule>
    <cfRule type="expression" dxfId="146" priority="20" stopIfTrue="1">
      <formula>TRIM(UPPER(J2))="TBS"</formula>
    </cfRule>
  </conditionalFormatting>
  <conditionalFormatting sqref="L2:L18">
    <cfRule type="expression" dxfId="145" priority="21" stopIfTrue="1">
      <formula>TRIM(UPPER(L2))="A"</formula>
    </cfRule>
    <cfRule type="expression" dxfId="144" priority="22" stopIfTrue="1">
      <formula>TRIM(UPPER(L2))="B"</formula>
    </cfRule>
    <cfRule type="expression" dxfId="143" priority="23" stopIfTrue="1">
      <formula>TRIM(UPPER(L2))="UR"</formula>
    </cfRule>
    <cfRule type="expression" dxfId="142" priority="24" stopIfTrue="1">
      <formula>TRIM(UPPER(L2))="C"</formula>
    </cfRule>
    <cfRule type="expression" dxfId="141" priority="25" stopIfTrue="1">
      <formula>TRIM(UPPER(L2))="TBS"</formula>
    </cfRule>
  </conditionalFormatting>
  <conditionalFormatting sqref="N2:N18">
    <cfRule type="expression" dxfId="140" priority="26" stopIfTrue="1">
      <formula>TRIM(UPPER(N2))="A"</formula>
    </cfRule>
    <cfRule type="expression" dxfId="139" priority="27" stopIfTrue="1">
      <formula>TRIM(UPPER(N2))="B"</formula>
    </cfRule>
    <cfRule type="expression" dxfId="138" priority="28" stopIfTrue="1">
      <formula>TRIM(UPPER(N2))="UR"</formula>
    </cfRule>
    <cfRule type="expression" dxfId="137" priority="29" stopIfTrue="1">
      <formula>TRIM(UPPER(N2))="C"</formula>
    </cfRule>
    <cfRule type="expression" dxfId="136" priority="30" stopIfTrue="1">
      <formula>TRIM(UPPER(N2))="TBS"</formula>
    </cfRule>
  </conditionalFormatting>
  <conditionalFormatting sqref="P2:P18">
    <cfRule type="expression" dxfId="135" priority="31" stopIfTrue="1">
      <formula>TRIM(UPPER(P2))="A"</formula>
    </cfRule>
    <cfRule type="expression" dxfId="134" priority="32" stopIfTrue="1">
      <formula>TRIM(UPPER(P2))="B"</formula>
    </cfRule>
    <cfRule type="expression" dxfId="133" priority="33" stopIfTrue="1">
      <formula>TRIM(UPPER(P2))="UR"</formula>
    </cfRule>
    <cfRule type="expression" dxfId="132" priority="34" stopIfTrue="1">
      <formula>TRIM(UPPER(P2))="C"</formula>
    </cfRule>
    <cfRule type="expression" dxfId="131" priority="35" stopIfTrue="1">
      <formula>TRIM(UPPER(P2))="TBS"</formula>
    </cfRule>
  </conditionalFormatting>
  <conditionalFormatting sqref="R2:R18">
    <cfRule type="expression" dxfId="130" priority="36" stopIfTrue="1">
      <formula>TRIM(UPPER(R2))="A"</formula>
    </cfRule>
    <cfRule type="expression" dxfId="129" priority="37" stopIfTrue="1">
      <formula>TRIM(UPPER(R2))="B"</formula>
    </cfRule>
    <cfRule type="expression" dxfId="128" priority="38" stopIfTrue="1">
      <formula>TRIM(UPPER(R2))="UR"</formula>
    </cfRule>
    <cfRule type="expression" dxfId="127" priority="39" stopIfTrue="1">
      <formula>TRIM(UPPER(R2))="C"</formula>
    </cfRule>
    <cfRule type="expression" dxfId="126" priority="40" stopIfTrue="1">
      <formula>TRIM(UPPER(R2))="TBS"</formula>
    </cfRule>
  </conditionalFormatting>
  <conditionalFormatting sqref="T2:T18">
    <cfRule type="expression" dxfId="125" priority="41" stopIfTrue="1">
      <formula>TRIM(UPPER(T2))="A"</formula>
    </cfRule>
    <cfRule type="expression" dxfId="124" priority="42" stopIfTrue="1">
      <formula>TRIM(UPPER(T2))="B"</formula>
    </cfRule>
    <cfRule type="expression" dxfId="123" priority="43" stopIfTrue="1">
      <formula>TRIM(UPPER(T2))="UR"</formula>
    </cfRule>
    <cfRule type="expression" dxfId="122" priority="44" stopIfTrue="1">
      <formula>TRIM(UPPER(T2))="C"</formula>
    </cfRule>
    <cfRule type="expression" dxfId="121" priority="45" stopIfTrue="1">
      <formula>TRIM(UPPER(T2))="TBS"</formula>
    </cfRule>
  </conditionalFormatting>
  <conditionalFormatting sqref="V2:V18">
    <cfRule type="expression" dxfId="120" priority="46" stopIfTrue="1">
      <formula>TRIM(UPPER(V2))="A"</formula>
    </cfRule>
    <cfRule type="expression" dxfId="119" priority="47" stopIfTrue="1">
      <formula>TRIM(UPPER(V2))="B"</formula>
    </cfRule>
    <cfRule type="expression" dxfId="118" priority="48" stopIfTrue="1">
      <formula>TRIM(UPPER(V2))="UR"</formula>
    </cfRule>
    <cfRule type="expression" dxfId="117" priority="49" stopIfTrue="1">
      <formula>TRIM(UPPER(V2))="C"</formula>
    </cfRule>
    <cfRule type="expression" dxfId="116" priority="50" stopIfTrue="1">
      <formula>TRIM(UPPER(V2))="TBS"</formula>
    </cfRule>
  </conditionalFormatting>
  <conditionalFormatting sqref="X2:X18">
    <cfRule type="expression" dxfId="115" priority="51" stopIfTrue="1">
      <formula>TRIM(UPPER(X2))="A"</formula>
    </cfRule>
    <cfRule type="expression" dxfId="114" priority="52" stopIfTrue="1">
      <formula>TRIM(UPPER(X2))="B"</formula>
    </cfRule>
    <cfRule type="expression" dxfId="113" priority="53" stopIfTrue="1">
      <formula>TRIM(UPPER(X2))="UR"</formula>
    </cfRule>
    <cfRule type="expression" dxfId="112" priority="54" stopIfTrue="1">
      <formula>TRIM(UPPER(X2))="C"</formula>
    </cfRule>
    <cfRule type="expression" dxfId="111" priority="55" stopIfTrue="1">
      <formula>TRIM(UPPER(X2))="TBS"</formula>
    </cfRule>
  </conditionalFormatting>
  <conditionalFormatting sqref="Z2:Z18">
    <cfRule type="expression" dxfId="110" priority="56" stopIfTrue="1">
      <formula>TRIM(UPPER(Z2))="A"</formula>
    </cfRule>
    <cfRule type="expression" dxfId="109" priority="57" stopIfTrue="1">
      <formula>TRIM(UPPER(Z2))="B"</formula>
    </cfRule>
    <cfRule type="expression" dxfId="108" priority="58" stopIfTrue="1">
      <formula>TRIM(UPPER(Z2))="UR"</formula>
    </cfRule>
    <cfRule type="expression" dxfId="107" priority="59" stopIfTrue="1">
      <formula>TRIM(UPPER(Z2))="C"</formula>
    </cfRule>
    <cfRule type="expression" dxfId="106" priority="60" stopIfTrue="1">
      <formula>TRIM(UPPER(Z2))="TBS"</formula>
    </cfRule>
  </conditionalFormatting>
  <conditionalFormatting sqref="AB2:AB18">
    <cfRule type="expression" dxfId="105" priority="61" stopIfTrue="1">
      <formula>TRIM(UPPER(AB2))="A"</formula>
    </cfRule>
    <cfRule type="expression" dxfId="104" priority="62" stopIfTrue="1">
      <formula>TRIM(UPPER(AB2))="B"</formula>
    </cfRule>
    <cfRule type="expression" dxfId="103" priority="63" stopIfTrue="1">
      <formula>TRIM(UPPER(AB2))="UR"</formula>
    </cfRule>
    <cfRule type="expression" dxfId="102" priority="64" stopIfTrue="1">
      <formula>TRIM(UPPER(AB2))="C"</formula>
    </cfRule>
    <cfRule type="expression" dxfId="101" priority="65" stopIfTrue="1">
      <formula>TRIM(UPPER(AB2))="TBS"</formula>
    </cfRule>
  </conditionalFormatting>
  <conditionalFormatting sqref="AD2:AD18">
    <cfRule type="expression" dxfId="100" priority="66" stopIfTrue="1">
      <formula>TRIM(UPPER(AD2))="A"</formula>
    </cfRule>
    <cfRule type="expression" dxfId="99" priority="67" stopIfTrue="1">
      <formula>TRIM(UPPER(AD2))="B"</formula>
    </cfRule>
    <cfRule type="expression" dxfId="98" priority="68" stopIfTrue="1">
      <formula>TRIM(UPPER(AD2))="UR"</formula>
    </cfRule>
    <cfRule type="expression" dxfId="97" priority="69" stopIfTrue="1">
      <formula>TRIM(UPPER(AD2))="C"</formula>
    </cfRule>
    <cfRule type="expression" dxfId="96" priority="70" stopIfTrue="1">
      <formula>TRIM(UPPER(AD2))="TBS"</formula>
    </cfRule>
  </conditionalFormatting>
  <conditionalFormatting sqref="AF2:AF18">
    <cfRule type="expression" dxfId="95" priority="71" stopIfTrue="1">
      <formula>TRIM(UPPER(AF2))="A"</formula>
    </cfRule>
    <cfRule type="expression" dxfId="94" priority="72" stopIfTrue="1">
      <formula>TRIM(UPPER(AF2))="B"</formula>
    </cfRule>
    <cfRule type="expression" dxfId="93" priority="73" stopIfTrue="1">
      <formula>TRIM(UPPER(AF2))="UR"</formula>
    </cfRule>
    <cfRule type="expression" dxfId="92" priority="74" stopIfTrue="1">
      <formula>TRIM(UPPER(AF2))="C"</formula>
    </cfRule>
    <cfRule type="expression" dxfId="91" priority="75" stopIfTrue="1">
      <formula>TRIM(UPPER(AF2))="TBS"</formula>
    </cfRule>
  </conditionalFormatting>
  <conditionalFormatting sqref="AH2:AH18">
    <cfRule type="expression" dxfId="90" priority="76" stopIfTrue="1">
      <formula>TRIM(UPPER(AH2))="A"</formula>
    </cfRule>
    <cfRule type="expression" dxfId="89" priority="77" stopIfTrue="1">
      <formula>TRIM(UPPER(AH2))="B"</formula>
    </cfRule>
    <cfRule type="expression" dxfId="88" priority="78" stopIfTrue="1">
      <formula>TRIM(UPPER(AH2))="UR"</formula>
    </cfRule>
    <cfRule type="expression" dxfId="87" priority="79" stopIfTrue="1">
      <formula>TRIM(UPPER(AH2))="C"</formula>
    </cfRule>
    <cfRule type="expression" dxfId="86" priority="80" stopIfTrue="1">
      <formula>TRIM(UPPER(AH2))="TBS"</formula>
    </cfRule>
  </conditionalFormatting>
  <conditionalFormatting sqref="AJ2:AJ18">
    <cfRule type="expression" dxfId="85" priority="81" stopIfTrue="1">
      <formula>TRIM(UPPER(AJ2))="A"</formula>
    </cfRule>
    <cfRule type="expression" dxfId="84" priority="82" stopIfTrue="1">
      <formula>TRIM(UPPER(AJ2))="B"</formula>
    </cfRule>
    <cfRule type="expression" dxfId="83" priority="83" stopIfTrue="1">
      <formula>TRIM(UPPER(AJ2))="UR"</formula>
    </cfRule>
    <cfRule type="expression" dxfId="82" priority="84" stopIfTrue="1">
      <formula>TRIM(UPPER(AJ2))="C"</formula>
    </cfRule>
    <cfRule type="expression" dxfId="81" priority="85" stopIfTrue="1">
      <formula>TRIM(UPPER(AJ2))="TBS"</formula>
    </cfRule>
  </conditionalFormatting>
  <conditionalFormatting sqref="AL2:AL18">
    <cfRule type="expression" dxfId="80" priority="86" stopIfTrue="1">
      <formula>TRIM(UPPER(AL2))="A"</formula>
    </cfRule>
    <cfRule type="expression" dxfId="79" priority="87" stopIfTrue="1">
      <formula>TRIM(UPPER(AL2))="B"</formula>
    </cfRule>
    <cfRule type="expression" dxfId="78" priority="88" stopIfTrue="1">
      <formula>TRIM(UPPER(AL2))="UR"</formula>
    </cfRule>
    <cfRule type="expression" dxfId="77" priority="89" stopIfTrue="1">
      <formula>TRIM(UPPER(AL2))="C"</formula>
    </cfRule>
    <cfRule type="expression" dxfId="76" priority="90" stopIfTrue="1">
      <formula>TRIM(UPPER(AL2))="TBS"</formula>
    </cfRule>
  </conditionalFormatting>
  <conditionalFormatting sqref="AN2:AN18">
    <cfRule type="expression" dxfId="75" priority="91" stopIfTrue="1">
      <formula>TRIM(UPPER(AN2))="A"</formula>
    </cfRule>
    <cfRule type="expression" dxfId="74" priority="92" stopIfTrue="1">
      <formula>TRIM(UPPER(AN2))="B"</formula>
    </cfRule>
    <cfRule type="expression" dxfId="73" priority="93" stopIfTrue="1">
      <formula>TRIM(UPPER(AN2))="UR"</formula>
    </cfRule>
    <cfRule type="expression" dxfId="72" priority="94" stopIfTrue="1">
      <formula>TRIM(UPPER(AN2))="C"</formula>
    </cfRule>
    <cfRule type="expression" dxfId="71" priority="95" stopIfTrue="1">
      <formula>TRIM(UPPER(AN2))="TBS"</formula>
    </cfRule>
  </conditionalFormatting>
  <conditionalFormatting sqref="AP2:AP18">
    <cfRule type="expression" dxfId="70" priority="96" stopIfTrue="1">
      <formula>TRIM(UPPER(AP2))="A"</formula>
    </cfRule>
    <cfRule type="expression" dxfId="69" priority="97" stopIfTrue="1">
      <formula>TRIM(UPPER(AP2))="B"</formula>
    </cfRule>
    <cfRule type="expression" dxfId="68" priority="98" stopIfTrue="1">
      <formula>TRIM(UPPER(AP2))="UR"</formula>
    </cfRule>
    <cfRule type="expression" dxfId="67" priority="99" stopIfTrue="1">
      <formula>TRIM(UPPER(AP2))="C"</formula>
    </cfRule>
    <cfRule type="expression" dxfId="66" priority="100" stopIfTrue="1">
      <formula>TRIM(UPPER(AP2))="TBS"</formula>
    </cfRule>
  </conditionalFormatting>
  <conditionalFormatting sqref="AR2:AR18">
    <cfRule type="expression" dxfId="65" priority="101" stopIfTrue="1">
      <formula>TRIM(UPPER(AR2))="A"</formula>
    </cfRule>
    <cfRule type="expression" dxfId="64" priority="102" stopIfTrue="1">
      <formula>TRIM(UPPER(AR2))="B"</formula>
    </cfRule>
    <cfRule type="expression" dxfId="63" priority="103" stopIfTrue="1">
      <formula>TRIM(UPPER(AR2))="UR"</formula>
    </cfRule>
    <cfRule type="expression" dxfId="62" priority="104" stopIfTrue="1">
      <formula>TRIM(UPPER(AR2))="C"</formula>
    </cfRule>
    <cfRule type="expression" dxfId="61" priority="105" stopIfTrue="1">
      <formula>TRIM(UPPER(AR2))="TBS"</formula>
    </cfRule>
  </conditionalFormatting>
  <conditionalFormatting sqref="AT2:AT18">
    <cfRule type="expression" dxfId="60" priority="106" stopIfTrue="1">
      <formula>TRIM(UPPER(AT2))="A"</formula>
    </cfRule>
    <cfRule type="expression" dxfId="59" priority="107" stopIfTrue="1">
      <formula>TRIM(UPPER(AT2))="B"</formula>
    </cfRule>
    <cfRule type="expression" dxfId="58" priority="108" stopIfTrue="1">
      <formula>TRIM(UPPER(AT2))="UR"</formula>
    </cfRule>
    <cfRule type="expression" dxfId="57" priority="109" stopIfTrue="1">
      <formula>TRIM(UPPER(AT2))="C"</formula>
    </cfRule>
    <cfRule type="expression" dxfId="56" priority="110" stopIfTrue="1">
      <formula>TRIM(UPPER(AT2))="TBS"</formula>
    </cfRule>
  </conditionalFormatting>
  <conditionalFormatting sqref="AV2:AV18">
    <cfRule type="expression" dxfId="55" priority="111" stopIfTrue="1">
      <formula>TRIM(UPPER(AV2))="A"</formula>
    </cfRule>
    <cfRule type="expression" dxfId="54" priority="112" stopIfTrue="1">
      <formula>TRIM(UPPER(AV2))="B"</formula>
    </cfRule>
    <cfRule type="expression" dxfId="53" priority="113" stopIfTrue="1">
      <formula>TRIM(UPPER(AV2))="UR"</formula>
    </cfRule>
    <cfRule type="expression" dxfId="52" priority="114" stopIfTrue="1">
      <formula>TRIM(UPPER(AV2))="C"</formula>
    </cfRule>
    <cfRule type="expression" dxfId="51" priority="115" stopIfTrue="1">
      <formula>TRIM(UPPER(AV2))="TBS"</formula>
    </cfRule>
  </conditionalFormatting>
  <conditionalFormatting sqref="AX2:AX18">
    <cfRule type="expression" dxfId="50" priority="116" stopIfTrue="1">
      <formula>TRIM(UPPER(AX2))="A"</formula>
    </cfRule>
    <cfRule type="expression" dxfId="49" priority="117" stopIfTrue="1">
      <formula>TRIM(UPPER(AX2))="B"</formula>
    </cfRule>
    <cfRule type="expression" dxfId="48" priority="118" stopIfTrue="1">
      <formula>TRIM(UPPER(AX2))="UR"</formula>
    </cfRule>
    <cfRule type="expression" dxfId="47" priority="119" stopIfTrue="1">
      <formula>TRIM(UPPER(AX2))="C"</formula>
    </cfRule>
    <cfRule type="expression" dxfId="46" priority="120" stopIfTrue="1">
      <formula>TRIM(UPPER(AX2))="TBS"</formula>
    </cfRule>
  </conditionalFormatting>
  <conditionalFormatting sqref="AZ2:AZ18">
    <cfRule type="expression" dxfId="45" priority="121" stopIfTrue="1">
      <formula>TRIM(UPPER(AZ2))="A"</formula>
    </cfRule>
    <cfRule type="expression" dxfId="44" priority="122" stopIfTrue="1">
      <formula>TRIM(UPPER(AZ2))="B"</formula>
    </cfRule>
    <cfRule type="expression" dxfId="43" priority="123" stopIfTrue="1">
      <formula>TRIM(UPPER(AZ2))="UR"</formula>
    </cfRule>
    <cfRule type="expression" dxfId="42" priority="124" stopIfTrue="1">
      <formula>TRIM(UPPER(AZ2))="C"</formula>
    </cfRule>
    <cfRule type="expression" dxfId="41" priority="125" stopIfTrue="1">
      <formula>TRIM(UPPER(AZ2))="TBS"</formula>
    </cfRule>
  </conditionalFormatting>
  <conditionalFormatting sqref="BB2:BB18">
    <cfRule type="expression" dxfId="40" priority="126" stopIfTrue="1">
      <formula>TRIM(UPPER(BB2))="A"</formula>
    </cfRule>
    <cfRule type="expression" dxfId="39" priority="127" stopIfTrue="1">
      <formula>TRIM(UPPER(BB2))="B"</formula>
    </cfRule>
    <cfRule type="expression" dxfId="38" priority="128" stopIfTrue="1">
      <formula>TRIM(UPPER(BB2))="UR"</formula>
    </cfRule>
    <cfRule type="expression" dxfId="37" priority="129" stopIfTrue="1">
      <formula>TRIM(UPPER(BB2))="C"</formula>
    </cfRule>
    <cfRule type="expression" dxfId="36" priority="130" stopIfTrue="1">
      <formula>TRIM(UPPER(BB2))="TBS"</formula>
    </cfRule>
  </conditionalFormatting>
  <conditionalFormatting sqref="BD2:BD18">
    <cfRule type="expression" dxfId="35" priority="131" stopIfTrue="1">
      <formula>TRIM(UPPER(BD2))="A"</formula>
    </cfRule>
    <cfRule type="expression" dxfId="34" priority="132" stopIfTrue="1">
      <formula>TRIM(UPPER(BD2))="B"</formula>
    </cfRule>
    <cfRule type="expression" dxfId="33" priority="133" stopIfTrue="1">
      <formula>TRIM(UPPER(BD2))="UR"</formula>
    </cfRule>
    <cfRule type="expression" dxfId="32" priority="134" stopIfTrue="1">
      <formula>TRIM(UPPER(BD2))="C"</formula>
    </cfRule>
    <cfRule type="expression" dxfId="31" priority="135" stopIfTrue="1">
      <formula>TRIM(UPPER(BD2))="TBS"</formula>
    </cfRule>
  </conditionalFormatting>
  <dataValidations count="1">
    <dataValidation type="date" allowBlank="1" sqref="E2:E18 G2:G18 I2:I18 K2:K18 M2:M18 O2:O18 Q2:Q18 S2:S18 U2:U18 W2:W18 Y2:Y18 AA2:AA18 AC2:AC18 AE2:AE18 AG2:AG18 AI2:AI18 AK2:AK18 AM2:AM18 AO2:AO18 AQ2:AQ18 AS2:AS18 AU2:AU18 AW2:AW18 AY2:AY18 BA2:BA18 BC2:BC18 BE2:BE18" xr:uid="{00000000-0002-0000-0300-00000000000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Use A, B, UR, C or TBS" xr:uid="{00000000-0002-0000-0300-000001000000}">
          <x14:formula1>
            <xm:f>Lists!$A$2:$A$6</xm:f>
          </x14:formula1>
          <xm:sqref>D2:D18 F2:F18 H2:H18 J2:J18 L2:L18 N2:N18 P2:P18 R2:R18 T2:T18 V2:V18 X2:X18 Z2:Z18 AB2:AB18 AD2:AD18 AF2:AF18 AH2:AH18 AJ2:AJ18 AL2:AL18 AN2:AN18 AP2:AP18 AR2:AR18 AT2:AT18 AV2:AV18 AX2:AX18 AZ2:AZ18 BB2:BB18 BD2:BD18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54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5" width="13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2" customWidth="1"/>
  </cols>
  <sheetData>
    <row r="1" spans="1:17" ht="57.95" customHeight="1" x14ac:dyDescent="0.25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8" t="s">
        <v>1585</v>
      </c>
      <c r="G1" s="18" t="s">
        <v>1586</v>
      </c>
      <c r="H1" s="18" t="s">
        <v>1587</v>
      </c>
      <c r="I1" s="18" t="s">
        <v>1588</v>
      </c>
      <c r="J1" s="18" t="s">
        <v>1589</v>
      </c>
      <c r="K1" s="18" t="s">
        <v>1590</v>
      </c>
      <c r="L1" s="18" t="s">
        <v>1591</v>
      </c>
      <c r="M1" s="18" t="s">
        <v>1592</v>
      </c>
      <c r="N1" s="18" t="s">
        <v>1593</v>
      </c>
      <c r="O1" s="18" t="s">
        <v>1594</v>
      </c>
      <c r="P1" s="18" t="s">
        <v>1595</v>
      </c>
      <c r="Q1" s="18" t="s">
        <v>1596</v>
      </c>
    </row>
    <row r="2" spans="1:17" x14ac:dyDescent="0.25">
      <c r="A2" s="19" t="s">
        <v>44</v>
      </c>
      <c r="B2" s="19" t="s">
        <v>45</v>
      </c>
      <c r="C2" s="19" t="s">
        <v>46</v>
      </c>
      <c r="D2" s="19" t="s">
        <v>47</v>
      </c>
      <c r="E2" s="19" t="s">
        <v>48</v>
      </c>
      <c r="F2" s="21" t="s">
        <v>1269</v>
      </c>
      <c r="G2" s="23"/>
      <c r="H2" s="21" t="s">
        <v>1269</v>
      </c>
      <c r="I2" s="23"/>
      <c r="J2" s="21" t="s">
        <v>1269</v>
      </c>
      <c r="K2" s="23"/>
      <c r="L2" s="21" t="s">
        <v>1269</v>
      </c>
      <c r="M2" s="23"/>
      <c r="N2" s="21" t="s">
        <v>1269</v>
      </c>
      <c r="O2" s="23"/>
      <c r="P2" s="21" t="s">
        <v>1269</v>
      </c>
      <c r="Q2" s="23"/>
    </row>
    <row r="3" spans="1:17" x14ac:dyDescent="0.25">
      <c r="A3" s="19" t="s">
        <v>51</v>
      </c>
      <c r="B3" s="19" t="s">
        <v>45</v>
      </c>
      <c r="C3" s="19" t="s">
        <v>46</v>
      </c>
      <c r="D3" s="19" t="s">
        <v>52</v>
      </c>
      <c r="E3" s="19" t="s">
        <v>53</v>
      </c>
      <c r="F3" s="21" t="s">
        <v>1269</v>
      </c>
      <c r="G3" s="23"/>
      <c r="H3" s="21" t="s">
        <v>1269</v>
      </c>
      <c r="I3" s="23"/>
      <c r="J3" s="21" t="s">
        <v>1269</v>
      </c>
      <c r="K3" s="23"/>
      <c r="L3" s="21" t="s">
        <v>1269</v>
      </c>
      <c r="M3" s="23"/>
      <c r="N3" s="21" t="s">
        <v>1269</v>
      </c>
      <c r="O3" s="23"/>
      <c r="P3" s="21" t="s">
        <v>1269</v>
      </c>
      <c r="Q3" s="23"/>
    </row>
    <row r="4" spans="1:17" x14ac:dyDescent="0.25">
      <c r="A4" s="19" t="s">
        <v>57</v>
      </c>
      <c r="B4" s="19" t="s">
        <v>45</v>
      </c>
      <c r="C4" s="19" t="s">
        <v>46</v>
      </c>
      <c r="D4" s="19" t="s">
        <v>58</v>
      </c>
      <c r="E4" s="19" t="s">
        <v>59</v>
      </c>
      <c r="F4" s="21" t="s">
        <v>1269</v>
      </c>
      <c r="G4" s="23"/>
      <c r="H4" s="21" t="s">
        <v>1269</v>
      </c>
      <c r="I4" s="23"/>
      <c r="J4" s="21" t="s">
        <v>1269</v>
      </c>
      <c r="K4" s="23"/>
      <c r="L4" s="21" t="s">
        <v>1269</v>
      </c>
      <c r="M4" s="23"/>
      <c r="N4" s="21" t="s">
        <v>1269</v>
      </c>
      <c r="O4" s="23"/>
      <c r="P4" s="21" t="s">
        <v>1269</v>
      </c>
      <c r="Q4" s="23"/>
    </row>
    <row r="5" spans="1:17" x14ac:dyDescent="0.25">
      <c r="A5" s="19" t="s">
        <v>60</v>
      </c>
      <c r="B5" s="19" t="s">
        <v>45</v>
      </c>
      <c r="C5" s="19" t="s">
        <v>46</v>
      </c>
      <c r="D5" s="19" t="s">
        <v>61</v>
      </c>
      <c r="E5" s="19" t="s">
        <v>62</v>
      </c>
      <c r="F5" s="21" t="s">
        <v>1269</v>
      </c>
      <c r="G5" s="23"/>
      <c r="H5" s="21" t="s">
        <v>1269</v>
      </c>
      <c r="I5" s="23"/>
      <c r="J5" s="21" t="s">
        <v>1269</v>
      </c>
      <c r="K5" s="23"/>
      <c r="L5" s="21" t="s">
        <v>1269</v>
      </c>
      <c r="M5" s="23"/>
      <c r="N5" s="21" t="s">
        <v>1269</v>
      </c>
      <c r="O5" s="23"/>
      <c r="P5" s="21" t="s">
        <v>1269</v>
      </c>
      <c r="Q5" s="23"/>
    </row>
    <row r="6" spans="1:17" x14ac:dyDescent="0.25">
      <c r="A6" s="19" t="s">
        <v>64</v>
      </c>
      <c r="B6" s="19" t="s">
        <v>45</v>
      </c>
      <c r="C6" s="19" t="s">
        <v>46</v>
      </c>
      <c r="D6" s="19" t="s">
        <v>65</v>
      </c>
      <c r="E6" s="19" t="s">
        <v>66</v>
      </c>
      <c r="F6" s="21" t="s">
        <v>1269</v>
      </c>
      <c r="G6" s="23"/>
      <c r="H6" s="21" t="s">
        <v>1269</v>
      </c>
      <c r="I6" s="23"/>
      <c r="J6" s="21" t="s">
        <v>1269</v>
      </c>
      <c r="K6" s="23"/>
      <c r="L6" s="21" t="s">
        <v>1269</v>
      </c>
      <c r="M6" s="23"/>
      <c r="N6" s="21" t="s">
        <v>1269</v>
      </c>
      <c r="O6" s="23"/>
      <c r="P6" s="21" t="s">
        <v>1269</v>
      </c>
      <c r="Q6" s="23"/>
    </row>
    <row r="7" spans="1:17" x14ac:dyDescent="0.25">
      <c r="A7" s="19" t="s">
        <v>68</v>
      </c>
      <c r="B7" s="19" t="s">
        <v>45</v>
      </c>
      <c r="C7" s="19" t="s">
        <v>46</v>
      </c>
      <c r="D7" s="19" t="s">
        <v>69</v>
      </c>
      <c r="E7" s="19" t="s">
        <v>66</v>
      </c>
      <c r="F7" s="21" t="s">
        <v>1269</v>
      </c>
      <c r="G7" s="23"/>
      <c r="H7" s="21" t="s">
        <v>1269</v>
      </c>
      <c r="I7" s="23"/>
      <c r="J7" s="21" t="s">
        <v>1269</v>
      </c>
      <c r="K7" s="23"/>
      <c r="L7" s="21" t="s">
        <v>1269</v>
      </c>
      <c r="M7" s="23"/>
      <c r="N7" s="21" t="s">
        <v>1269</v>
      </c>
      <c r="O7" s="23"/>
      <c r="P7" s="21" t="s">
        <v>1269</v>
      </c>
      <c r="Q7" s="23"/>
    </row>
    <row r="8" spans="1:17" x14ac:dyDescent="0.25">
      <c r="A8" s="19" t="s">
        <v>70</v>
      </c>
      <c r="B8" s="19" t="s">
        <v>45</v>
      </c>
      <c r="C8" s="19" t="s">
        <v>46</v>
      </c>
      <c r="D8" s="19" t="s">
        <v>71</v>
      </c>
      <c r="E8" s="19" t="s">
        <v>66</v>
      </c>
      <c r="F8" s="21" t="s">
        <v>1269</v>
      </c>
      <c r="G8" s="23"/>
      <c r="H8" s="21" t="s">
        <v>1269</v>
      </c>
      <c r="I8" s="23"/>
      <c r="J8" s="21" t="s">
        <v>1269</v>
      </c>
      <c r="K8" s="23"/>
      <c r="L8" s="21" t="s">
        <v>1269</v>
      </c>
      <c r="M8" s="23"/>
      <c r="N8" s="21" t="s">
        <v>1269</v>
      </c>
      <c r="O8" s="23"/>
      <c r="P8" s="21" t="s">
        <v>1269</v>
      </c>
      <c r="Q8" s="23"/>
    </row>
    <row r="9" spans="1:17" x14ac:dyDescent="0.25">
      <c r="A9" s="19" t="s">
        <v>72</v>
      </c>
      <c r="B9" s="19" t="s">
        <v>45</v>
      </c>
      <c r="C9" s="19" t="s">
        <v>46</v>
      </c>
      <c r="D9" s="19" t="s">
        <v>73</v>
      </c>
      <c r="E9" s="19" t="s">
        <v>74</v>
      </c>
      <c r="F9" s="21" t="s">
        <v>1269</v>
      </c>
      <c r="G9" s="23"/>
      <c r="H9" s="21" t="s">
        <v>1269</v>
      </c>
      <c r="I9" s="23"/>
      <c r="J9" s="21" t="s">
        <v>1269</v>
      </c>
      <c r="K9" s="23"/>
      <c r="L9" s="21" t="s">
        <v>1269</v>
      </c>
      <c r="M9" s="23"/>
      <c r="N9" s="21" t="s">
        <v>1269</v>
      </c>
      <c r="O9" s="23"/>
      <c r="P9" s="21" t="s">
        <v>1269</v>
      </c>
      <c r="Q9" s="23"/>
    </row>
    <row r="10" spans="1:17" x14ac:dyDescent="0.25">
      <c r="A10" s="19" t="s">
        <v>75</v>
      </c>
      <c r="B10" s="19" t="s">
        <v>45</v>
      </c>
      <c r="C10" s="19" t="s">
        <v>46</v>
      </c>
      <c r="D10" s="19" t="s">
        <v>76</v>
      </c>
      <c r="E10" s="19" t="s">
        <v>74</v>
      </c>
      <c r="F10" s="21" t="s">
        <v>1269</v>
      </c>
      <c r="G10" s="23"/>
      <c r="H10" s="21" t="s">
        <v>1269</v>
      </c>
      <c r="I10" s="23"/>
      <c r="J10" s="21" t="s">
        <v>1269</v>
      </c>
      <c r="K10" s="23"/>
      <c r="L10" s="21" t="s">
        <v>1269</v>
      </c>
      <c r="M10" s="23"/>
      <c r="N10" s="21" t="s">
        <v>1269</v>
      </c>
      <c r="O10" s="23"/>
      <c r="P10" s="21" t="s">
        <v>1269</v>
      </c>
      <c r="Q10" s="23"/>
    </row>
    <row r="11" spans="1:17" x14ac:dyDescent="0.25">
      <c r="A11" s="19" t="s">
        <v>77</v>
      </c>
      <c r="B11" s="19" t="s">
        <v>45</v>
      </c>
      <c r="C11" s="19" t="s">
        <v>46</v>
      </c>
      <c r="D11" s="19" t="s">
        <v>78</v>
      </c>
      <c r="E11" s="19" t="s">
        <v>79</v>
      </c>
      <c r="F11" s="21" t="s">
        <v>1269</v>
      </c>
      <c r="G11" s="23"/>
      <c r="H11" s="21" t="s">
        <v>1269</v>
      </c>
      <c r="I11" s="23"/>
      <c r="J11" s="21" t="s">
        <v>1269</v>
      </c>
      <c r="K11" s="23"/>
      <c r="L11" s="21" t="s">
        <v>1269</v>
      </c>
      <c r="M11" s="23"/>
      <c r="N11" s="21" t="s">
        <v>1269</v>
      </c>
      <c r="O11" s="23"/>
      <c r="P11" s="21" t="s">
        <v>1269</v>
      </c>
      <c r="Q11" s="23"/>
    </row>
    <row r="12" spans="1:17" x14ac:dyDescent="0.25">
      <c r="A12" s="19" t="s">
        <v>80</v>
      </c>
      <c r="B12" s="19" t="s">
        <v>45</v>
      </c>
      <c r="C12" s="19" t="s">
        <v>46</v>
      </c>
      <c r="D12" s="19" t="s">
        <v>81</v>
      </c>
      <c r="E12" s="19" t="s">
        <v>79</v>
      </c>
      <c r="F12" s="21" t="s">
        <v>1269</v>
      </c>
      <c r="G12" s="23"/>
      <c r="H12" s="21" t="s">
        <v>1269</v>
      </c>
      <c r="I12" s="23"/>
      <c r="J12" s="21" t="s">
        <v>1269</v>
      </c>
      <c r="K12" s="23"/>
      <c r="L12" s="21" t="s">
        <v>1269</v>
      </c>
      <c r="M12" s="23"/>
      <c r="N12" s="21" t="s">
        <v>1269</v>
      </c>
      <c r="O12" s="23"/>
      <c r="P12" s="21" t="s">
        <v>1269</v>
      </c>
      <c r="Q12" s="23"/>
    </row>
    <row r="13" spans="1:17" x14ac:dyDescent="0.25">
      <c r="A13" s="19" t="s">
        <v>82</v>
      </c>
      <c r="B13" s="19" t="s">
        <v>45</v>
      </c>
      <c r="C13" s="19" t="s">
        <v>46</v>
      </c>
      <c r="D13" s="19" t="s">
        <v>83</v>
      </c>
      <c r="E13" s="19" t="s">
        <v>79</v>
      </c>
      <c r="F13" s="21" t="s">
        <v>1269</v>
      </c>
      <c r="G13" s="23"/>
      <c r="H13" s="21" t="s">
        <v>1269</v>
      </c>
      <c r="I13" s="23"/>
      <c r="J13" s="21" t="s">
        <v>1269</v>
      </c>
      <c r="K13" s="23"/>
      <c r="L13" s="21" t="s">
        <v>1269</v>
      </c>
      <c r="M13" s="23"/>
      <c r="N13" s="21" t="s">
        <v>1269</v>
      </c>
      <c r="O13" s="23"/>
      <c r="P13" s="21" t="s">
        <v>1269</v>
      </c>
      <c r="Q13" s="23"/>
    </row>
    <row r="14" spans="1:17" x14ac:dyDescent="0.25">
      <c r="A14" s="19" t="s">
        <v>84</v>
      </c>
      <c r="B14" s="19" t="s">
        <v>45</v>
      </c>
      <c r="C14" s="19" t="s">
        <v>46</v>
      </c>
      <c r="D14" s="19" t="s">
        <v>85</v>
      </c>
      <c r="E14" s="19" t="s">
        <v>86</v>
      </c>
      <c r="F14" s="21" t="s">
        <v>1269</v>
      </c>
      <c r="G14" s="23"/>
      <c r="H14" s="21" t="s">
        <v>1269</v>
      </c>
      <c r="I14" s="23"/>
      <c r="J14" s="21" t="s">
        <v>1269</v>
      </c>
      <c r="K14" s="23"/>
      <c r="L14" s="21" t="s">
        <v>1269</v>
      </c>
      <c r="M14" s="23"/>
      <c r="N14" s="21" t="s">
        <v>1269</v>
      </c>
      <c r="O14" s="23"/>
      <c r="P14" s="21" t="s">
        <v>1269</v>
      </c>
      <c r="Q14" s="23"/>
    </row>
    <row r="15" spans="1:17" x14ac:dyDescent="0.25">
      <c r="A15" s="19" t="s">
        <v>87</v>
      </c>
      <c r="B15" s="19" t="s">
        <v>45</v>
      </c>
      <c r="C15" s="19" t="s">
        <v>46</v>
      </c>
      <c r="D15" s="19" t="s">
        <v>88</v>
      </c>
      <c r="E15" s="19" t="s">
        <v>89</v>
      </c>
      <c r="F15" s="21" t="s">
        <v>1269</v>
      </c>
      <c r="G15" s="23"/>
      <c r="H15" s="21" t="s">
        <v>1269</v>
      </c>
      <c r="I15" s="23"/>
      <c r="J15" s="21" t="s">
        <v>1269</v>
      </c>
      <c r="K15" s="23"/>
      <c r="L15" s="21" t="s">
        <v>1269</v>
      </c>
      <c r="M15" s="23"/>
      <c r="N15" s="21" t="s">
        <v>1269</v>
      </c>
      <c r="O15" s="23"/>
      <c r="P15" s="21" t="s">
        <v>1269</v>
      </c>
      <c r="Q15" s="23"/>
    </row>
    <row r="16" spans="1:17" x14ac:dyDescent="0.25">
      <c r="A16" s="19" t="s">
        <v>90</v>
      </c>
      <c r="B16" s="19" t="s">
        <v>45</v>
      </c>
      <c r="C16" s="19" t="s">
        <v>46</v>
      </c>
      <c r="D16" s="19" t="s">
        <v>91</v>
      </c>
      <c r="E16" s="19" t="s">
        <v>89</v>
      </c>
      <c r="F16" s="21" t="s">
        <v>1269</v>
      </c>
      <c r="G16" s="23"/>
      <c r="H16" s="21" t="s">
        <v>1269</v>
      </c>
      <c r="I16" s="23"/>
      <c r="J16" s="21" t="s">
        <v>1269</v>
      </c>
      <c r="K16" s="23"/>
      <c r="L16" s="21" t="s">
        <v>1269</v>
      </c>
      <c r="M16" s="23"/>
      <c r="N16" s="21" t="s">
        <v>1269</v>
      </c>
      <c r="O16" s="23"/>
      <c r="P16" s="21" t="s">
        <v>1269</v>
      </c>
      <c r="Q16" s="23"/>
    </row>
    <row r="17" spans="1:17" x14ac:dyDescent="0.25">
      <c r="A17" s="19" t="s">
        <v>92</v>
      </c>
      <c r="B17" s="19" t="s">
        <v>45</v>
      </c>
      <c r="C17" s="19" t="s">
        <v>46</v>
      </c>
      <c r="D17" s="19" t="s">
        <v>93</v>
      </c>
      <c r="E17" s="19" t="s">
        <v>94</v>
      </c>
      <c r="F17" s="21" t="s">
        <v>1269</v>
      </c>
      <c r="G17" s="23"/>
      <c r="H17" s="21" t="s">
        <v>1269</v>
      </c>
      <c r="I17" s="23"/>
      <c r="J17" s="21" t="s">
        <v>1269</v>
      </c>
      <c r="K17" s="23"/>
      <c r="L17" s="21" t="s">
        <v>1269</v>
      </c>
      <c r="M17" s="23"/>
      <c r="N17" s="21" t="s">
        <v>1269</v>
      </c>
      <c r="O17" s="23"/>
      <c r="P17" s="21" t="s">
        <v>1269</v>
      </c>
      <c r="Q17" s="23"/>
    </row>
    <row r="18" spans="1:17" x14ac:dyDescent="0.25">
      <c r="A18" s="19" t="s">
        <v>95</v>
      </c>
      <c r="B18" s="19" t="s">
        <v>45</v>
      </c>
      <c r="C18" s="19" t="s">
        <v>46</v>
      </c>
      <c r="D18" s="19" t="s">
        <v>96</v>
      </c>
      <c r="E18" s="19" t="s">
        <v>94</v>
      </c>
      <c r="F18" s="21" t="s">
        <v>1269</v>
      </c>
      <c r="G18" s="23"/>
      <c r="H18" s="21" t="s">
        <v>1269</v>
      </c>
      <c r="I18" s="23"/>
      <c r="J18" s="21" t="s">
        <v>1269</v>
      </c>
      <c r="K18" s="23"/>
      <c r="L18" s="21" t="s">
        <v>1269</v>
      </c>
      <c r="M18" s="23"/>
      <c r="N18" s="21" t="s">
        <v>1269</v>
      </c>
      <c r="O18" s="23"/>
      <c r="P18" s="21" t="s">
        <v>1269</v>
      </c>
      <c r="Q18" s="23"/>
    </row>
    <row r="19" spans="1:17" x14ac:dyDescent="0.25">
      <c r="A19" s="19" t="s">
        <v>97</v>
      </c>
      <c r="B19" s="19" t="s">
        <v>45</v>
      </c>
      <c r="C19" s="19" t="s">
        <v>46</v>
      </c>
      <c r="D19" s="19" t="s">
        <v>98</v>
      </c>
      <c r="E19" s="19" t="s">
        <v>94</v>
      </c>
      <c r="F19" s="21" t="s">
        <v>1269</v>
      </c>
      <c r="G19" s="23"/>
      <c r="H19" s="21" t="s">
        <v>1269</v>
      </c>
      <c r="I19" s="23"/>
      <c r="J19" s="21" t="s">
        <v>1269</v>
      </c>
      <c r="K19" s="23"/>
      <c r="L19" s="21" t="s">
        <v>1269</v>
      </c>
      <c r="M19" s="23"/>
      <c r="N19" s="21" t="s">
        <v>1269</v>
      </c>
      <c r="O19" s="23"/>
      <c r="P19" s="21" t="s">
        <v>1269</v>
      </c>
      <c r="Q19" s="23"/>
    </row>
    <row r="20" spans="1:17" x14ac:dyDescent="0.25">
      <c r="A20" s="19" t="s">
        <v>99</v>
      </c>
      <c r="B20" s="19" t="s">
        <v>45</v>
      </c>
      <c r="C20" s="19" t="s">
        <v>46</v>
      </c>
      <c r="D20" s="19" t="s">
        <v>100</v>
      </c>
      <c r="E20" s="19" t="s">
        <v>101</v>
      </c>
      <c r="F20" s="21" t="s">
        <v>1269</v>
      </c>
      <c r="G20" s="23"/>
      <c r="H20" s="21" t="s">
        <v>1269</v>
      </c>
      <c r="I20" s="23"/>
      <c r="J20" s="21" t="s">
        <v>1269</v>
      </c>
      <c r="K20" s="23"/>
      <c r="L20" s="21" t="s">
        <v>1269</v>
      </c>
      <c r="M20" s="23"/>
      <c r="N20" s="21" t="s">
        <v>1269</v>
      </c>
      <c r="O20" s="23"/>
      <c r="P20" s="21" t="s">
        <v>1269</v>
      </c>
      <c r="Q20" s="23"/>
    </row>
    <row r="21" spans="1:17" x14ac:dyDescent="0.25">
      <c r="A21" s="19" t="s">
        <v>102</v>
      </c>
      <c r="B21" s="19" t="s">
        <v>45</v>
      </c>
      <c r="C21" s="19" t="s">
        <v>46</v>
      </c>
      <c r="D21" s="19" t="s">
        <v>103</v>
      </c>
      <c r="E21" s="19" t="s">
        <v>101</v>
      </c>
      <c r="F21" s="21" t="s">
        <v>1269</v>
      </c>
      <c r="G21" s="23"/>
      <c r="H21" s="21" t="s">
        <v>1269</v>
      </c>
      <c r="I21" s="23"/>
      <c r="J21" s="21" t="s">
        <v>1269</v>
      </c>
      <c r="K21" s="23"/>
      <c r="L21" s="21" t="s">
        <v>1269</v>
      </c>
      <c r="M21" s="23"/>
      <c r="N21" s="21" t="s">
        <v>1269</v>
      </c>
      <c r="O21" s="23"/>
      <c r="P21" s="21" t="s">
        <v>1269</v>
      </c>
      <c r="Q21" s="23"/>
    </row>
    <row r="22" spans="1:17" x14ac:dyDescent="0.25">
      <c r="A22" s="19" t="s">
        <v>104</v>
      </c>
      <c r="B22" s="19" t="s">
        <v>45</v>
      </c>
      <c r="C22" s="19" t="s">
        <v>46</v>
      </c>
      <c r="D22" s="19" t="s">
        <v>105</v>
      </c>
      <c r="E22" s="19" t="s">
        <v>106</v>
      </c>
      <c r="F22" s="21" t="s">
        <v>1269</v>
      </c>
      <c r="G22" s="23"/>
      <c r="H22" s="21" t="s">
        <v>1269</v>
      </c>
      <c r="I22" s="23"/>
      <c r="J22" s="21" t="s">
        <v>1269</v>
      </c>
      <c r="K22" s="23"/>
      <c r="L22" s="21" t="s">
        <v>1269</v>
      </c>
      <c r="M22" s="23"/>
      <c r="N22" s="21" t="s">
        <v>1269</v>
      </c>
      <c r="O22" s="23"/>
      <c r="P22" s="21" t="s">
        <v>1269</v>
      </c>
      <c r="Q22" s="23"/>
    </row>
    <row r="23" spans="1:17" x14ac:dyDescent="0.25">
      <c r="A23" s="19" t="s">
        <v>107</v>
      </c>
      <c r="B23" s="19" t="s">
        <v>45</v>
      </c>
      <c r="C23" s="19" t="s">
        <v>46</v>
      </c>
      <c r="D23" s="19" t="s">
        <v>108</v>
      </c>
      <c r="E23" s="19" t="s">
        <v>109</v>
      </c>
      <c r="F23" s="21" t="s">
        <v>1269</v>
      </c>
      <c r="G23" s="23"/>
      <c r="H23" s="21" t="s">
        <v>1269</v>
      </c>
      <c r="I23" s="23"/>
      <c r="J23" s="21" t="s">
        <v>1269</v>
      </c>
      <c r="K23" s="23"/>
      <c r="L23" s="21" t="s">
        <v>1269</v>
      </c>
      <c r="M23" s="23"/>
      <c r="N23" s="21" t="s">
        <v>1269</v>
      </c>
      <c r="O23" s="23"/>
      <c r="P23" s="21" t="s">
        <v>1269</v>
      </c>
      <c r="Q23" s="23"/>
    </row>
    <row r="24" spans="1:17" x14ac:dyDescent="0.25">
      <c r="A24" s="19" t="s">
        <v>111</v>
      </c>
      <c r="B24" s="19" t="s">
        <v>45</v>
      </c>
      <c r="C24" s="19" t="s">
        <v>46</v>
      </c>
      <c r="D24" s="19" t="s">
        <v>112</v>
      </c>
      <c r="E24" s="19" t="s">
        <v>113</v>
      </c>
      <c r="F24" s="21" t="s">
        <v>1269</v>
      </c>
      <c r="G24" s="23"/>
      <c r="H24" s="21" t="s">
        <v>1269</v>
      </c>
      <c r="I24" s="23"/>
      <c r="J24" s="21" t="s">
        <v>1269</v>
      </c>
      <c r="K24" s="23"/>
      <c r="L24" s="21" t="s">
        <v>1269</v>
      </c>
      <c r="M24" s="23"/>
      <c r="N24" s="21" t="s">
        <v>1269</v>
      </c>
      <c r="O24" s="23"/>
      <c r="P24" s="21" t="s">
        <v>1269</v>
      </c>
      <c r="Q24" s="23"/>
    </row>
    <row r="25" spans="1:17" x14ac:dyDescent="0.25">
      <c r="A25" s="19" t="s">
        <v>114</v>
      </c>
      <c r="B25" s="19" t="s">
        <v>45</v>
      </c>
      <c r="C25" s="19" t="s">
        <v>46</v>
      </c>
      <c r="D25" s="19" t="s">
        <v>115</v>
      </c>
      <c r="E25" s="19" t="s">
        <v>113</v>
      </c>
      <c r="F25" s="21" t="s">
        <v>1269</v>
      </c>
      <c r="G25" s="23"/>
      <c r="H25" s="21" t="s">
        <v>1269</v>
      </c>
      <c r="I25" s="23"/>
      <c r="J25" s="21" t="s">
        <v>1269</v>
      </c>
      <c r="K25" s="23"/>
      <c r="L25" s="21" t="s">
        <v>1269</v>
      </c>
      <c r="M25" s="23"/>
      <c r="N25" s="21" t="s">
        <v>1269</v>
      </c>
      <c r="O25" s="23"/>
      <c r="P25" s="21" t="s">
        <v>1269</v>
      </c>
      <c r="Q25" s="23"/>
    </row>
    <row r="26" spans="1:17" x14ac:dyDescent="0.25">
      <c r="A26" s="19" t="s">
        <v>116</v>
      </c>
      <c r="B26" s="19" t="s">
        <v>45</v>
      </c>
      <c r="C26" s="19" t="s">
        <v>46</v>
      </c>
      <c r="D26" s="19" t="s">
        <v>117</v>
      </c>
      <c r="E26" s="19" t="s">
        <v>113</v>
      </c>
      <c r="F26" s="21" t="s">
        <v>1269</v>
      </c>
      <c r="G26" s="23"/>
      <c r="H26" s="21" t="s">
        <v>1269</v>
      </c>
      <c r="I26" s="23"/>
      <c r="J26" s="21" t="s">
        <v>1269</v>
      </c>
      <c r="K26" s="23"/>
      <c r="L26" s="21" t="s">
        <v>1269</v>
      </c>
      <c r="M26" s="23"/>
      <c r="N26" s="21" t="s">
        <v>1269</v>
      </c>
      <c r="O26" s="23"/>
      <c r="P26" s="21" t="s">
        <v>1269</v>
      </c>
      <c r="Q26" s="23"/>
    </row>
    <row r="27" spans="1:17" x14ac:dyDescent="0.25">
      <c r="A27" s="19" t="s">
        <v>118</v>
      </c>
      <c r="B27" s="19" t="s">
        <v>45</v>
      </c>
      <c r="C27" s="19" t="s">
        <v>46</v>
      </c>
      <c r="D27" s="19" t="s">
        <v>119</v>
      </c>
      <c r="E27" s="19" t="s">
        <v>120</v>
      </c>
      <c r="F27" s="21" t="s">
        <v>1269</v>
      </c>
      <c r="G27" s="23"/>
      <c r="H27" s="21" t="s">
        <v>1269</v>
      </c>
      <c r="I27" s="23"/>
      <c r="J27" s="21" t="s">
        <v>1269</v>
      </c>
      <c r="K27" s="23"/>
      <c r="L27" s="21" t="s">
        <v>1269</v>
      </c>
      <c r="M27" s="23"/>
      <c r="N27" s="21" t="s">
        <v>1269</v>
      </c>
      <c r="O27" s="23"/>
      <c r="P27" s="21" t="s">
        <v>1269</v>
      </c>
      <c r="Q27" s="23"/>
    </row>
    <row r="28" spans="1:17" x14ac:dyDescent="0.25">
      <c r="A28" s="19" t="s">
        <v>121</v>
      </c>
      <c r="B28" s="19" t="s">
        <v>45</v>
      </c>
      <c r="C28" s="19" t="s">
        <v>46</v>
      </c>
      <c r="D28" s="19" t="s">
        <v>122</v>
      </c>
      <c r="E28" s="19" t="s">
        <v>123</v>
      </c>
      <c r="F28" s="21" t="s">
        <v>1269</v>
      </c>
      <c r="G28" s="23"/>
      <c r="H28" s="21" t="s">
        <v>1269</v>
      </c>
      <c r="I28" s="23"/>
      <c r="J28" s="21" t="s">
        <v>1269</v>
      </c>
      <c r="K28" s="23"/>
      <c r="L28" s="21" t="s">
        <v>1269</v>
      </c>
      <c r="M28" s="23"/>
      <c r="N28" s="21" t="s">
        <v>1269</v>
      </c>
      <c r="O28" s="23"/>
      <c r="P28" s="21" t="s">
        <v>1269</v>
      </c>
      <c r="Q28" s="23"/>
    </row>
    <row r="29" spans="1:17" x14ac:dyDescent="0.25">
      <c r="A29" s="19" t="s">
        <v>124</v>
      </c>
      <c r="B29" s="19" t="s">
        <v>45</v>
      </c>
      <c r="C29" s="19" t="s">
        <v>46</v>
      </c>
      <c r="D29" s="19" t="s">
        <v>125</v>
      </c>
      <c r="E29" s="19" t="s">
        <v>126</v>
      </c>
      <c r="F29" s="21" t="s">
        <v>1269</v>
      </c>
      <c r="G29" s="23"/>
      <c r="H29" s="21" t="s">
        <v>1269</v>
      </c>
      <c r="I29" s="23"/>
      <c r="J29" s="21" t="s">
        <v>1269</v>
      </c>
      <c r="K29" s="23"/>
      <c r="L29" s="21" t="s">
        <v>1269</v>
      </c>
      <c r="M29" s="23"/>
      <c r="N29" s="21" t="s">
        <v>1269</v>
      </c>
      <c r="O29" s="23"/>
      <c r="P29" s="21" t="s">
        <v>1269</v>
      </c>
      <c r="Q29" s="23"/>
    </row>
    <row r="30" spans="1:17" x14ac:dyDescent="0.25">
      <c r="A30" s="19" t="s">
        <v>127</v>
      </c>
      <c r="B30" s="19" t="s">
        <v>45</v>
      </c>
      <c r="C30" s="19" t="s">
        <v>46</v>
      </c>
      <c r="D30" s="19" t="s">
        <v>128</v>
      </c>
      <c r="E30" s="19" t="s">
        <v>126</v>
      </c>
      <c r="F30" s="21" t="s">
        <v>1269</v>
      </c>
      <c r="G30" s="23"/>
      <c r="H30" s="21" t="s">
        <v>1269</v>
      </c>
      <c r="I30" s="23"/>
      <c r="J30" s="21" t="s">
        <v>1269</v>
      </c>
      <c r="K30" s="23"/>
      <c r="L30" s="21" t="s">
        <v>1269</v>
      </c>
      <c r="M30" s="23"/>
      <c r="N30" s="21" t="s">
        <v>1269</v>
      </c>
      <c r="O30" s="23"/>
      <c r="P30" s="21" t="s">
        <v>1269</v>
      </c>
      <c r="Q30" s="23"/>
    </row>
    <row r="31" spans="1:17" x14ac:dyDescent="0.25">
      <c r="A31" s="19" t="s">
        <v>129</v>
      </c>
      <c r="B31" s="19" t="s">
        <v>45</v>
      </c>
      <c r="C31" s="19" t="s">
        <v>46</v>
      </c>
      <c r="D31" s="19" t="s">
        <v>130</v>
      </c>
      <c r="E31" s="19" t="s">
        <v>131</v>
      </c>
      <c r="F31" s="21" t="s">
        <v>1269</v>
      </c>
      <c r="G31" s="23"/>
      <c r="H31" s="21" t="s">
        <v>1269</v>
      </c>
      <c r="I31" s="23"/>
      <c r="J31" s="21" t="s">
        <v>1269</v>
      </c>
      <c r="K31" s="23"/>
      <c r="L31" s="21" t="s">
        <v>1269</v>
      </c>
      <c r="M31" s="23"/>
      <c r="N31" s="21" t="s">
        <v>1269</v>
      </c>
      <c r="O31" s="23"/>
      <c r="P31" s="21" t="s">
        <v>1269</v>
      </c>
      <c r="Q31" s="23"/>
    </row>
    <row r="32" spans="1:17" x14ac:dyDescent="0.25">
      <c r="A32" s="19" t="s">
        <v>132</v>
      </c>
      <c r="B32" s="19" t="s">
        <v>45</v>
      </c>
      <c r="C32" s="19" t="s">
        <v>46</v>
      </c>
      <c r="D32" s="19" t="s">
        <v>133</v>
      </c>
      <c r="E32" s="19" t="s">
        <v>134</v>
      </c>
      <c r="F32" s="21" t="s">
        <v>1269</v>
      </c>
      <c r="G32" s="23"/>
      <c r="H32" s="21" t="s">
        <v>1269</v>
      </c>
      <c r="I32" s="23"/>
      <c r="J32" s="21" t="s">
        <v>1269</v>
      </c>
      <c r="K32" s="23"/>
      <c r="L32" s="21" t="s">
        <v>1269</v>
      </c>
      <c r="M32" s="23"/>
      <c r="N32" s="21" t="s">
        <v>1269</v>
      </c>
      <c r="O32" s="23"/>
      <c r="P32" s="21" t="s">
        <v>1269</v>
      </c>
      <c r="Q32" s="23"/>
    </row>
    <row r="33" spans="1:17" x14ac:dyDescent="0.25">
      <c r="A33" s="19" t="s">
        <v>135</v>
      </c>
      <c r="B33" s="19" t="s">
        <v>45</v>
      </c>
      <c r="C33" s="19" t="s">
        <v>46</v>
      </c>
      <c r="D33" s="19" t="s">
        <v>136</v>
      </c>
      <c r="E33" s="19" t="s">
        <v>137</v>
      </c>
      <c r="F33" s="21" t="s">
        <v>1269</v>
      </c>
      <c r="G33" s="23"/>
      <c r="H33" s="21" t="s">
        <v>1269</v>
      </c>
      <c r="I33" s="23"/>
      <c r="J33" s="21" t="s">
        <v>1269</v>
      </c>
      <c r="K33" s="23"/>
      <c r="L33" s="21" t="s">
        <v>1269</v>
      </c>
      <c r="M33" s="23"/>
      <c r="N33" s="21" t="s">
        <v>1269</v>
      </c>
      <c r="O33" s="23"/>
      <c r="P33" s="21" t="s">
        <v>1269</v>
      </c>
      <c r="Q33" s="23"/>
    </row>
    <row r="34" spans="1:17" x14ac:dyDescent="0.25">
      <c r="A34" s="19" t="s">
        <v>139</v>
      </c>
      <c r="B34" s="19" t="s">
        <v>45</v>
      </c>
      <c r="C34" s="19" t="s">
        <v>46</v>
      </c>
      <c r="D34" s="19" t="s">
        <v>140</v>
      </c>
      <c r="E34" s="19" t="s">
        <v>141</v>
      </c>
      <c r="F34" s="21" t="s">
        <v>1269</v>
      </c>
      <c r="G34" s="23"/>
      <c r="H34" s="21" t="s">
        <v>1269</v>
      </c>
      <c r="I34" s="23"/>
      <c r="J34" s="21" t="s">
        <v>1269</v>
      </c>
      <c r="K34" s="23"/>
      <c r="L34" s="21" t="s">
        <v>1269</v>
      </c>
      <c r="M34" s="23"/>
      <c r="N34" s="21" t="s">
        <v>1269</v>
      </c>
      <c r="O34" s="23"/>
      <c r="P34" s="21" t="s">
        <v>1269</v>
      </c>
      <c r="Q34" s="23"/>
    </row>
    <row r="35" spans="1:17" x14ac:dyDescent="0.25">
      <c r="A35" s="19" t="s">
        <v>142</v>
      </c>
      <c r="B35" s="19" t="s">
        <v>45</v>
      </c>
      <c r="C35" s="19" t="s">
        <v>46</v>
      </c>
      <c r="D35" s="19" t="s">
        <v>143</v>
      </c>
      <c r="E35" s="19" t="s">
        <v>144</v>
      </c>
      <c r="F35" s="21" t="s">
        <v>1269</v>
      </c>
      <c r="G35" s="23"/>
      <c r="H35" s="21" t="s">
        <v>1269</v>
      </c>
      <c r="I35" s="23"/>
      <c r="J35" s="21" t="s">
        <v>1269</v>
      </c>
      <c r="K35" s="23"/>
      <c r="L35" s="21" t="s">
        <v>1269</v>
      </c>
      <c r="M35" s="23"/>
      <c r="N35" s="21" t="s">
        <v>1269</v>
      </c>
      <c r="O35" s="23"/>
      <c r="P35" s="21" t="s">
        <v>1269</v>
      </c>
      <c r="Q35" s="23"/>
    </row>
    <row r="36" spans="1:17" x14ac:dyDescent="0.25">
      <c r="A36" s="19" t="s">
        <v>145</v>
      </c>
      <c r="B36" s="19" t="s">
        <v>45</v>
      </c>
      <c r="C36" s="19" t="s">
        <v>146</v>
      </c>
      <c r="D36" s="19" t="s">
        <v>147</v>
      </c>
      <c r="E36" s="19" t="s">
        <v>53</v>
      </c>
      <c r="F36" s="21" t="s">
        <v>1269</v>
      </c>
      <c r="G36" s="23"/>
      <c r="H36" s="21" t="s">
        <v>1269</v>
      </c>
      <c r="I36" s="23"/>
      <c r="J36" s="21" t="s">
        <v>1269</v>
      </c>
      <c r="K36" s="23"/>
      <c r="L36" s="21" t="s">
        <v>1269</v>
      </c>
      <c r="M36" s="23"/>
      <c r="N36" s="21" t="s">
        <v>1269</v>
      </c>
      <c r="O36" s="23"/>
      <c r="P36" s="21" t="s">
        <v>1269</v>
      </c>
      <c r="Q36" s="23"/>
    </row>
    <row r="37" spans="1:17" x14ac:dyDescent="0.25">
      <c r="A37" s="19" t="s">
        <v>148</v>
      </c>
      <c r="B37" s="19" t="s">
        <v>45</v>
      </c>
      <c r="C37" s="19" t="s">
        <v>146</v>
      </c>
      <c r="D37" s="19" t="s">
        <v>149</v>
      </c>
      <c r="E37" s="19" t="s">
        <v>150</v>
      </c>
      <c r="F37" s="21" t="s">
        <v>1269</v>
      </c>
      <c r="G37" s="23"/>
      <c r="H37" s="21" t="s">
        <v>1269</v>
      </c>
      <c r="I37" s="23"/>
      <c r="J37" s="21" t="s">
        <v>1269</v>
      </c>
      <c r="K37" s="23"/>
      <c r="L37" s="21" t="s">
        <v>1269</v>
      </c>
      <c r="M37" s="23"/>
      <c r="N37" s="21" t="s">
        <v>1269</v>
      </c>
      <c r="O37" s="23"/>
      <c r="P37" s="21" t="s">
        <v>1269</v>
      </c>
      <c r="Q37" s="23"/>
    </row>
    <row r="38" spans="1:17" x14ac:dyDescent="0.25">
      <c r="A38" s="19" t="s">
        <v>151</v>
      </c>
      <c r="B38" s="19" t="s">
        <v>45</v>
      </c>
      <c r="C38" s="19" t="s">
        <v>146</v>
      </c>
      <c r="D38" s="19" t="s">
        <v>152</v>
      </c>
      <c r="E38" s="19" t="s">
        <v>59</v>
      </c>
      <c r="F38" s="21" t="s">
        <v>1269</v>
      </c>
      <c r="G38" s="23"/>
      <c r="H38" s="21" t="s">
        <v>1269</v>
      </c>
      <c r="I38" s="23"/>
      <c r="J38" s="21" t="s">
        <v>1269</v>
      </c>
      <c r="K38" s="23"/>
      <c r="L38" s="21" t="s">
        <v>1269</v>
      </c>
      <c r="M38" s="23"/>
      <c r="N38" s="21" t="s">
        <v>1269</v>
      </c>
      <c r="O38" s="23"/>
      <c r="P38" s="21" t="s">
        <v>1269</v>
      </c>
      <c r="Q38" s="23"/>
    </row>
    <row r="39" spans="1:17" x14ac:dyDescent="0.25">
      <c r="A39" s="19" t="s">
        <v>153</v>
      </c>
      <c r="B39" s="19" t="s">
        <v>45</v>
      </c>
      <c r="C39" s="19" t="s">
        <v>146</v>
      </c>
      <c r="D39" s="19" t="s">
        <v>154</v>
      </c>
      <c r="E39" s="19" t="s">
        <v>155</v>
      </c>
      <c r="F39" s="21" t="s">
        <v>1269</v>
      </c>
      <c r="G39" s="23"/>
      <c r="H39" s="21" t="s">
        <v>1269</v>
      </c>
      <c r="I39" s="23"/>
      <c r="J39" s="21" t="s">
        <v>1269</v>
      </c>
      <c r="K39" s="23"/>
      <c r="L39" s="21" t="s">
        <v>1269</v>
      </c>
      <c r="M39" s="23"/>
      <c r="N39" s="21" t="s">
        <v>1269</v>
      </c>
      <c r="O39" s="23"/>
      <c r="P39" s="21" t="s">
        <v>1269</v>
      </c>
      <c r="Q39" s="23"/>
    </row>
    <row r="40" spans="1:17" x14ac:dyDescent="0.25">
      <c r="A40" s="19" t="s">
        <v>156</v>
      </c>
      <c r="B40" s="19" t="s">
        <v>45</v>
      </c>
      <c r="C40" s="19" t="s">
        <v>146</v>
      </c>
      <c r="D40" s="19" t="s">
        <v>157</v>
      </c>
      <c r="E40" s="19" t="s">
        <v>66</v>
      </c>
      <c r="F40" s="21" t="s">
        <v>1269</v>
      </c>
      <c r="G40" s="23"/>
      <c r="H40" s="21" t="s">
        <v>1269</v>
      </c>
      <c r="I40" s="23"/>
      <c r="J40" s="21" t="s">
        <v>1269</v>
      </c>
      <c r="K40" s="23"/>
      <c r="L40" s="21" t="s">
        <v>1269</v>
      </c>
      <c r="M40" s="23"/>
      <c r="N40" s="21" t="s">
        <v>1269</v>
      </c>
      <c r="O40" s="23"/>
      <c r="P40" s="21" t="s">
        <v>1269</v>
      </c>
      <c r="Q40" s="23"/>
    </row>
    <row r="41" spans="1:17" x14ac:dyDescent="0.25">
      <c r="A41" s="19" t="s">
        <v>158</v>
      </c>
      <c r="B41" s="19" t="s">
        <v>45</v>
      </c>
      <c r="C41" s="19" t="s">
        <v>146</v>
      </c>
      <c r="D41" s="19" t="s">
        <v>159</v>
      </c>
      <c r="E41" s="19" t="s">
        <v>66</v>
      </c>
      <c r="F41" s="21" t="s">
        <v>1269</v>
      </c>
      <c r="G41" s="23"/>
      <c r="H41" s="21" t="s">
        <v>1269</v>
      </c>
      <c r="I41" s="23"/>
      <c r="J41" s="21" t="s">
        <v>1269</v>
      </c>
      <c r="K41" s="23"/>
      <c r="L41" s="21" t="s">
        <v>1269</v>
      </c>
      <c r="M41" s="23"/>
      <c r="N41" s="21" t="s">
        <v>1269</v>
      </c>
      <c r="O41" s="23"/>
      <c r="P41" s="21" t="s">
        <v>1269</v>
      </c>
      <c r="Q41" s="23"/>
    </row>
    <row r="42" spans="1:17" x14ac:dyDescent="0.25">
      <c r="A42" s="19" t="s">
        <v>160</v>
      </c>
      <c r="B42" s="19" t="s">
        <v>45</v>
      </c>
      <c r="C42" s="19" t="s">
        <v>146</v>
      </c>
      <c r="D42" s="19" t="s">
        <v>161</v>
      </c>
      <c r="E42" s="19" t="s">
        <v>66</v>
      </c>
      <c r="F42" s="21" t="s">
        <v>1269</v>
      </c>
      <c r="G42" s="23"/>
      <c r="H42" s="21" t="s">
        <v>1269</v>
      </c>
      <c r="I42" s="23"/>
      <c r="J42" s="21" t="s">
        <v>1269</v>
      </c>
      <c r="K42" s="23"/>
      <c r="L42" s="21" t="s">
        <v>1269</v>
      </c>
      <c r="M42" s="23"/>
      <c r="N42" s="21" t="s">
        <v>1269</v>
      </c>
      <c r="O42" s="23"/>
      <c r="P42" s="21" t="s">
        <v>1269</v>
      </c>
      <c r="Q42" s="23"/>
    </row>
    <row r="43" spans="1:17" x14ac:dyDescent="0.25">
      <c r="A43" s="19" t="s">
        <v>162</v>
      </c>
      <c r="B43" s="19" t="s">
        <v>45</v>
      </c>
      <c r="C43" s="19" t="s">
        <v>146</v>
      </c>
      <c r="D43" s="19" t="s">
        <v>163</v>
      </c>
      <c r="E43" s="19" t="s">
        <v>74</v>
      </c>
      <c r="F43" s="21" t="s">
        <v>1269</v>
      </c>
      <c r="G43" s="23"/>
      <c r="H43" s="21" t="s">
        <v>1269</v>
      </c>
      <c r="I43" s="23"/>
      <c r="J43" s="21" t="s">
        <v>1269</v>
      </c>
      <c r="K43" s="23"/>
      <c r="L43" s="21" t="s">
        <v>1269</v>
      </c>
      <c r="M43" s="23"/>
      <c r="N43" s="21" t="s">
        <v>1269</v>
      </c>
      <c r="O43" s="23"/>
      <c r="P43" s="21" t="s">
        <v>1269</v>
      </c>
      <c r="Q43" s="23"/>
    </row>
    <row r="44" spans="1:17" x14ac:dyDescent="0.25">
      <c r="A44" s="19" t="s">
        <v>164</v>
      </c>
      <c r="B44" s="19" t="s">
        <v>45</v>
      </c>
      <c r="C44" s="19" t="s">
        <v>146</v>
      </c>
      <c r="D44" s="19" t="s">
        <v>165</v>
      </c>
      <c r="E44" s="19" t="s">
        <v>74</v>
      </c>
      <c r="F44" s="21" t="s">
        <v>1269</v>
      </c>
      <c r="G44" s="23"/>
      <c r="H44" s="21" t="s">
        <v>1269</v>
      </c>
      <c r="I44" s="23"/>
      <c r="J44" s="21" t="s">
        <v>1269</v>
      </c>
      <c r="K44" s="23"/>
      <c r="L44" s="21" t="s">
        <v>1269</v>
      </c>
      <c r="M44" s="23"/>
      <c r="N44" s="21" t="s">
        <v>1269</v>
      </c>
      <c r="O44" s="23"/>
      <c r="P44" s="21" t="s">
        <v>1269</v>
      </c>
      <c r="Q44" s="23"/>
    </row>
    <row r="45" spans="1:17" x14ac:dyDescent="0.25">
      <c r="A45" s="19" t="s">
        <v>166</v>
      </c>
      <c r="B45" s="19" t="s">
        <v>45</v>
      </c>
      <c r="C45" s="19" t="s">
        <v>146</v>
      </c>
      <c r="D45" s="19" t="s">
        <v>167</v>
      </c>
      <c r="E45" s="19" t="s">
        <v>79</v>
      </c>
      <c r="F45" s="21" t="s">
        <v>1269</v>
      </c>
      <c r="G45" s="23"/>
      <c r="H45" s="21" t="s">
        <v>1269</v>
      </c>
      <c r="I45" s="23"/>
      <c r="J45" s="21" t="s">
        <v>1269</v>
      </c>
      <c r="K45" s="23"/>
      <c r="L45" s="21" t="s">
        <v>1269</v>
      </c>
      <c r="M45" s="23"/>
      <c r="N45" s="21" t="s">
        <v>1269</v>
      </c>
      <c r="O45" s="23"/>
      <c r="P45" s="21" t="s">
        <v>1269</v>
      </c>
      <c r="Q45" s="23"/>
    </row>
    <row r="46" spans="1:17" x14ac:dyDescent="0.25">
      <c r="A46" s="19" t="s">
        <v>168</v>
      </c>
      <c r="B46" s="19" t="s">
        <v>45</v>
      </c>
      <c r="C46" s="19" t="s">
        <v>146</v>
      </c>
      <c r="D46" s="19" t="s">
        <v>169</v>
      </c>
      <c r="E46" s="19" t="s">
        <v>79</v>
      </c>
      <c r="F46" s="21" t="s">
        <v>1269</v>
      </c>
      <c r="G46" s="23"/>
      <c r="H46" s="21" t="s">
        <v>1269</v>
      </c>
      <c r="I46" s="23"/>
      <c r="J46" s="21" t="s">
        <v>1269</v>
      </c>
      <c r="K46" s="23"/>
      <c r="L46" s="21" t="s">
        <v>1269</v>
      </c>
      <c r="M46" s="23"/>
      <c r="N46" s="21" t="s">
        <v>1269</v>
      </c>
      <c r="O46" s="23"/>
      <c r="P46" s="21" t="s">
        <v>1269</v>
      </c>
      <c r="Q46" s="23"/>
    </row>
    <row r="47" spans="1:17" x14ac:dyDescent="0.25">
      <c r="A47" s="19" t="s">
        <v>170</v>
      </c>
      <c r="B47" s="19" t="s">
        <v>45</v>
      </c>
      <c r="C47" s="19" t="s">
        <v>146</v>
      </c>
      <c r="D47" s="19" t="s">
        <v>171</v>
      </c>
      <c r="E47" s="19" t="s">
        <v>79</v>
      </c>
      <c r="F47" s="21" t="s">
        <v>1269</v>
      </c>
      <c r="G47" s="23"/>
      <c r="H47" s="21" t="s">
        <v>1269</v>
      </c>
      <c r="I47" s="23"/>
      <c r="J47" s="21" t="s">
        <v>1269</v>
      </c>
      <c r="K47" s="23"/>
      <c r="L47" s="21" t="s">
        <v>1269</v>
      </c>
      <c r="M47" s="23"/>
      <c r="N47" s="21" t="s">
        <v>1269</v>
      </c>
      <c r="O47" s="23"/>
      <c r="P47" s="21" t="s">
        <v>1269</v>
      </c>
      <c r="Q47" s="23"/>
    </row>
    <row r="48" spans="1:17" x14ac:dyDescent="0.25">
      <c r="A48" s="19" t="s">
        <v>172</v>
      </c>
      <c r="B48" s="19" t="s">
        <v>45</v>
      </c>
      <c r="C48" s="19" t="s">
        <v>146</v>
      </c>
      <c r="D48" s="19" t="s">
        <v>173</v>
      </c>
      <c r="E48" s="19" t="s">
        <v>86</v>
      </c>
      <c r="F48" s="21" t="s">
        <v>1269</v>
      </c>
      <c r="G48" s="23"/>
      <c r="H48" s="21" t="s">
        <v>1269</v>
      </c>
      <c r="I48" s="23"/>
      <c r="J48" s="21" t="s">
        <v>1269</v>
      </c>
      <c r="K48" s="23"/>
      <c r="L48" s="21" t="s">
        <v>1269</v>
      </c>
      <c r="M48" s="23"/>
      <c r="N48" s="21" t="s">
        <v>1269</v>
      </c>
      <c r="O48" s="23"/>
      <c r="P48" s="21" t="s">
        <v>1269</v>
      </c>
      <c r="Q48" s="23"/>
    </row>
    <row r="49" spans="1:17" x14ac:dyDescent="0.25">
      <c r="A49" s="19" t="s">
        <v>174</v>
      </c>
      <c r="B49" s="19" t="s">
        <v>45</v>
      </c>
      <c r="C49" s="19" t="s">
        <v>146</v>
      </c>
      <c r="D49" s="19" t="s">
        <v>175</v>
      </c>
      <c r="E49" s="19" t="s">
        <v>89</v>
      </c>
      <c r="F49" s="21" t="s">
        <v>1269</v>
      </c>
      <c r="G49" s="23"/>
      <c r="H49" s="21" t="s">
        <v>1269</v>
      </c>
      <c r="I49" s="23"/>
      <c r="J49" s="21" t="s">
        <v>1269</v>
      </c>
      <c r="K49" s="23"/>
      <c r="L49" s="21" t="s">
        <v>1269</v>
      </c>
      <c r="M49" s="23"/>
      <c r="N49" s="21" t="s">
        <v>1269</v>
      </c>
      <c r="O49" s="23"/>
      <c r="P49" s="21" t="s">
        <v>1269</v>
      </c>
      <c r="Q49" s="23"/>
    </row>
    <row r="50" spans="1:17" x14ac:dyDescent="0.25">
      <c r="A50" s="19" t="s">
        <v>176</v>
      </c>
      <c r="B50" s="19" t="s">
        <v>45</v>
      </c>
      <c r="C50" s="19" t="s">
        <v>146</v>
      </c>
      <c r="D50" s="19" t="s">
        <v>177</v>
      </c>
      <c r="E50" s="19" t="s">
        <v>89</v>
      </c>
      <c r="F50" s="21" t="s">
        <v>1269</v>
      </c>
      <c r="G50" s="23"/>
      <c r="H50" s="21" t="s">
        <v>1269</v>
      </c>
      <c r="I50" s="23"/>
      <c r="J50" s="21" t="s">
        <v>1269</v>
      </c>
      <c r="K50" s="23"/>
      <c r="L50" s="21" t="s">
        <v>1269</v>
      </c>
      <c r="M50" s="23"/>
      <c r="N50" s="21" t="s">
        <v>1269</v>
      </c>
      <c r="O50" s="23"/>
      <c r="P50" s="21" t="s">
        <v>1269</v>
      </c>
      <c r="Q50" s="23"/>
    </row>
    <row r="51" spans="1:17" x14ac:dyDescent="0.25">
      <c r="A51" s="19" t="s">
        <v>178</v>
      </c>
      <c r="B51" s="19" t="s">
        <v>45</v>
      </c>
      <c r="C51" s="19" t="s">
        <v>146</v>
      </c>
      <c r="D51" s="19" t="s">
        <v>179</v>
      </c>
      <c r="E51" s="19" t="s">
        <v>94</v>
      </c>
      <c r="F51" s="21" t="s">
        <v>1269</v>
      </c>
      <c r="G51" s="23"/>
      <c r="H51" s="21" t="s">
        <v>1269</v>
      </c>
      <c r="I51" s="23"/>
      <c r="J51" s="21" t="s">
        <v>1269</v>
      </c>
      <c r="K51" s="23"/>
      <c r="L51" s="21" t="s">
        <v>1269</v>
      </c>
      <c r="M51" s="23"/>
      <c r="N51" s="21" t="s">
        <v>1269</v>
      </c>
      <c r="O51" s="23"/>
      <c r="P51" s="21" t="s">
        <v>1269</v>
      </c>
      <c r="Q51" s="23"/>
    </row>
    <row r="52" spans="1:17" x14ac:dyDescent="0.25">
      <c r="A52" s="19" t="s">
        <v>180</v>
      </c>
      <c r="B52" s="19" t="s">
        <v>45</v>
      </c>
      <c r="C52" s="19" t="s">
        <v>146</v>
      </c>
      <c r="D52" s="19" t="s">
        <v>181</v>
      </c>
      <c r="E52" s="19" t="s">
        <v>94</v>
      </c>
      <c r="F52" s="21" t="s">
        <v>1269</v>
      </c>
      <c r="G52" s="23"/>
      <c r="H52" s="21" t="s">
        <v>1269</v>
      </c>
      <c r="I52" s="23"/>
      <c r="J52" s="21" t="s">
        <v>1269</v>
      </c>
      <c r="K52" s="23"/>
      <c r="L52" s="21" t="s">
        <v>1269</v>
      </c>
      <c r="M52" s="23"/>
      <c r="N52" s="21" t="s">
        <v>1269</v>
      </c>
      <c r="O52" s="23"/>
      <c r="P52" s="21" t="s">
        <v>1269</v>
      </c>
      <c r="Q52" s="23"/>
    </row>
    <row r="53" spans="1:17" x14ac:dyDescent="0.25">
      <c r="A53" s="19" t="s">
        <v>182</v>
      </c>
      <c r="B53" s="19" t="s">
        <v>45</v>
      </c>
      <c r="C53" s="19" t="s">
        <v>146</v>
      </c>
      <c r="D53" s="19" t="s">
        <v>183</v>
      </c>
      <c r="E53" s="19" t="s">
        <v>94</v>
      </c>
      <c r="F53" s="21" t="s">
        <v>1269</v>
      </c>
      <c r="G53" s="23"/>
      <c r="H53" s="21" t="s">
        <v>1269</v>
      </c>
      <c r="I53" s="23"/>
      <c r="J53" s="21" t="s">
        <v>1269</v>
      </c>
      <c r="K53" s="23"/>
      <c r="L53" s="21" t="s">
        <v>1269</v>
      </c>
      <c r="M53" s="23"/>
      <c r="N53" s="21" t="s">
        <v>1269</v>
      </c>
      <c r="O53" s="23"/>
      <c r="P53" s="21" t="s">
        <v>1269</v>
      </c>
      <c r="Q53" s="23"/>
    </row>
    <row r="54" spans="1:17" x14ac:dyDescent="0.25">
      <c r="A54" s="19" t="s">
        <v>184</v>
      </c>
      <c r="B54" s="19" t="s">
        <v>45</v>
      </c>
      <c r="C54" s="19" t="s">
        <v>146</v>
      </c>
      <c r="D54" s="19" t="s">
        <v>185</v>
      </c>
      <c r="E54" s="19" t="s">
        <v>186</v>
      </c>
      <c r="F54" s="21" t="s">
        <v>1269</v>
      </c>
      <c r="G54" s="23"/>
      <c r="H54" s="21" t="s">
        <v>1269</v>
      </c>
      <c r="I54" s="23"/>
      <c r="J54" s="21" t="s">
        <v>1269</v>
      </c>
      <c r="K54" s="23"/>
      <c r="L54" s="21" t="s">
        <v>1269</v>
      </c>
      <c r="M54" s="23"/>
      <c r="N54" s="21" t="s">
        <v>1269</v>
      </c>
      <c r="O54" s="23"/>
      <c r="P54" s="21" t="s">
        <v>1269</v>
      </c>
      <c r="Q54" s="23"/>
    </row>
    <row r="55" spans="1:17" x14ac:dyDescent="0.25">
      <c r="A55" s="19" t="s">
        <v>187</v>
      </c>
      <c r="B55" s="19" t="s">
        <v>45</v>
      </c>
      <c r="C55" s="19" t="s">
        <v>146</v>
      </c>
      <c r="D55" s="19" t="s">
        <v>188</v>
      </c>
      <c r="E55" s="19" t="s">
        <v>101</v>
      </c>
      <c r="F55" s="21" t="s">
        <v>1269</v>
      </c>
      <c r="G55" s="23"/>
      <c r="H55" s="21" t="s">
        <v>1269</v>
      </c>
      <c r="I55" s="23"/>
      <c r="J55" s="21" t="s">
        <v>1269</v>
      </c>
      <c r="K55" s="23"/>
      <c r="L55" s="21" t="s">
        <v>1269</v>
      </c>
      <c r="M55" s="23"/>
      <c r="N55" s="21" t="s">
        <v>1269</v>
      </c>
      <c r="O55" s="23"/>
      <c r="P55" s="21" t="s">
        <v>1269</v>
      </c>
      <c r="Q55" s="23"/>
    </row>
    <row r="56" spans="1:17" x14ac:dyDescent="0.25">
      <c r="A56" s="19" t="s">
        <v>189</v>
      </c>
      <c r="B56" s="19" t="s">
        <v>45</v>
      </c>
      <c r="C56" s="19" t="s">
        <v>146</v>
      </c>
      <c r="D56" s="19" t="s">
        <v>190</v>
      </c>
      <c r="E56" s="19" t="s">
        <v>101</v>
      </c>
      <c r="F56" s="21" t="s">
        <v>1269</v>
      </c>
      <c r="G56" s="23"/>
      <c r="H56" s="21" t="s">
        <v>1269</v>
      </c>
      <c r="I56" s="23"/>
      <c r="J56" s="21" t="s">
        <v>1269</v>
      </c>
      <c r="K56" s="23"/>
      <c r="L56" s="21" t="s">
        <v>1269</v>
      </c>
      <c r="M56" s="23"/>
      <c r="N56" s="21" t="s">
        <v>1269</v>
      </c>
      <c r="O56" s="23"/>
      <c r="P56" s="21" t="s">
        <v>1269</v>
      </c>
      <c r="Q56" s="23"/>
    </row>
    <row r="57" spans="1:17" x14ac:dyDescent="0.25">
      <c r="A57" s="19" t="s">
        <v>191</v>
      </c>
      <c r="B57" s="19" t="s">
        <v>45</v>
      </c>
      <c r="C57" s="19" t="s">
        <v>146</v>
      </c>
      <c r="D57" s="19" t="s">
        <v>192</v>
      </c>
      <c r="E57" s="19" t="s">
        <v>106</v>
      </c>
      <c r="F57" s="21" t="s">
        <v>1269</v>
      </c>
      <c r="G57" s="23"/>
      <c r="H57" s="21" t="s">
        <v>1269</v>
      </c>
      <c r="I57" s="23"/>
      <c r="J57" s="21" t="s">
        <v>1269</v>
      </c>
      <c r="K57" s="23"/>
      <c r="L57" s="21" t="s">
        <v>1269</v>
      </c>
      <c r="M57" s="23"/>
      <c r="N57" s="21" t="s">
        <v>1269</v>
      </c>
      <c r="O57" s="23"/>
      <c r="P57" s="21" t="s">
        <v>1269</v>
      </c>
      <c r="Q57" s="23"/>
    </row>
    <row r="58" spans="1:17" x14ac:dyDescent="0.25">
      <c r="A58" s="19" t="s">
        <v>193</v>
      </c>
      <c r="B58" s="19" t="s">
        <v>45</v>
      </c>
      <c r="C58" s="19" t="s">
        <v>146</v>
      </c>
      <c r="D58" s="19" t="s">
        <v>194</v>
      </c>
      <c r="E58" s="19" t="s">
        <v>109</v>
      </c>
      <c r="F58" s="21" t="s">
        <v>1269</v>
      </c>
      <c r="G58" s="23"/>
      <c r="H58" s="21" t="s">
        <v>1269</v>
      </c>
      <c r="I58" s="23"/>
      <c r="J58" s="21" t="s">
        <v>1269</v>
      </c>
      <c r="K58" s="23"/>
      <c r="L58" s="21" t="s">
        <v>1269</v>
      </c>
      <c r="M58" s="23"/>
      <c r="N58" s="21" t="s">
        <v>1269</v>
      </c>
      <c r="O58" s="23"/>
      <c r="P58" s="21" t="s">
        <v>1269</v>
      </c>
      <c r="Q58" s="23"/>
    </row>
    <row r="59" spans="1:17" x14ac:dyDescent="0.25">
      <c r="A59" s="19" t="s">
        <v>195</v>
      </c>
      <c r="B59" s="19" t="s">
        <v>45</v>
      </c>
      <c r="C59" s="19" t="s">
        <v>146</v>
      </c>
      <c r="D59" s="19" t="s">
        <v>196</v>
      </c>
      <c r="E59" s="19" t="s">
        <v>113</v>
      </c>
      <c r="F59" s="21" t="s">
        <v>1269</v>
      </c>
      <c r="G59" s="23"/>
      <c r="H59" s="21" t="s">
        <v>1269</v>
      </c>
      <c r="I59" s="23"/>
      <c r="J59" s="21" t="s">
        <v>1269</v>
      </c>
      <c r="K59" s="23"/>
      <c r="L59" s="21" t="s">
        <v>1269</v>
      </c>
      <c r="M59" s="23"/>
      <c r="N59" s="21" t="s">
        <v>1269</v>
      </c>
      <c r="O59" s="23"/>
      <c r="P59" s="21" t="s">
        <v>1269</v>
      </c>
      <c r="Q59" s="23"/>
    </row>
    <row r="60" spans="1:17" x14ac:dyDescent="0.25">
      <c r="A60" s="19" t="s">
        <v>197</v>
      </c>
      <c r="B60" s="19" t="s">
        <v>45</v>
      </c>
      <c r="C60" s="19" t="s">
        <v>146</v>
      </c>
      <c r="D60" s="19" t="s">
        <v>198</v>
      </c>
      <c r="E60" s="19" t="s">
        <v>113</v>
      </c>
      <c r="F60" s="21" t="s">
        <v>1269</v>
      </c>
      <c r="G60" s="23"/>
      <c r="H60" s="21" t="s">
        <v>1269</v>
      </c>
      <c r="I60" s="23"/>
      <c r="J60" s="21" t="s">
        <v>1269</v>
      </c>
      <c r="K60" s="23"/>
      <c r="L60" s="21" t="s">
        <v>1269</v>
      </c>
      <c r="M60" s="23"/>
      <c r="N60" s="21" t="s">
        <v>1269</v>
      </c>
      <c r="O60" s="23"/>
      <c r="P60" s="21" t="s">
        <v>1269</v>
      </c>
      <c r="Q60" s="23"/>
    </row>
    <row r="61" spans="1:17" x14ac:dyDescent="0.25">
      <c r="A61" s="19" t="s">
        <v>199</v>
      </c>
      <c r="B61" s="19" t="s">
        <v>45</v>
      </c>
      <c r="C61" s="19" t="s">
        <v>146</v>
      </c>
      <c r="D61" s="19" t="s">
        <v>200</v>
      </c>
      <c r="E61" s="19" t="s">
        <v>113</v>
      </c>
      <c r="F61" s="21" t="s">
        <v>1269</v>
      </c>
      <c r="G61" s="23"/>
      <c r="H61" s="21" t="s">
        <v>1269</v>
      </c>
      <c r="I61" s="23"/>
      <c r="J61" s="21" t="s">
        <v>1269</v>
      </c>
      <c r="K61" s="23"/>
      <c r="L61" s="21" t="s">
        <v>1269</v>
      </c>
      <c r="M61" s="23"/>
      <c r="N61" s="21" t="s">
        <v>1269</v>
      </c>
      <c r="O61" s="23"/>
      <c r="P61" s="21" t="s">
        <v>1269</v>
      </c>
      <c r="Q61" s="23"/>
    </row>
    <row r="62" spans="1:17" x14ac:dyDescent="0.25">
      <c r="A62" s="19" t="s">
        <v>201</v>
      </c>
      <c r="B62" s="19" t="s">
        <v>45</v>
      </c>
      <c r="C62" s="19" t="s">
        <v>146</v>
      </c>
      <c r="D62" s="19" t="s">
        <v>202</v>
      </c>
      <c r="E62" s="19" t="s">
        <v>120</v>
      </c>
      <c r="F62" s="21" t="s">
        <v>1269</v>
      </c>
      <c r="G62" s="23"/>
      <c r="H62" s="21" t="s">
        <v>1269</v>
      </c>
      <c r="I62" s="23"/>
      <c r="J62" s="21" t="s">
        <v>1269</v>
      </c>
      <c r="K62" s="23"/>
      <c r="L62" s="21" t="s">
        <v>1269</v>
      </c>
      <c r="M62" s="23"/>
      <c r="N62" s="21" t="s">
        <v>1269</v>
      </c>
      <c r="O62" s="23"/>
      <c r="P62" s="21" t="s">
        <v>1269</v>
      </c>
      <c r="Q62" s="23"/>
    </row>
    <row r="63" spans="1:17" x14ac:dyDescent="0.25">
      <c r="A63" s="19" t="s">
        <v>203</v>
      </c>
      <c r="B63" s="19" t="s">
        <v>45</v>
      </c>
      <c r="C63" s="19" t="s">
        <v>146</v>
      </c>
      <c r="D63" s="19" t="s">
        <v>204</v>
      </c>
      <c r="E63" s="19" t="s">
        <v>205</v>
      </c>
      <c r="F63" s="21" t="s">
        <v>1269</v>
      </c>
      <c r="G63" s="23"/>
      <c r="H63" s="21" t="s">
        <v>1269</v>
      </c>
      <c r="I63" s="23"/>
      <c r="J63" s="21" t="s">
        <v>1269</v>
      </c>
      <c r="K63" s="23"/>
      <c r="L63" s="21" t="s">
        <v>1269</v>
      </c>
      <c r="M63" s="23"/>
      <c r="N63" s="21" t="s">
        <v>1269</v>
      </c>
      <c r="O63" s="23"/>
      <c r="P63" s="21" t="s">
        <v>1269</v>
      </c>
      <c r="Q63" s="23"/>
    </row>
    <row r="64" spans="1:17" x14ac:dyDescent="0.25">
      <c r="A64" s="19" t="s">
        <v>206</v>
      </c>
      <c r="B64" s="19" t="s">
        <v>45</v>
      </c>
      <c r="C64" s="19" t="s">
        <v>146</v>
      </c>
      <c r="D64" s="19" t="s">
        <v>207</v>
      </c>
      <c r="E64" s="19" t="s">
        <v>205</v>
      </c>
      <c r="F64" s="21" t="s">
        <v>1269</v>
      </c>
      <c r="G64" s="23"/>
      <c r="H64" s="21" t="s">
        <v>1269</v>
      </c>
      <c r="I64" s="23"/>
      <c r="J64" s="21" t="s">
        <v>1269</v>
      </c>
      <c r="K64" s="23"/>
      <c r="L64" s="21" t="s">
        <v>1269</v>
      </c>
      <c r="M64" s="23"/>
      <c r="N64" s="21" t="s">
        <v>1269</v>
      </c>
      <c r="O64" s="23"/>
      <c r="P64" s="21" t="s">
        <v>1269</v>
      </c>
      <c r="Q64" s="23"/>
    </row>
    <row r="65" spans="1:17" x14ac:dyDescent="0.25">
      <c r="A65" s="19" t="s">
        <v>208</v>
      </c>
      <c r="B65" s="19" t="s">
        <v>45</v>
      </c>
      <c r="C65" s="19" t="s">
        <v>146</v>
      </c>
      <c r="D65" s="19" t="s">
        <v>209</v>
      </c>
      <c r="E65" s="19" t="s">
        <v>126</v>
      </c>
      <c r="F65" s="21" t="s">
        <v>1269</v>
      </c>
      <c r="G65" s="23"/>
      <c r="H65" s="21" t="s">
        <v>1269</v>
      </c>
      <c r="I65" s="23"/>
      <c r="J65" s="21" t="s">
        <v>1269</v>
      </c>
      <c r="K65" s="23"/>
      <c r="L65" s="21" t="s">
        <v>1269</v>
      </c>
      <c r="M65" s="23"/>
      <c r="N65" s="21" t="s">
        <v>1269</v>
      </c>
      <c r="O65" s="23"/>
      <c r="P65" s="21" t="s">
        <v>1269</v>
      </c>
      <c r="Q65" s="23"/>
    </row>
    <row r="66" spans="1:17" x14ac:dyDescent="0.25">
      <c r="A66" s="19" t="s">
        <v>210</v>
      </c>
      <c r="B66" s="19" t="s">
        <v>45</v>
      </c>
      <c r="C66" s="19" t="s">
        <v>146</v>
      </c>
      <c r="D66" s="19" t="s">
        <v>211</v>
      </c>
      <c r="E66" s="19" t="s">
        <v>126</v>
      </c>
      <c r="F66" s="21" t="s">
        <v>1269</v>
      </c>
      <c r="G66" s="23"/>
      <c r="H66" s="21" t="s">
        <v>1269</v>
      </c>
      <c r="I66" s="23"/>
      <c r="J66" s="21" t="s">
        <v>1269</v>
      </c>
      <c r="K66" s="23"/>
      <c r="L66" s="21" t="s">
        <v>1269</v>
      </c>
      <c r="M66" s="23"/>
      <c r="N66" s="21" t="s">
        <v>1269</v>
      </c>
      <c r="O66" s="23"/>
      <c r="P66" s="21" t="s">
        <v>1269</v>
      </c>
      <c r="Q66" s="23"/>
    </row>
    <row r="67" spans="1:17" x14ac:dyDescent="0.25">
      <c r="A67" s="19" t="s">
        <v>212</v>
      </c>
      <c r="B67" s="19" t="s">
        <v>45</v>
      </c>
      <c r="C67" s="19" t="s">
        <v>146</v>
      </c>
      <c r="D67" s="19" t="s">
        <v>213</v>
      </c>
      <c r="E67" s="19" t="s">
        <v>131</v>
      </c>
      <c r="F67" s="21" t="s">
        <v>1269</v>
      </c>
      <c r="G67" s="23"/>
      <c r="H67" s="21" t="s">
        <v>1269</v>
      </c>
      <c r="I67" s="23"/>
      <c r="J67" s="21" t="s">
        <v>1269</v>
      </c>
      <c r="K67" s="23"/>
      <c r="L67" s="21" t="s">
        <v>1269</v>
      </c>
      <c r="M67" s="23"/>
      <c r="N67" s="21" t="s">
        <v>1269</v>
      </c>
      <c r="O67" s="23"/>
      <c r="P67" s="21" t="s">
        <v>1269</v>
      </c>
      <c r="Q67" s="23"/>
    </row>
    <row r="68" spans="1:17" x14ac:dyDescent="0.25">
      <c r="A68" s="19" t="s">
        <v>214</v>
      </c>
      <c r="B68" s="19" t="s">
        <v>45</v>
      </c>
      <c r="C68" s="19" t="s">
        <v>146</v>
      </c>
      <c r="D68" s="19" t="s">
        <v>215</v>
      </c>
      <c r="E68" s="19" t="s">
        <v>137</v>
      </c>
      <c r="F68" s="21" t="s">
        <v>1269</v>
      </c>
      <c r="G68" s="23"/>
      <c r="H68" s="21" t="s">
        <v>1269</v>
      </c>
      <c r="I68" s="23"/>
      <c r="J68" s="21" t="s">
        <v>1269</v>
      </c>
      <c r="K68" s="23"/>
      <c r="L68" s="21" t="s">
        <v>1269</v>
      </c>
      <c r="M68" s="23"/>
      <c r="N68" s="21" t="s">
        <v>1269</v>
      </c>
      <c r="O68" s="23"/>
      <c r="P68" s="21" t="s">
        <v>1269</v>
      </c>
      <c r="Q68" s="23"/>
    </row>
    <row r="69" spans="1:17" x14ac:dyDescent="0.25">
      <c r="A69" s="19" t="s">
        <v>216</v>
      </c>
      <c r="B69" s="19" t="s">
        <v>45</v>
      </c>
      <c r="C69" s="19" t="s">
        <v>146</v>
      </c>
      <c r="D69" s="19" t="s">
        <v>217</v>
      </c>
      <c r="E69" s="19" t="s">
        <v>141</v>
      </c>
      <c r="F69" s="21" t="s">
        <v>1269</v>
      </c>
      <c r="G69" s="23"/>
      <c r="H69" s="21" t="s">
        <v>1269</v>
      </c>
      <c r="I69" s="23"/>
      <c r="J69" s="21" t="s">
        <v>1269</v>
      </c>
      <c r="K69" s="23"/>
      <c r="L69" s="21" t="s">
        <v>1269</v>
      </c>
      <c r="M69" s="23"/>
      <c r="N69" s="21" t="s">
        <v>1269</v>
      </c>
      <c r="O69" s="23"/>
      <c r="P69" s="21" t="s">
        <v>1269</v>
      </c>
      <c r="Q69" s="23"/>
    </row>
    <row r="70" spans="1:17" x14ac:dyDescent="0.25">
      <c r="A70" s="19" t="s">
        <v>218</v>
      </c>
      <c r="B70" s="19" t="s">
        <v>45</v>
      </c>
      <c r="C70" s="19" t="s">
        <v>146</v>
      </c>
      <c r="D70" s="19" t="s">
        <v>219</v>
      </c>
      <c r="E70" s="19" t="s">
        <v>144</v>
      </c>
      <c r="F70" s="21" t="s">
        <v>1269</v>
      </c>
      <c r="G70" s="23"/>
      <c r="H70" s="21" t="s">
        <v>1269</v>
      </c>
      <c r="I70" s="23"/>
      <c r="J70" s="21" t="s">
        <v>1269</v>
      </c>
      <c r="K70" s="23"/>
      <c r="L70" s="21" t="s">
        <v>1269</v>
      </c>
      <c r="M70" s="23"/>
      <c r="N70" s="21" t="s">
        <v>1269</v>
      </c>
      <c r="O70" s="23"/>
      <c r="P70" s="21" t="s">
        <v>1269</v>
      </c>
      <c r="Q70" s="23"/>
    </row>
    <row r="71" spans="1:17" x14ac:dyDescent="0.25">
      <c r="A71" s="19" t="s">
        <v>220</v>
      </c>
      <c r="B71" s="19" t="s">
        <v>45</v>
      </c>
      <c r="C71" s="19" t="s">
        <v>221</v>
      </c>
      <c r="D71" s="19" t="s">
        <v>222</v>
      </c>
      <c r="E71" s="19" t="s">
        <v>53</v>
      </c>
      <c r="F71" s="21" t="s">
        <v>1269</v>
      </c>
      <c r="G71" s="23"/>
      <c r="H71" s="21" t="s">
        <v>1269</v>
      </c>
      <c r="I71" s="23"/>
      <c r="J71" s="21" t="s">
        <v>1269</v>
      </c>
      <c r="K71" s="23"/>
      <c r="L71" s="21" t="s">
        <v>1269</v>
      </c>
      <c r="M71" s="23"/>
      <c r="N71" s="21" t="s">
        <v>1269</v>
      </c>
      <c r="O71" s="23"/>
      <c r="P71" s="21" t="s">
        <v>1269</v>
      </c>
      <c r="Q71" s="23"/>
    </row>
    <row r="72" spans="1:17" x14ac:dyDescent="0.25">
      <c r="A72" s="19" t="s">
        <v>223</v>
      </c>
      <c r="B72" s="19" t="s">
        <v>45</v>
      </c>
      <c r="C72" s="19" t="s">
        <v>221</v>
      </c>
      <c r="D72" s="19" t="s">
        <v>224</v>
      </c>
      <c r="E72" s="19" t="s">
        <v>150</v>
      </c>
      <c r="F72" s="21" t="s">
        <v>1269</v>
      </c>
      <c r="G72" s="23"/>
      <c r="H72" s="21" t="s">
        <v>1269</v>
      </c>
      <c r="I72" s="23"/>
      <c r="J72" s="21" t="s">
        <v>1269</v>
      </c>
      <c r="K72" s="23"/>
      <c r="L72" s="21" t="s">
        <v>1269</v>
      </c>
      <c r="M72" s="23"/>
      <c r="N72" s="21" t="s">
        <v>1269</v>
      </c>
      <c r="O72" s="23"/>
      <c r="P72" s="21" t="s">
        <v>1269</v>
      </c>
      <c r="Q72" s="23"/>
    </row>
    <row r="73" spans="1:17" x14ac:dyDescent="0.25">
      <c r="A73" s="19" t="s">
        <v>225</v>
      </c>
      <c r="B73" s="19" t="s">
        <v>45</v>
      </c>
      <c r="C73" s="19" t="s">
        <v>221</v>
      </c>
      <c r="D73" s="19" t="s">
        <v>226</v>
      </c>
      <c r="E73" s="19" t="s">
        <v>59</v>
      </c>
      <c r="F73" s="21" t="s">
        <v>1269</v>
      </c>
      <c r="G73" s="23"/>
      <c r="H73" s="21" t="s">
        <v>1269</v>
      </c>
      <c r="I73" s="23"/>
      <c r="J73" s="21" t="s">
        <v>1269</v>
      </c>
      <c r="K73" s="23"/>
      <c r="L73" s="21" t="s">
        <v>1269</v>
      </c>
      <c r="M73" s="23"/>
      <c r="N73" s="21" t="s">
        <v>1269</v>
      </c>
      <c r="O73" s="23"/>
      <c r="P73" s="21" t="s">
        <v>1269</v>
      </c>
      <c r="Q73" s="23"/>
    </row>
    <row r="74" spans="1:17" x14ac:dyDescent="0.25">
      <c r="A74" s="19" t="s">
        <v>227</v>
      </c>
      <c r="B74" s="19" t="s">
        <v>45</v>
      </c>
      <c r="C74" s="19" t="s">
        <v>221</v>
      </c>
      <c r="D74" s="19" t="s">
        <v>228</v>
      </c>
      <c r="E74" s="19" t="s">
        <v>155</v>
      </c>
      <c r="F74" s="21" t="s">
        <v>1269</v>
      </c>
      <c r="G74" s="23"/>
      <c r="H74" s="21" t="s">
        <v>1269</v>
      </c>
      <c r="I74" s="23"/>
      <c r="J74" s="21" t="s">
        <v>1269</v>
      </c>
      <c r="K74" s="23"/>
      <c r="L74" s="21" t="s">
        <v>1269</v>
      </c>
      <c r="M74" s="23"/>
      <c r="N74" s="21" t="s">
        <v>1269</v>
      </c>
      <c r="O74" s="23"/>
      <c r="P74" s="21" t="s">
        <v>1269</v>
      </c>
      <c r="Q74" s="23"/>
    </row>
    <row r="75" spans="1:17" x14ac:dyDescent="0.25">
      <c r="A75" s="19" t="s">
        <v>229</v>
      </c>
      <c r="B75" s="19" t="s">
        <v>45</v>
      </c>
      <c r="C75" s="19" t="s">
        <v>221</v>
      </c>
      <c r="D75" s="19" t="s">
        <v>230</v>
      </c>
      <c r="E75" s="19" t="s">
        <v>66</v>
      </c>
      <c r="F75" s="21" t="s">
        <v>1269</v>
      </c>
      <c r="G75" s="23"/>
      <c r="H75" s="21" t="s">
        <v>1269</v>
      </c>
      <c r="I75" s="23"/>
      <c r="J75" s="21" t="s">
        <v>1269</v>
      </c>
      <c r="K75" s="23"/>
      <c r="L75" s="21" t="s">
        <v>1269</v>
      </c>
      <c r="M75" s="23"/>
      <c r="N75" s="21" t="s">
        <v>1269</v>
      </c>
      <c r="O75" s="23"/>
      <c r="P75" s="21" t="s">
        <v>1269</v>
      </c>
      <c r="Q75" s="23"/>
    </row>
    <row r="76" spans="1:17" x14ac:dyDescent="0.25">
      <c r="A76" s="19" t="s">
        <v>231</v>
      </c>
      <c r="B76" s="19" t="s">
        <v>45</v>
      </c>
      <c r="C76" s="19" t="s">
        <v>221</v>
      </c>
      <c r="D76" s="19" t="s">
        <v>232</v>
      </c>
      <c r="E76" s="19" t="s">
        <v>66</v>
      </c>
      <c r="F76" s="21" t="s">
        <v>1269</v>
      </c>
      <c r="G76" s="23"/>
      <c r="H76" s="21" t="s">
        <v>1269</v>
      </c>
      <c r="I76" s="23"/>
      <c r="J76" s="21" t="s">
        <v>1269</v>
      </c>
      <c r="K76" s="23"/>
      <c r="L76" s="21" t="s">
        <v>1269</v>
      </c>
      <c r="M76" s="23"/>
      <c r="N76" s="21" t="s">
        <v>1269</v>
      </c>
      <c r="O76" s="23"/>
      <c r="P76" s="21" t="s">
        <v>1269</v>
      </c>
      <c r="Q76" s="23"/>
    </row>
    <row r="77" spans="1:17" x14ac:dyDescent="0.25">
      <c r="A77" s="19" t="s">
        <v>233</v>
      </c>
      <c r="B77" s="19" t="s">
        <v>45</v>
      </c>
      <c r="C77" s="19" t="s">
        <v>221</v>
      </c>
      <c r="D77" s="19" t="s">
        <v>234</v>
      </c>
      <c r="E77" s="19" t="s">
        <v>66</v>
      </c>
      <c r="F77" s="21" t="s">
        <v>1269</v>
      </c>
      <c r="G77" s="23"/>
      <c r="H77" s="21" t="s">
        <v>1269</v>
      </c>
      <c r="I77" s="23"/>
      <c r="J77" s="21" t="s">
        <v>1269</v>
      </c>
      <c r="K77" s="23"/>
      <c r="L77" s="21" t="s">
        <v>1269</v>
      </c>
      <c r="M77" s="23"/>
      <c r="N77" s="21" t="s">
        <v>1269</v>
      </c>
      <c r="O77" s="23"/>
      <c r="P77" s="21" t="s">
        <v>1269</v>
      </c>
      <c r="Q77" s="23"/>
    </row>
    <row r="78" spans="1:17" x14ac:dyDescent="0.25">
      <c r="A78" s="19" t="s">
        <v>235</v>
      </c>
      <c r="B78" s="19" t="s">
        <v>45</v>
      </c>
      <c r="C78" s="19" t="s">
        <v>221</v>
      </c>
      <c r="D78" s="19" t="s">
        <v>236</v>
      </c>
      <c r="E78" s="19" t="s">
        <v>74</v>
      </c>
      <c r="F78" s="21" t="s">
        <v>1269</v>
      </c>
      <c r="G78" s="23"/>
      <c r="H78" s="21" t="s">
        <v>1269</v>
      </c>
      <c r="I78" s="23"/>
      <c r="J78" s="21" t="s">
        <v>1269</v>
      </c>
      <c r="K78" s="23"/>
      <c r="L78" s="21" t="s">
        <v>1269</v>
      </c>
      <c r="M78" s="23"/>
      <c r="N78" s="21" t="s">
        <v>1269</v>
      </c>
      <c r="O78" s="23"/>
      <c r="P78" s="21" t="s">
        <v>1269</v>
      </c>
      <c r="Q78" s="23"/>
    </row>
    <row r="79" spans="1:17" x14ac:dyDescent="0.25">
      <c r="A79" s="19" t="s">
        <v>237</v>
      </c>
      <c r="B79" s="19" t="s">
        <v>45</v>
      </c>
      <c r="C79" s="19" t="s">
        <v>221</v>
      </c>
      <c r="D79" s="19" t="s">
        <v>238</v>
      </c>
      <c r="E79" s="19" t="s">
        <v>74</v>
      </c>
      <c r="F79" s="21" t="s">
        <v>1269</v>
      </c>
      <c r="G79" s="23"/>
      <c r="H79" s="21" t="s">
        <v>1269</v>
      </c>
      <c r="I79" s="23"/>
      <c r="J79" s="21" t="s">
        <v>1269</v>
      </c>
      <c r="K79" s="23"/>
      <c r="L79" s="21" t="s">
        <v>1269</v>
      </c>
      <c r="M79" s="23"/>
      <c r="N79" s="21" t="s">
        <v>1269</v>
      </c>
      <c r="O79" s="23"/>
      <c r="P79" s="21" t="s">
        <v>1269</v>
      </c>
      <c r="Q79" s="23"/>
    </row>
    <row r="80" spans="1:17" x14ac:dyDescent="0.25">
      <c r="A80" s="19" t="s">
        <v>239</v>
      </c>
      <c r="B80" s="19" t="s">
        <v>45</v>
      </c>
      <c r="C80" s="19" t="s">
        <v>221</v>
      </c>
      <c r="D80" s="19" t="s">
        <v>240</v>
      </c>
      <c r="E80" s="19" t="s">
        <v>79</v>
      </c>
      <c r="F80" s="21" t="s">
        <v>1269</v>
      </c>
      <c r="G80" s="23"/>
      <c r="H80" s="21" t="s">
        <v>1269</v>
      </c>
      <c r="I80" s="23"/>
      <c r="J80" s="21" t="s">
        <v>1269</v>
      </c>
      <c r="K80" s="23"/>
      <c r="L80" s="21" t="s">
        <v>1269</v>
      </c>
      <c r="M80" s="23"/>
      <c r="N80" s="21" t="s">
        <v>1269</v>
      </c>
      <c r="O80" s="23"/>
      <c r="P80" s="21" t="s">
        <v>1269</v>
      </c>
      <c r="Q80" s="23"/>
    </row>
    <row r="81" spans="1:17" x14ac:dyDescent="0.25">
      <c r="A81" s="19" t="s">
        <v>241</v>
      </c>
      <c r="B81" s="19" t="s">
        <v>45</v>
      </c>
      <c r="C81" s="19" t="s">
        <v>221</v>
      </c>
      <c r="D81" s="19" t="s">
        <v>242</v>
      </c>
      <c r="E81" s="19" t="s">
        <v>79</v>
      </c>
      <c r="F81" s="21" t="s">
        <v>1269</v>
      </c>
      <c r="G81" s="23"/>
      <c r="H81" s="21" t="s">
        <v>1269</v>
      </c>
      <c r="I81" s="23"/>
      <c r="J81" s="21" t="s">
        <v>1269</v>
      </c>
      <c r="K81" s="23"/>
      <c r="L81" s="21" t="s">
        <v>1269</v>
      </c>
      <c r="M81" s="23"/>
      <c r="N81" s="21" t="s">
        <v>1269</v>
      </c>
      <c r="O81" s="23"/>
      <c r="P81" s="21" t="s">
        <v>1269</v>
      </c>
      <c r="Q81" s="23"/>
    </row>
    <row r="82" spans="1:17" x14ac:dyDescent="0.25">
      <c r="A82" s="19" t="s">
        <v>243</v>
      </c>
      <c r="B82" s="19" t="s">
        <v>45</v>
      </c>
      <c r="C82" s="19" t="s">
        <v>221</v>
      </c>
      <c r="D82" s="19" t="s">
        <v>244</v>
      </c>
      <c r="E82" s="19" t="s">
        <v>79</v>
      </c>
      <c r="F82" s="21" t="s">
        <v>1269</v>
      </c>
      <c r="G82" s="23"/>
      <c r="H82" s="21" t="s">
        <v>1269</v>
      </c>
      <c r="I82" s="23"/>
      <c r="J82" s="21" t="s">
        <v>1269</v>
      </c>
      <c r="K82" s="23"/>
      <c r="L82" s="21" t="s">
        <v>1269</v>
      </c>
      <c r="M82" s="23"/>
      <c r="N82" s="21" t="s">
        <v>1269</v>
      </c>
      <c r="O82" s="23"/>
      <c r="P82" s="21" t="s">
        <v>1269</v>
      </c>
      <c r="Q82" s="23"/>
    </row>
    <row r="83" spans="1:17" x14ac:dyDescent="0.25">
      <c r="A83" s="19" t="s">
        <v>245</v>
      </c>
      <c r="B83" s="19" t="s">
        <v>45</v>
      </c>
      <c r="C83" s="19" t="s">
        <v>221</v>
      </c>
      <c r="D83" s="19" t="s">
        <v>246</v>
      </c>
      <c r="E83" s="19" t="s">
        <v>86</v>
      </c>
      <c r="F83" s="21" t="s">
        <v>1269</v>
      </c>
      <c r="G83" s="23"/>
      <c r="H83" s="21" t="s">
        <v>1269</v>
      </c>
      <c r="I83" s="23"/>
      <c r="J83" s="21" t="s">
        <v>1269</v>
      </c>
      <c r="K83" s="23"/>
      <c r="L83" s="21" t="s">
        <v>1269</v>
      </c>
      <c r="M83" s="23"/>
      <c r="N83" s="21" t="s">
        <v>1269</v>
      </c>
      <c r="O83" s="23"/>
      <c r="P83" s="21" t="s">
        <v>1269</v>
      </c>
      <c r="Q83" s="23"/>
    </row>
    <row r="84" spans="1:17" x14ac:dyDescent="0.25">
      <c r="A84" s="19" t="s">
        <v>247</v>
      </c>
      <c r="B84" s="19" t="s">
        <v>45</v>
      </c>
      <c r="C84" s="19" t="s">
        <v>221</v>
      </c>
      <c r="D84" s="19" t="s">
        <v>248</v>
      </c>
      <c r="E84" s="19" t="s">
        <v>89</v>
      </c>
      <c r="F84" s="21" t="s">
        <v>1269</v>
      </c>
      <c r="G84" s="23"/>
      <c r="H84" s="21" t="s">
        <v>1269</v>
      </c>
      <c r="I84" s="23"/>
      <c r="J84" s="21" t="s">
        <v>1269</v>
      </c>
      <c r="K84" s="23"/>
      <c r="L84" s="21" t="s">
        <v>1269</v>
      </c>
      <c r="M84" s="23"/>
      <c r="N84" s="21" t="s">
        <v>1269</v>
      </c>
      <c r="O84" s="23"/>
      <c r="P84" s="21" t="s">
        <v>1269</v>
      </c>
      <c r="Q84" s="23"/>
    </row>
    <row r="85" spans="1:17" x14ac:dyDescent="0.25">
      <c r="A85" s="19" t="s">
        <v>249</v>
      </c>
      <c r="B85" s="19" t="s">
        <v>45</v>
      </c>
      <c r="C85" s="19" t="s">
        <v>221</v>
      </c>
      <c r="D85" s="19" t="s">
        <v>250</v>
      </c>
      <c r="E85" s="19" t="s">
        <v>89</v>
      </c>
      <c r="F85" s="21" t="s">
        <v>1269</v>
      </c>
      <c r="G85" s="23"/>
      <c r="H85" s="21" t="s">
        <v>1269</v>
      </c>
      <c r="I85" s="23"/>
      <c r="J85" s="21" t="s">
        <v>1269</v>
      </c>
      <c r="K85" s="23"/>
      <c r="L85" s="21" t="s">
        <v>1269</v>
      </c>
      <c r="M85" s="23"/>
      <c r="N85" s="21" t="s">
        <v>1269</v>
      </c>
      <c r="O85" s="23"/>
      <c r="P85" s="21" t="s">
        <v>1269</v>
      </c>
      <c r="Q85" s="23"/>
    </row>
    <row r="86" spans="1:17" x14ac:dyDescent="0.25">
      <c r="A86" s="19" t="s">
        <v>251</v>
      </c>
      <c r="B86" s="19" t="s">
        <v>45</v>
      </c>
      <c r="C86" s="19" t="s">
        <v>221</v>
      </c>
      <c r="D86" s="19" t="s">
        <v>252</v>
      </c>
      <c r="E86" s="19" t="s">
        <v>94</v>
      </c>
      <c r="F86" s="21" t="s">
        <v>1269</v>
      </c>
      <c r="G86" s="23"/>
      <c r="H86" s="21" t="s">
        <v>1269</v>
      </c>
      <c r="I86" s="23"/>
      <c r="J86" s="21" t="s">
        <v>1269</v>
      </c>
      <c r="K86" s="23"/>
      <c r="L86" s="21" t="s">
        <v>1269</v>
      </c>
      <c r="M86" s="23"/>
      <c r="N86" s="21" t="s">
        <v>1269</v>
      </c>
      <c r="O86" s="23"/>
      <c r="P86" s="21" t="s">
        <v>1269</v>
      </c>
      <c r="Q86" s="23"/>
    </row>
    <row r="87" spans="1:17" x14ac:dyDescent="0.25">
      <c r="A87" s="19" t="s">
        <v>253</v>
      </c>
      <c r="B87" s="19" t="s">
        <v>45</v>
      </c>
      <c r="C87" s="19" t="s">
        <v>221</v>
      </c>
      <c r="D87" s="19" t="s">
        <v>254</v>
      </c>
      <c r="E87" s="19" t="s">
        <v>94</v>
      </c>
      <c r="F87" s="21" t="s">
        <v>1269</v>
      </c>
      <c r="G87" s="23"/>
      <c r="H87" s="21" t="s">
        <v>1269</v>
      </c>
      <c r="I87" s="23"/>
      <c r="J87" s="21" t="s">
        <v>1269</v>
      </c>
      <c r="K87" s="23"/>
      <c r="L87" s="21" t="s">
        <v>1269</v>
      </c>
      <c r="M87" s="23"/>
      <c r="N87" s="21" t="s">
        <v>1269</v>
      </c>
      <c r="O87" s="23"/>
      <c r="P87" s="21" t="s">
        <v>1269</v>
      </c>
      <c r="Q87" s="23"/>
    </row>
    <row r="88" spans="1:17" x14ac:dyDescent="0.25">
      <c r="A88" s="19" t="s">
        <v>255</v>
      </c>
      <c r="B88" s="19" t="s">
        <v>45</v>
      </c>
      <c r="C88" s="19" t="s">
        <v>221</v>
      </c>
      <c r="D88" s="19" t="s">
        <v>256</v>
      </c>
      <c r="E88" s="19" t="s">
        <v>94</v>
      </c>
      <c r="F88" s="21" t="s">
        <v>1269</v>
      </c>
      <c r="G88" s="23"/>
      <c r="H88" s="21" t="s">
        <v>1269</v>
      </c>
      <c r="I88" s="23"/>
      <c r="J88" s="21" t="s">
        <v>1269</v>
      </c>
      <c r="K88" s="23"/>
      <c r="L88" s="21" t="s">
        <v>1269</v>
      </c>
      <c r="M88" s="23"/>
      <c r="N88" s="21" t="s">
        <v>1269</v>
      </c>
      <c r="O88" s="23"/>
      <c r="P88" s="21" t="s">
        <v>1269</v>
      </c>
      <c r="Q88" s="23"/>
    </row>
    <row r="89" spans="1:17" x14ac:dyDescent="0.25">
      <c r="A89" s="19" t="s">
        <v>257</v>
      </c>
      <c r="B89" s="19" t="s">
        <v>45</v>
      </c>
      <c r="C89" s="19" t="s">
        <v>221</v>
      </c>
      <c r="D89" s="19" t="s">
        <v>258</v>
      </c>
      <c r="E89" s="19" t="s">
        <v>186</v>
      </c>
      <c r="F89" s="21" t="s">
        <v>1269</v>
      </c>
      <c r="G89" s="23"/>
      <c r="H89" s="21" t="s">
        <v>1269</v>
      </c>
      <c r="I89" s="23"/>
      <c r="J89" s="21" t="s">
        <v>1269</v>
      </c>
      <c r="K89" s="23"/>
      <c r="L89" s="21" t="s">
        <v>1269</v>
      </c>
      <c r="M89" s="23"/>
      <c r="N89" s="21" t="s">
        <v>1269</v>
      </c>
      <c r="O89" s="23"/>
      <c r="P89" s="21" t="s">
        <v>1269</v>
      </c>
      <c r="Q89" s="23"/>
    </row>
    <row r="90" spans="1:17" x14ac:dyDescent="0.25">
      <c r="A90" s="19" t="s">
        <v>259</v>
      </c>
      <c r="B90" s="19" t="s">
        <v>45</v>
      </c>
      <c r="C90" s="19" t="s">
        <v>221</v>
      </c>
      <c r="D90" s="19" t="s">
        <v>260</v>
      </c>
      <c r="E90" s="19" t="s">
        <v>101</v>
      </c>
      <c r="F90" s="21" t="s">
        <v>1269</v>
      </c>
      <c r="G90" s="23"/>
      <c r="H90" s="21" t="s">
        <v>1269</v>
      </c>
      <c r="I90" s="23"/>
      <c r="J90" s="21" t="s">
        <v>1269</v>
      </c>
      <c r="K90" s="23"/>
      <c r="L90" s="21" t="s">
        <v>1269</v>
      </c>
      <c r="M90" s="23"/>
      <c r="N90" s="21" t="s">
        <v>1269</v>
      </c>
      <c r="O90" s="23"/>
      <c r="P90" s="21" t="s">
        <v>1269</v>
      </c>
      <c r="Q90" s="23"/>
    </row>
    <row r="91" spans="1:17" x14ac:dyDescent="0.25">
      <c r="A91" s="19" t="s">
        <v>261</v>
      </c>
      <c r="B91" s="19" t="s">
        <v>45</v>
      </c>
      <c r="C91" s="19" t="s">
        <v>221</v>
      </c>
      <c r="D91" s="19" t="s">
        <v>262</v>
      </c>
      <c r="E91" s="19" t="s">
        <v>101</v>
      </c>
      <c r="F91" s="21" t="s">
        <v>1269</v>
      </c>
      <c r="G91" s="23"/>
      <c r="H91" s="21" t="s">
        <v>1269</v>
      </c>
      <c r="I91" s="23"/>
      <c r="J91" s="21" t="s">
        <v>1269</v>
      </c>
      <c r="K91" s="23"/>
      <c r="L91" s="21" t="s">
        <v>1269</v>
      </c>
      <c r="M91" s="23"/>
      <c r="N91" s="21" t="s">
        <v>1269</v>
      </c>
      <c r="O91" s="23"/>
      <c r="P91" s="21" t="s">
        <v>1269</v>
      </c>
      <c r="Q91" s="23"/>
    </row>
    <row r="92" spans="1:17" x14ac:dyDescent="0.25">
      <c r="A92" s="19" t="s">
        <v>263</v>
      </c>
      <c r="B92" s="19" t="s">
        <v>45</v>
      </c>
      <c r="C92" s="19" t="s">
        <v>221</v>
      </c>
      <c r="D92" s="19" t="s">
        <v>264</v>
      </c>
      <c r="E92" s="19" t="s">
        <v>106</v>
      </c>
      <c r="F92" s="21" t="s">
        <v>1269</v>
      </c>
      <c r="G92" s="23"/>
      <c r="H92" s="21" t="s">
        <v>1269</v>
      </c>
      <c r="I92" s="23"/>
      <c r="J92" s="21" t="s">
        <v>1269</v>
      </c>
      <c r="K92" s="23"/>
      <c r="L92" s="21" t="s">
        <v>1269</v>
      </c>
      <c r="M92" s="23"/>
      <c r="N92" s="21" t="s">
        <v>1269</v>
      </c>
      <c r="O92" s="23"/>
      <c r="P92" s="21" t="s">
        <v>1269</v>
      </c>
      <c r="Q92" s="23"/>
    </row>
    <row r="93" spans="1:17" x14ac:dyDescent="0.25">
      <c r="A93" s="19" t="s">
        <v>265</v>
      </c>
      <c r="B93" s="19" t="s">
        <v>45</v>
      </c>
      <c r="C93" s="19" t="s">
        <v>221</v>
      </c>
      <c r="D93" s="19" t="s">
        <v>266</v>
      </c>
      <c r="E93" s="19" t="s">
        <v>109</v>
      </c>
      <c r="F93" s="21" t="s">
        <v>1269</v>
      </c>
      <c r="G93" s="23"/>
      <c r="H93" s="21" t="s">
        <v>1269</v>
      </c>
      <c r="I93" s="23"/>
      <c r="J93" s="21" t="s">
        <v>1269</v>
      </c>
      <c r="K93" s="23"/>
      <c r="L93" s="21" t="s">
        <v>1269</v>
      </c>
      <c r="M93" s="23"/>
      <c r="N93" s="21" t="s">
        <v>1269</v>
      </c>
      <c r="O93" s="23"/>
      <c r="P93" s="21" t="s">
        <v>1269</v>
      </c>
      <c r="Q93" s="23"/>
    </row>
    <row r="94" spans="1:17" x14ac:dyDescent="0.25">
      <c r="A94" s="19" t="s">
        <v>267</v>
      </c>
      <c r="B94" s="19" t="s">
        <v>45</v>
      </c>
      <c r="C94" s="19" t="s">
        <v>221</v>
      </c>
      <c r="D94" s="19" t="s">
        <v>268</v>
      </c>
      <c r="E94" s="19" t="s">
        <v>113</v>
      </c>
      <c r="F94" s="21" t="s">
        <v>1269</v>
      </c>
      <c r="G94" s="23"/>
      <c r="H94" s="21" t="s">
        <v>1269</v>
      </c>
      <c r="I94" s="23"/>
      <c r="J94" s="21" t="s">
        <v>1269</v>
      </c>
      <c r="K94" s="23"/>
      <c r="L94" s="21" t="s">
        <v>1269</v>
      </c>
      <c r="M94" s="23"/>
      <c r="N94" s="21" t="s">
        <v>1269</v>
      </c>
      <c r="O94" s="23"/>
      <c r="P94" s="21" t="s">
        <v>1269</v>
      </c>
      <c r="Q94" s="23"/>
    </row>
    <row r="95" spans="1:17" x14ac:dyDescent="0.25">
      <c r="A95" s="19" t="s">
        <v>269</v>
      </c>
      <c r="B95" s="19" t="s">
        <v>45</v>
      </c>
      <c r="C95" s="19" t="s">
        <v>221</v>
      </c>
      <c r="D95" s="19" t="s">
        <v>270</v>
      </c>
      <c r="E95" s="19" t="s">
        <v>113</v>
      </c>
      <c r="F95" s="21" t="s">
        <v>1269</v>
      </c>
      <c r="G95" s="23"/>
      <c r="H95" s="21" t="s">
        <v>1269</v>
      </c>
      <c r="I95" s="23"/>
      <c r="J95" s="21" t="s">
        <v>1269</v>
      </c>
      <c r="K95" s="23"/>
      <c r="L95" s="21" t="s">
        <v>1269</v>
      </c>
      <c r="M95" s="23"/>
      <c r="N95" s="21" t="s">
        <v>1269</v>
      </c>
      <c r="O95" s="23"/>
      <c r="P95" s="21" t="s">
        <v>1269</v>
      </c>
      <c r="Q95" s="23"/>
    </row>
    <row r="96" spans="1:17" x14ac:dyDescent="0.25">
      <c r="A96" s="19" t="s">
        <v>271</v>
      </c>
      <c r="B96" s="19" t="s">
        <v>45</v>
      </c>
      <c r="C96" s="19" t="s">
        <v>221</v>
      </c>
      <c r="D96" s="19" t="s">
        <v>272</v>
      </c>
      <c r="E96" s="19" t="s">
        <v>113</v>
      </c>
      <c r="F96" s="21" t="s">
        <v>1269</v>
      </c>
      <c r="G96" s="23"/>
      <c r="H96" s="21" t="s">
        <v>1269</v>
      </c>
      <c r="I96" s="23"/>
      <c r="J96" s="21" t="s">
        <v>1269</v>
      </c>
      <c r="K96" s="23"/>
      <c r="L96" s="21" t="s">
        <v>1269</v>
      </c>
      <c r="M96" s="23"/>
      <c r="N96" s="21" t="s">
        <v>1269</v>
      </c>
      <c r="O96" s="23"/>
      <c r="P96" s="21" t="s">
        <v>1269</v>
      </c>
      <c r="Q96" s="23"/>
    </row>
    <row r="97" spans="1:17" x14ac:dyDescent="0.25">
      <c r="A97" s="19" t="s">
        <v>273</v>
      </c>
      <c r="B97" s="19" t="s">
        <v>45</v>
      </c>
      <c r="C97" s="19" t="s">
        <v>221</v>
      </c>
      <c r="D97" s="19" t="s">
        <v>274</v>
      </c>
      <c r="E97" s="19" t="s">
        <v>120</v>
      </c>
      <c r="F97" s="21" t="s">
        <v>1269</v>
      </c>
      <c r="G97" s="23"/>
      <c r="H97" s="21" t="s">
        <v>1269</v>
      </c>
      <c r="I97" s="23"/>
      <c r="J97" s="21" t="s">
        <v>1269</v>
      </c>
      <c r="K97" s="23"/>
      <c r="L97" s="21" t="s">
        <v>1269</v>
      </c>
      <c r="M97" s="23"/>
      <c r="N97" s="21" t="s">
        <v>1269</v>
      </c>
      <c r="O97" s="23"/>
      <c r="P97" s="21" t="s">
        <v>1269</v>
      </c>
      <c r="Q97" s="23"/>
    </row>
    <row r="98" spans="1:17" x14ac:dyDescent="0.25">
      <c r="A98" s="19" t="s">
        <v>275</v>
      </c>
      <c r="B98" s="19" t="s">
        <v>45</v>
      </c>
      <c r="C98" s="19" t="s">
        <v>221</v>
      </c>
      <c r="D98" s="19" t="s">
        <v>276</v>
      </c>
      <c r="E98" s="19" t="s">
        <v>205</v>
      </c>
      <c r="F98" s="21" t="s">
        <v>1269</v>
      </c>
      <c r="G98" s="23"/>
      <c r="H98" s="21" t="s">
        <v>1269</v>
      </c>
      <c r="I98" s="23"/>
      <c r="J98" s="21" t="s">
        <v>1269</v>
      </c>
      <c r="K98" s="23"/>
      <c r="L98" s="21" t="s">
        <v>1269</v>
      </c>
      <c r="M98" s="23"/>
      <c r="N98" s="21" t="s">
        <v>1269</v>
      </c>
      <c r="O98" s="23"/>
      <c r="P98" s="21" t="s">
        <v>1269</v>
      </c>
      <c r="Q98" s="23"/>
    </row>
    <row r="99" spans="1:17" x14ac:dyDescent="0.25">
      <c r="A99" s="19" t="s">
        <v>277</v>
      </c>
      <c r="B99" s="19" t="s">
        <v>45</v>
      </c>
      <c r="C99" s="19" t="s">
        <v>221</v>
      </c>
      <c r="D99" s="19" t="s">
        <v>278</v>
      </c>
      <c r="E99" s="19" t="s">
        <v>205</v>
      </c>
      <c r="F99" s="21" t="s">
        <v>1269</v>
      </c>
      <c r="G99" s="23"/>
      <c r="H99" s="21" t="s">
        <v>1269</v>
      </c>
      <c r="I99" s="23"/>
      <c r="J99" s="21" t="s">
        <v>1269</v>
      </c>
      <c r="K99" s="23"/>
      <c r="L99" s="21" t="s">
        <v>1269</v>
      </c>
      <c r="M99" s="23"/>
      <c r="N99" s="21" t="s">
        <v>1269</v>
      </c>
      <c r="O99" s="23"/>
      <c r="P99" s="21" t="s">
        <v>1269</v>
      </c>
      <c r="Q99" s="23"/>
    </row>
    <row r="100" spans="1:17" x14ac:dyDescent="0.25">
      <c r="A100" s="19" t="s">
        <v>279</v>
      </c>
      <c r="B100" s="19" t="s">
        <v>45</v>
      </c>
      <c r="C100" s="19" t="s">
        <v>221</v>
      </c>
      <c r="D100" s="19" t="s">
        <v>280</v>
      </c>
      <c r="E100" s="19" t="s">
        <v>126</v>
      </c>
      <c r="F100" s="21" t="s">
        <v>1269</v>
      </c>
      <c r="G100" s="23"/>
      <c r="H100" s="21" t="s">
        <v>1269</v>
      </c>
      <c r="I100" s="23"/>
      <c r="J100" s="21" t="s">
        <v>1269</v>
      </c>
      <c r="K100" s="23"/>
      <c r="L100" s="21" t="s">
        <v>1269</v>
      </c>
      <c r="M100" s="23"/>
      <c r="N100" s="21" t="s">
        <v>1269</v>
      </c>
      <c r="O100" s="23"/>
      <c r="P100" s="21" t="s">
        <v>1269</v>
      </c>
      <c r="Q100" s="23"/>
    </row>
    <row r="101" spans="1:17" x14ac:dyDescent="0.25">
      <c r="A101" s="19" t="s">
        <v>281</v>
      </c>
      <c r="B101" s="19" t="s">
        <v>45</v>
      </c>
      <c r="C101" s="19" t="s">
        <v>221</v>
      </c>
      <c r="D101" s="19" t="s">
        <v>282</v>
      </c>
      <c r="E101" s="19" t="s">
        <v>126</v>
      </c>
      <c r="F101" s="21" t="s">
        <v>1269</v>
      </c>
      <c r="G101" s="23"/>
      <c r="H101" s="21" t="s">
        <v>1269</v>
      </c>
      <c r="I101" s="23"/>
      <c r="J101" s="21" t="s">
        <v>1269</v>
      </c>
      <c r="K101" s="23"/>
      <c r="L101" s="21" t="s">
        <v>1269</v>
      </c>
      <c r="M101" s="23"/>
      <c r="N101" s="21" t="s">
        <v>1269</v>
      </c>
      <c r="O101" s="23"/>
      <c r="P101" s="21" t="s">
        <v>1269</v>
      </c>
      <c r="Q101" s="23"/>
    </row>
    <row r="102" spans="1:17" x14ac:dyDescent="0.25">
      <c r="A102" s="19" t="s">
        <v>283</v>
      </c>
      <c r="B102" s="19" t="s">
        <v>45</v>
      </c>
      <c r="C102" s="19" t="s">
        <v>221</v>
      </c>
      <c r="D102" s="19" t="s">
        <v>284</v>
      </c>
      <c r="E102" s="19" t="s">
        <v>131</v>
      </c>
      <c r="F102" s="21" t="s">
        <v>1269</v>
      </c>
      <c r="G102" s="23"/>
      <c r="H102" s="21" t="s">
        <v>1269</v>
      </c>
      <c r="I102" s="23"/>
      <c r="J102" s="21" t="s">
        <v>1269</v>
      </c>
      <c r="K102" s="23"/>
      <c r="L102" s="21" t="s">
        <v>1269</v>
      </c>
      <c r="M102" s="23"/>
      <c r="N102" s="21" t="s">
        <v>1269</v>
      </c>
      <c r="O102" s="23"/>
      <c r="P102" s="21" t="s">
        <v>1269</v>
      </c>
      <c r="Q102" s="23"/>
    </row>
    <row r="103" spans="1:17" x14ac:dyDescent="0.25">
      <c r="A103" s="19" t="s">
        <v>285</v>
      </c>
      <c r="B103" s="19" t="s">
        <v>45</v>
      </c>
      <c r="C103" s="19" t="s">
        <v>221</v>
      </c>
      <c r="D103" s="19" t="s">
        <v>286</v>
      </c>
      <c r="E103" s="19" t="s">
        <v>287</v>
      </c>
      <c r="F103" s="21" t="s">
        <v>1269</v>
      </c>
      <c r="G103" s="23"/>
      <c r="H103" s="21" t="s">
        <v>1269</v>
      </c>
      <c r="I103" s="23"/>
      <c r="J103" s="21" t="s">
        <v>1269</v>
      </c>
      <c r="K103" s="23"/>
      <c r="L103" s="21" t="s">
        <v>1269</v>
      </c>
      <c r="M103" s="23"/>
      <c r="N103" s="21" t="s">
        <v>1269</v>
      </c>
      <c r="O103" s="23"/>
      <c r="P103" s="21" t="s">
        <v>1269</v>
      </c>
      <c r="Q103" s="23"/>
    </row>
    <row r="104" spans="1:17" x14ac:dyDescent="0.25">
      <c r="A104" s="19" t="s">
        <v>288</v>
      </c>
      <c r="B104" s="19" t="s">
        <v>45</v>
      </c>
      <c r="C104" s="19" t="s">
        <v>221</v>
      </c>
      <c r="D104" s="19" t="s">
        <v>289</v>
      </c>
      <c r="E104" s="19" t="s">
        <v>141</v>
      </c>
      <c r="F104" s="21" t="s">
        <v>1269</v>
      </c>
      <c r="G104" s="23"/>
      <c r="H104" s="21" t="s">
        <v>1269</v>
      </c>
      <c r="I104" s="23"/>
      <c r="J104" s="21" t="s">
        <v>1269</v>
      </c>
      <c r="K104" s="23"/>
      <c r="L104" s="21" t="s">
        <v>1269</v>
      </c>
      <c r="M104" s="23"/>
      <c r="N104" s="21" t="s">
        <v>1269</v>
      </c>
      <c r="O104" s="23"/>
      <c r="P104" s="21" t="s">
        <v>1269</v>
      </c>
      <c r="Q104" s="23"/>
    </row>
    <row r="105" spans="1:17" x14ac:dyDescent="0.25">
      <c r="A105" s="19" t="s">
        <v>290</v>
      </c>
      <c r="B105" s="19" t="s">
        <v>45</v>
      </c>
      <c r="C105" s="19" t="s">
        <v>221</v>
      </c>
      <c r="D105" s="19" t="s">
        <v>291</v>
      </c>
      <c r="E105" s="19" t="s">
        <v>144</v>
      </c>
      <c r="F105" s="21" t="s">
        <v>1269</v>
      </c>
      <c r="G105" s="23"/>
      <c r="H105" s="21" t="s">
        <v>1269</v>
      </c>
      <c r="I105" s="23"/>
      <c r="J105" s="21" t="s">
        <v>1269</v>
      </c>
      <c r="K105" s="23"/>
      <c r="L105" s="21" t="s">
        <v>1269</v>
      </c>
      <c r="M105" s="23"/>
      <c r="N105" s="21" t="s">
        <v>1269</v>
      </c>
      <c r="O105" s="23"/>
      <c r="P105" s="21" t="s">
        <v>1269</v>
      </c>
      <c r="Q105" s="23"/>
    </row>
    <row r="106" spans="1:17" x14ac:dyDescent="0.25">
      <c r="A106" s="19" t="s">
        <v>292</v>
      </c>
      <c r="B106" s="19" t="s">
        <v>45</v>
      </c>
      <c r="C106" s="19" t="s">
        <v>293</v>
      </c>
      <c r="D106" s="19" t="s">
        <v>294</v>
      </c>
      <c r="E106" s="19" t="s">
        <v>53</v>
      </c>
      <c r="F106" s="21" t="s">
        <v>1269</v>
      </c>
      <c r="G106" s="23"/>
      <c r="H106" s="21" t="s">
        <v>1269</v>
      </c>
      <c r="I106" s="23"/>
      <c r="J106" s="21" t="s">
        <v>1269</v>
      </c>
      <c r="K106" s="23"/>
      <c r="L106" s="21" t="s">
        <v>1269</v>
      </c>
      <c r="M106" s="23"/>
      <c r="N106" s="21" t="s">
        <v>1269</v>
      </c>
      <c r="O106" s="23"/>
      <c r="P106" s="21" t="s">
        <v>1269</v>
      </c>
      <c r="Q106" s="23"/>
    </row>
    <row r="107" spans="1:17" x14ac:dyDescent="0.25">
      <c r="A107" s="19" t="s">
        <v>295</v>
      </c>
      <c r="B107" s="19" t="s">
        <v>45</v>
      </c>
      <c r="C107" s="19" t="s">
        <v>293</v>
      </c>
      <c r="D107" s="19" t="s">
        <v>296</v>
      </c>
      <c r="E107" s="19" t="s">
        <v>297</v>
      </c>
      <c r="F107" s="21" t="s">
        <v>1269</v>
      </c>
      <c r="G107" s="23"/>
      <c r="H107" s="21" t="s">
        <v>1269</v>
      </c>
      <c r="I107" s="23"/>
      <c r="J107" s="21" t="s">
        <v>1269</v>
      </c>
      <c r="K107" s="23"/>
      <c r="L107" s="21" t="s">
        <v>1269</v>
      </c>
      <c r="M107" s="23"/>
      <c r="N107" s="21" t="s">
        <v>1269</v>
      </c>
      <c r="O107" s="23"/>
      <c r="P107" s="21" t="s">
        <v>1269</v>
      </c>
      <c r="Q107" s="23"/>
    </row>
    <row r="108" spans="1:17" x14ac:dyDescent="0.25">
      <c r="A108" s="19" t="s">
        <v>299</v>
      </c>
      <c r="B108" s="19" t="s">
        <v>45</v>
      </c>
      <c r="C108" s="19" t="s">
        <v>293</v>
      </c>
      <c r="D108" s="19" t="s">
        <v>300</v>
      </c>
      <c r="E108" s="19" t="s">
        <v>59</v>
      </c>
      <c r="F108" s="21" t="s">
        <v>1269</v>
      </c>
      <c r="G108" s="23"/>
      <c r="H108" s="21" t="s">
        <v>1269</v>
      </c>
      <c r="I108" s="23"/>
      <c r="J108" s="21" t="s">
        <v>1269</v>
      </c>
      <c r="K108" s="23"/>
      <c r="L108" s="21" t="s">
        <v>1269</v>
      </c>
      <c r="M108" s="23"/>
      <c r="N108" s="21" t="s">
        <v>1269</v>
      </c>
      <c r="O108" s="23"/>
      <c r="P108" s="21" t="s">
        <v>1269</v>
      </c>
      <c r="Q108" s="23"/>
    </row>
    <row r="109" spans="1:17" x14ac:dyDescent="0.25">
      <c r="A109" s="19" t="s">
        <v>301</v>
      </c>
      <c r="B109" s="19" t="s">
        <v>45</v>
      </c>
      <c r="C109" s="19" t="s">
        <v>293</v>
      </c>
      <c r="D109" s="19" t="s">
        <v>302</v>
      </c>
      <c r="E109" s="19" t="s">
        <v>155</v>
      </c>
      <c r="F109" s="21" t="s">
        <v>1269</v>
      </c>
      <c r="G109" s="23"/>
      <c r="H109" s="21" t="s">
        <v>1269</v>
      </c>
      <c r="I109" s="23"/>
      <c r="J109" s="21" t="s">
        <v>1269</v>
      </c>
      <c r="K109" s="23"/>
      <c r="L109" s="21" t="s">
        <v>1269</v>
      </c>
      <c r="M109" s="23"/>
      <c r="N109" s="21" t="s">
        <v>1269</v>
      </c>
      <c r="O109" s="23"/>
      <c r="P109" s="21" t="s">
        <v>1269</v>
      </c>
      <c r="Q109" s="23"/>
    </row>
    <row r="110" spans="1:17" x14ac:dyDescent="0.25">
      <c r="A110" s="19" t="s">
        <v>303</v>
      </c>
      <c r="B110" s="19" t="s">
        <v>45</v>
      </c>
      <c r="C110" s="19" t="s">
        <v>293</v>
      </c>
      <c r="D110" s="19" t="s">
        <v>304</v>
      </c>
      <c r="E110" s="19" t="s">
        <v>66</v>
      </c>
      <c r="F110" s="21" t="s">
        <v>1269</v>
      </c>
      <c r="G110" s="23"/>
      <c r="H110" s="21" t="s">
        <v>1269</v>
      </c>
      <c r="I110" s="23"/>
      <c r="J110" s="21" t="s">
        <v>1269</v>
      </c>
      <c r="K110" s="23"/>
      <c r="L110" s="21" t="s">
        <v>1269</v>
      </c>
      <c r="M110" s="23"/>
      <c r="N110" s="21" t="s">
        <v>1269</v>
      </c>
      <c r="O110" s="23"/>
      <c r="P110" s="21" t="s">
        <v>1269</v>
      </c>
      <c r="Q110" s="23"/>
    </row>
    <row r="111" spans="1:17" x14ac:dyDescent="0.25">
      <c r="A111" s="19" t="s">
        <v>305</v>
      </c>
      <c r="B111" s="19" t="s">
        <v>45</v>
      </c>
      <c r="C111" s="19" t="s">
        <v>293</v>
      </c>
      <c r="D111" s="19" t="s">
        <v>306</v>
      </c>
      <c r="E111" s="19" t="s">
        <v>66</v>
      </c>
      <c r="F111" s="21" t="s">
        <v>1269</v>
      </c>
      <c r="G111" s="23"/>
      <c r="H111" s="21" t="s">
        <v>1269</v>
      </c>
      <c r="I111" s="23"/>
      <c r="J111" s="21" t="s">
        <v>1269</v>
      </c>
      <c r="K111" s="23"/>
      <c r="L111" s="21" t="s">
        <v>1269</v>
      </c>
      <c r="M111" s="23"/>
      <c r="N111" s="21" t="s">
        <v>1269</v>
      </c>
      <c r="O111" s="23"/>
      <c r="P111" s="21" t="s">
        <v>1269</v>
      </c>
      <c r="Q111" s="23"/>
    </row>
    <row r="112" spans="1:17" x14ac:dyDescent="0.25">
      <c r="A112" s="19" t="s">
        <v>307</v>
      </c>
      <c r="B112" s="19" t="s">
        <v>45</v>
      </c>
      <c r="C112" s="19" t="s">
        <v>293</v>
      </c>
      <c r="D112" s="19" t="s">
        <v>308</v>
      </c>
      <c r="E112" s="19" t="s">
        <v>66</v>
      </c>
      <c r="F112" s="21" t="s">
        <v>1269</v>
      </c>
      <c r="G112" s="23"/>
      <c r="H112" s="21" t="s">
        <v>1269</v>
      </c>
      <c r="I112" s="23"/>
      <c r="J112" s="21" t="s">
        <v>1269</v>
      </c>
      <c r="K112" s="23"/>
      <c r="L112" s="21" t="s">
        <v>1269</v>
      </c>
      <c r="M112" s="23"/>
      <c r="N112" s="21" t="s">
        <v>1269</v>
      </c>
      <c r="O112" s="23"/>
      <c r="P112" s="21" t="s">
        <v>1269</v>
      </c>
      <c r="Q112" s="23"/>
    </row>
    <row r="113" spans="1:17" x14ac:dyDescent="0.25">
      <c r="A113" s="19" t="s">
        <v>309</v>
      </c>
      <c r="B113" s="19" t="s">
        <v>45</v>
      </c>
      <c r="C113" s="19" t="s">
        <v>293</v>
      </c>
      <c r="D113" s="19" t="s">
        <v>310</v>
      </c>
      <c r="E113" s="19" t="s">
        <v>74</v>
      </c>
      <c r="F113" s="21" t="s">
        <v>1269</v>
      </c>
      <c r="G113" s="23"/>
      <c r="H113" s="21" t="s">
        <v>1269</v>
      </c>
      <c r="I113" s="23"/>
      <c r="J113" s="21" t="s">
        <v>1269</v>
      </c>
      <c r="K113" s="23"/>
      <c r="L113" s="21" t="s">
        <v>1269</v>
      </c>
      <c r="M113" s="23"/>
      <c r="N113" s="21" t="s">
        <v>1269</v>
      </c>
      <c r="O113" s="23"/>
      <c r="P113" s="21" t="s">
        <v>1269</v>
      </c>
      <c r="Q113" s="23"/>
    </row>
    <row r="114" spans="1:17" x14ac:dyDescent="0.25">
      <c r="A114" s="19" t="s">
        <v>311</v>
      </c>
      <c r="B114" s="19" t="s">
        <v>45</v>
      </c>
      <c r="C114" s="19" t="s">
        <v>293</v>
      </c>
      <c r="D114" s="19" t="s">
        <v>312</v>
      </c>
      <c r="E114" s="19" t="s">
        <v>74</v>
      </c>
      <c r="F114" s="21" t="s">
        <v>1269</v>
      </c>
      <c r="G114" s="23"/>
      <c r="H114" s="21" t="s">
        <v>1269</v>
      </c>
      <c r="I114" s="23"/>
      <c r="J114" s="21" t="s">
        <v>1269</v>
      </c>
      <c r="K114" s="23"/>
      <c r="L114" s="21" t="s">
        <v>1269</v>
      </c>
      <c r="M114" s="23"/>
      <c r="N114" s="21" t="s">
        <v>1269</v>
      </c>
      <c r="O114" s="23"/>
      <c r="P114" s="21" t="s">
        <v>1269</v>
      </c>
      <c r="Q114" s="23"/>
    </row>
    <row r="115" spans="1:17" x14ac:dyDescent="0.25">
      <c r="A115" s="19" t="s">
        <v>313</v>
      </c>
      <c r="B115" s="19" t="s">
        <v>45</v>
      </c>
      <c r="C115" s="19" t="s">
        <v>293</v>
      </c>
      <c r="D115" s="19" t="s">
        <v>314</v>
      </c>
      <c r="E115" s="19" t="s">
        <v>79</v>
      </c>
      <c r="F115" s="21" t="s">
        <v>1269</v>
      </c>
      <c r="G115" s="23"/>
      <c r="H115" s="21" t="s">
        <v>1269</v>
      </c>
      <c r="I115" s="23"/>
      <c r="J115" s="21" t="s">
        <v>1269</v>
      </c>
      <c r="K115" s="23"/>
      <c r="L115" s="21" t="s">
        <v>1269</v>
      </c>
      <c r="M115" s="23"/>
      <c r="N115" s="21" t="s">
        <v>1269</v>
      </c>
      <c r="O115" s="23"/>
      <c r="P115" s="21" t="s">
        <v>1269</v>
      </c>
      <c r="Q115" s="23"/>
    </row>
    <row r="116" spans="1:17" x14ac:dyDescent="0.25">
      <c r="A116" s="19" t="s">
        <v>315</v>
      </c>
      <c r="B116" s="19" t="s">
        <v>45</v>
      </c>
      <c r="C116" s="19" t="s">
        <v>293</v>
      </c>
      <c r="D116" s="19" t="s">
        <v>316</v>
      </c>
      <c r="E116" s="19" t="s">
        <v>79</v>
      </c>
      <c r="F116" s="21" t="s">
        <v>1269</v>
      </c>
      <c r="G116" s="23"/>
      <c r="H116" s="21" t="s">
        <v>1269</v>
      </c>
      <c r="I116" s="23"/>
      <c r="J116" s="21" t="s">
        <v>1269</v>
      </c>
      <c r="K116" s="23"/>
      <c r="L116" s="21" t="s">
        <v>1269</v>
      </c>
      <c r="M116" s="23"/>
      <c r="N116" s="21" t="s">
        <v>1269</v>
      </c>
      <c r="O116" s="23"/>
      <c r="P116" s="21" t="s">
        <v>1269</v>
      </c>
      <c r="Q116" s="23"/>
    </row>
    <row r="117" spans="1:17" x14ac:dyDescent="0.25">
      <c r="A117" s="19" t="s">
        <v>317</v>
      </c>
      <c r="B117" s="19" t="s">
        <v>45</v>
      </c>
      <c r="C117" s="19" t="s">
        <v>293</v>
      </c>
      <c r="D117" s="19" t="s">
        <v>318</v>
      </c>
      <c r="E117" s="19" t="s">
        <v>79</v>
      </c>
      <c r="F117" s="21" t="s">
        <v>1269</v>
      </c>
      <c r="G117" s="23"/>
      <c r="H117" s="21" t="s">
        <v>1269</v>
      </c>
      <c r="I117" s="23"/>
      <c r="J117" s="21" t="s">
        <v>1269</v>
      </c>
      <c r="K117" s="23"/>
      <c r="L117" s="21" t="s">
        <v>1269</v>
      </c>
      <c r="M117" s="23"/>
      <c r="N117" s="21" t="s">
        <v>1269</v>
      </c>
      <c r="O117" s="23"/>
      <c r="P117" s="21" t="s">
        <v>1269</v>
      </c>
      <c r="Q117" s="23"/>
    </row>
    <row r="118" spans="1:17" x14ac:dyDescent="0.25">
      <c r="A118" s="19" t="s">
        <v>319</v>
      </c>
      <c r="B118" s="19" t="s">
        <v>45</v>
      </c>
      <c r="C118" s="19" t="s">
        <v>293</v>
      </c>
      <c r="D118" s="19" t="s">
        <v>320</v>
      </c>
      <c r="E118" s="19" t="s">
        <v>86</v>
      </c>
      <c r="F118" s="21" t="s">
        <v>1269</v>
      </c>
      <c r="G118" s="23"/>
      <c r="H118" s="21" t="s">
        <v>1269</v>
      </c>
      <c r="I118" s="23"/>
      <c r="J118" s="21" t="s">
        <v>1269</v>
      </c>
      <c r="K118" s="23"/>
      <c r="L118" s="21" t="s">
        <v>1269</v>
      </c>
      <c r="M118" s="23"/>
      <c r="N118" s="21" t="s">
        <v>1269</v>
      </c>
      <c r="O118" s="23"/>
      <c r="P118" s="21" t="s">
        <v>1269</v>
      </c>
      <c r="Q118" s="23"/>
    </row>
    <row r="119" spans="1:17" x14ac:dyDescent="0.25">
      <c r="A119" s="19" t="s">
        <v>321</v>
      </c>
      <c r="B119" s="19" t="s">
        <v>45</v>
      </c>
      <c r="C119" s="19" t="s">
        <v>293</v>
      </c>
      <c r="D119" s="19" t="s">
        <v>322</v>
      </c>
      <c r="E119" s="19" t="s">
        <v>89</v>
      </c>
      <c r="F119" s="21" t="s">
        <v>1269</v>
      </c>
      <c r="G119" s="23"/>
      <c r="H119" s="21" t="s">
        <v>1269</v>
      </c>
      <c r="I119" s="23"/>
      <c r="J119" s="21" t="s">
        <v>1269</v>
      </c>
      <c r="K119" s="23"/>
      <c r="L119" s="21" t="s">
        <v>1269</v>
      </c>
      <c r="M119" s="23"/>
      <c r="N119" s="21" t="s">
        <v>1269</v>
      </c>
      <c r="O119" s="23"/>
      <c r="P119" s="21" t="s">
        <v>1269</v>
      </c>
      <c r="Q119" s="23"/>
    </row>
    <row r="120" spans="1:17" x14ac:dyDescent="0.25">
      <c r="A120" s="19" t="s">
        <v>323</v>
      </c>
      <c r="B120" s="19" t="s">
        <v>45</v>
      </c>
      <c r="C120" s="19" t="s">
        <v>293</v>
      </c>
      <c r="D120" s="19" t="s">
        <v>324</v>
      </c>
      <c r="E120" s="19" t="s">
        <v>89</v>
      </c>
      <c r="F120" s="21" t="s">
        <v>1269</v>
      </c>
      <c r="G120" s="23"/>
      <c r="H120" s="21" t="s">
        <v>1269</v>
      </c>
      <c r="I120" s="23"/>
      <c r="J120" s="21" t="s">
        <v>1269</v>
      </c>
      <c r="K120" s="23"/>
      <c r="L120" s="21" t="s">
        <v>1269</v>
      </c>
      <c r="M120" s="23"/>
      <c r="N120" s="21" t="s">
        <v>1269</v>
      </c>
      <c r="O120" s="23"/>
      <c r="P120" s="21" t="s">
        <v>1269</v>
      </c>
      <c r="Q120" s="23"/>
    </row>
    <row r="121" spans="1:17" x14ac:dyDescent="0.25">
      <c r="A121" s="19" t="s">
        <v>325</v>
      </c>
      <c r="B121" s="19" t="s">
        <v>45</v>
      </c>
      <c r="C121" s="19" t="s">
        <v>293</v>
      </c>
      <c r="D121" s="19" t="s">
        <v>326</v>
      </c>
      <c r="E121" s="19" t="s">
        <v>94</v>
      </c>
      <c r="F121" s="21" t="s">
        <v>1269</v>
      </c>
      <c r="G121" s="23"/>
      <c r="H121" s="21" t="s">
        <v>1269</v>
      </c>
      <c r="I121" s="23"/>
      <c r="J121" s="21" t="s">
        <v>1269</v>
      </c>
      <c r="K121" s="23"/>
      <c r="L121" s="21" t="s">
        <v>1269</v>
      </c>
      <c r="M121" s="23"/>
      <c r="N121" s="21" t="s">
        <v>1269</v>
      </c>
      <c r="O121" s="23"/>
      <c r="P121" s="21" t="s">
        <v>1269</v>
      </c>
      <c r="Q121" s="23"/>
    </row>
    <row r="122" spans="1:17" x14ac:dyDescent="0.25">
      <c r="A122" s="19" t="s">
        <v>327</v>
      </c>
      <c r="B122" s="19" t="s">
        <v>45</v>
      </c>
      <c r="C122" s="19" t="s">
        <v>293</v>
      </c>
      <c r="D122" s="19" t="s">
        <v>328</v>
      </c>
      <c r="E122" s="19" t="s">
        <v>94</v>
      </c>
      <c r="F122" s="21" t="s">
        <v>1269</v>
      </c>
      <c r="G122" s="23"/>
      <c r="H122" s="21" t="s">
        <v>1269</v>
      </c>
      <c r="I122" s="23"/>
      <c r="J122" s="21" t="s">
        <v>1269</v>
      </c>
      <c r="K122" s="23"/>
      <c r="L122" s="21" t="s">
        <v>1269</v>
      </c>
      <c r="M122" s="23"/>
      <c r="N122" s="21" t="s">
        <v>1269</v>
      </c>
      <c r="O122" s="23"/>
      <c r="P122" s="21" t="s">
        <v>1269</v>
      </c>
      <c r="Q122" s="23"/>
    </row>
    <row r="123" spans="1:17" x14ac:dyDescent="0.25">
      <c r="A123" s="19" t="s">
        <v>329</v>
      </c>
      <c r="B123" s="19" t="s">
        <v>45</v>
      </c>
      <c r="C123" s="19" t="s">
        <v>293</v>
      </c>
      <c r="D123" s="19" t="s">
        <v>330</v>
      </c>
      <c r="E123" s="19" t="s">
        <v>94</v>
      </c>
      <c r="F123" s="21" t="s">
        <v>1269</v>
      </c>
      <c r="G123" s="23"/>
      <c r="H123" s="21" t="s">
        <v>1269</v>
      </c>
      <c r="I123" s="23"/>
      <c r="J123" s="21" t="s">
        <v>1269</v>
      </c>
      <c r="K123" s="23"/>
      <c r="L123" s="21" t="s">
        <v>1269</v>
      </c>
      <c r="M123" s="23"/>
      <c r="N123" s="21" t="s">
        <v>1269</v>
      </c>
      <c r="O123" s="23"/>
      <c r="P123" s="21" t="s">
        <v>1269</v>
      </c>
      <c r="Q123" s="23"/>
    </row>
    <row r="124" spans="1:17" x14ac:dyDescent="0.25">
      <c r="A124" s="19" t="s">
        <v>331</v>
      </c>
      <c r="B124" s="19" t="s">
        <v>45</v>
      </c>
      <c r="C124" s="19" t="s">
        <v>293</v>
      </c>
      <c r="D124" s="19" t="s">
        <v>332</v>
      </c>
      <c r="E124" s="19" t="s">
        <v>186</v>
      </c>
      <c r="F124" s="21" t="s">
        <v>1269</v>
      </c>
      <c r="G124" s="23"/>
      <c r="H124" s="21" t="s">
        <v>1269</v>
      </c>
      <c r="I124" s="23"/>
      <c r="J124" s="21" t="s">
        <v>1269</v>
      </c>
      <c r="K124" s="23"/>
      <c r="L124" s="21" t="s">
        <v>1269</v>
      </c>
      <c r="M124" s="23"/>
      <c r="N124" s="21" t="s">
        <v>1269</v>
      </c>
      <c r="O124" s="23"/>
      <c r="P124" s="21" t="s">
        <v>1269</v>
      </c>
      <c r="Q124" s="23"/>
    </row>
    <row r="125" spans="1:17" x14ac:dyDescent="0.25">
      <c r="A125" s="19" t="s">
        <v>333</v>
      </c>
      <c r="B125" s="19" t="s">
        <v>45</v>
      </c>
      <c r="C125" s="19" t="s">
        <v>293</v>
      </c>
      <c r="D125" s="19" t="s">
        <v>334</v>
      </c>
      <c r="E125" s="19" t="s">
        <v>101</v>
      </c>
      <c r="F125" s="21" t="s">
        <v>1269</v>
      </c>
      <c r="G125" s="23"/>
      <c r="H125" s="21" t="s">
        <v>1269</v>
      </c>
      <c r="I125" s="23"/>
      <c r="J125" s="21" t="s">
        <v>1269</v>
      </c>
      <c r="K125" s="23"/>
      <c r="L125" s="21" t="s">
        <v>1269</v>
      </c>
      <c r="M125" s="23"/>
      <c r="N125" s="21" t="s">
        <v>1269</v>
      </c>
      <c r="O125" s="23"/>
      <c r="P125" s="21" t="s">
        <v>1269</v>
      </c>
      <c r="Q125" s="23"/>
    </row>
    <row r="126" spans="1:17" x14ac:dyDescent="0.25">
      <c r="A126" s="19" t="s">
        <v>335</v>
      </c>
      <c r="B126" s="19" t="s">
        <v>45</v>
      </c>
      <c r="C126" s="19" t="s">
        <v>293</v>
      </c>
      <c r="D126" s="19" t="s">
        <v>336</v>
      </c>
      <c r="E126" s="19" t="s">
        <v>101</v>
      </c>
      <c r="F126" s="21" t="s">
        <v>1269</v>
      </c>
      <c r="G126" s="23"/>
      <c r="H126" s="21" t="s">
        <v>1269</v>
      </c>
      <c r="I126" s="23"/>
      <c r="J126" s="21" t="s">
        <v>1269</v>
      </c>
      <c r="K126" s="23"/>
      <c r="L126" s="21" t="s">
        <v>1269</v>
      </c>
      <c r="M126" s="23"/>
      <c r="N126" s="21" t="s">
        <v>1269</v>
      </c>
      <c r="O126" s="23"/>
      <c r="P126" s="21" t="s">
        <v>1269</v>
      </c>
      <c r="Q126" s="23"/>
    </row>
    <row r="127" spans="1:17" x14ac:dyDescent="0.25">
      <c r="A127" s="19" t="s">
        <v>337</v>
      </c>
      <c r="B127" s="19" t="s">
        <v>45</v>
      </c>
      <c r="C127" s="19" t="s">
        <v>293</v>
      </c>
      <c r="D127" s="19" t="s">
        <v>338</v>
      </c>
      <c r="E127" s="19" t="s">
        <v>106</v>
      </c>
      <c r="F127" s="21" t="s">
        <v>1269</v>
      </c>
      <c r="G127" s="23"/>
      <c r="H127" s="21" t="s">
        <v>1269</v>
      </c>
      <c r="I127" s="23"/>
      <c r="J127" s="21" t="s">
        <v>1269</v>
      </c>
      <c r="K127" s="23"/>
      <c r="L127" s="21" t="s">
        <v>1269</v>
      </c>
      <c r="M127" s="23"/>
      <c r="N127" s="21" t="s">
        <v>1269</v>
      </c>
      <c r="O127" s="23"/>
      <c r="P127" s="21" t="s">
        <v>1269</v>
      </c>
      <c r="Q127" s="23"/>
    </row>
    <row r="128" spans="1:17" x14ac:dyDescent="0.25">
      <c r="A128" s="19" t="s">
        <v>339</v>
      </c>
      <c r="B128" s="19" t="s">
        <v>45</v>
      </c>
      <c r="C128" s="19" t="s">
        <v>293</v>
      </c>
      <c r="D128" s="19" t="s">
        <v>340</v>
      </c>
      <c r="E128" s="19" t="s">
        <v>109</v>
      </c>
      <c r="F128" s="21" t="s">
        <v>1269</v>
      </c>
      <c r="G128" s="23"/>
      <c r="H128" s="21" t="s">
        <v>1269</v>
      </c>
      <c r="I128" s="23"/>
      <c r="J128" s="21" t="s">
        <v>1269</v>
      </c>
      <c r="K128" s="23"/>
      <c r="L128" s="21" t="s">
        <v>1269</v>
      </c>
      <c r="M128" s="23"/>
      <c r="N128" s="21" t="s">
        <v>1269</v>
      </c>
      <c r="O128" s="23"/>
      <c r="P128" s="21" t="s">
        <v>1269</v>
      </c>
      <c r="Q128" s="23"/>
    </row>
    <row r="129" spans="1:17" x14ac:dyDescent="0.25">
      <c r="A129" s="19" t="s">
        <v>341</v>
      </c>
      <c r="B129" s="19" t="s">
        <v>45</v>
      </c>
      <c r="C129" s="19" t="s">
        <v>293</v>
      </c>
      <c r="D129" s="19" t="s">
        <v>342</v>
      </c>
      <c r="E129" s="19" t="s">
        <v>113</v>
      </c>
      <c r="F129" s="21" t="s">
        <v>1269</v>
      </c>
      <c r="G129" s="23"/>
      <c r="H129" s="21" t="s">
        <v>1269</v>
      </c>
      <c r="I129" s="23"/>
      <c r="J129" s="21" t="s">
        <v>1269</v>
      </c>
      <c r="K129" s="23"/>
      <c r="L129" s="21" t="s">
        <v>1269</v>
      </c>
      <c r="M129" s="23"/>
      <c r="N129" s="21" t="s">
        <v>1269</v>
      </c>
      <c r="O129" s="23"/>
      <c r="P129" s="21" t="s">
        <v>1269</v>
      </c>
      <c r="Q129" s="23"/>
    </row>
    <row r="130" spans="1:17" x14ac:dyDescent="0.25">
      <c r="A130" s="19" t="s">
        <v>343</v>
      </c>
      <c r="B130" s="19" t="s">
        <v>45</v>
      </c>
      <c r="C130" s="19" t="s">
        <v>293</v>
      </c>
      <c r="D130" s="19" t="s">
        <v>344</v>
      </c>
      <c r="E130" s="19" t="s">
        <v>113</v>
      </c>
      <c r="F130" s="21" t="s">
        <v>1269</v>
      </c>
      <c r="G130" s="23"/>
      <c r="H130" s="21" t="s">
        <v>1269</v>
      </c>
      <c r="I130" s="23"/>
      <c r="J130" s="21" t="s">
        <v>1269</v>
      </c>
      <c r="K130" s="23"/>
      <c r="L130" s="21" t="s">
        <v>1269</v>
      </c>
      <c r="M130" s="23"/>
      <c r="N130" s="21" t="s">
        <v>1269</v>
      </c>
      <c r="O130" s="23"/>
      <c r="P130" s="21" t="s">
        <v>1269</v>
      </c>
      <c r="Q130" s="23"/>
    </row>
    <row r="131" spans="1:17" x14ac:dyDescent="0.25">
      <c r="A131" s="19" t="s">
        <v>345</v>
      </c>
      <c r="B131" s="19" t="s">
        <v>45</v>
      </c>
      <c r="C131" s="19" t="s">
        <v>293</v>
      </c>
      <c r="D131" s="19" t="s">
        <v>346</v>
      </c>
      <c r="E131" s="19" t="s">
        <v>113</v>
      </c>
      <c r="F131" s="21" t="s">
        <v>1269</v>
      </c>
      <c r="G131" s="23"/>
      <c r="H131" s="21" t="s">
        <v>1269</v>
      </c>
      <c r="I131" s="23"/>
      <c r="J131" s="21" t="s">
        <v>1269</v>
      </c>
      <c r="K131" s="23"/>
      <c r="L131" s="21" t="s">
        <v>1269</v>
      </c>
      <c r="M131" s="23"/>
      <c r="N131" s="21" t="s">
        <v>1269</v>
      </c>
      <c r="O131" s="23"/>
      <c r="P131" s="21" t="s">
        <v>1269</v>
      </c>
      <c r="Q131" s="23"/>
    </row>
    <row r="132" spans="1:17" x14ac:dyDescent="0.25">
      <c r="A132" s="19" t="s">
        <v>347</v>
      </c>
      <c r="B132" s="19" t="s">
        <v>45</v>
      </c>
      <c r="C132" s="19" t="s">
        <v>293</v>
      </c>
      <c r="D132" s="19" t="s">
        <v>348</v>
      </c>
      <c r="E132" s="19" t="s">
        <v>120</v>
      </c>
      <c r="F132" s="21" t="s">
        <v>1269</v>
      </c>
      <c r="G132" s="23"/>
      <c r="H132" s="21" t="s">
        <v>1269</v>
      </c>
      <c r="I132" s="23"/>
      <c r="J132" s="21" t="s">
        <v>1269</v>
      </c>
      <c r="K132" s="23"/>
      <c r="L132" s="21" t="s">
        <v>1269</v>
      </c>
      <c r="M132" s="23"/>
      <c r="N132" s="21" t="s">
        <v>1269</v>
      </c>
      <c r="O132" s="23"/>
      <c r="P132" s="21" t="s">
        <v>1269</v>
      </c>
      <c r="Q132" s="23"/>
    </row>
    <row r="133" spans="1:17" x14ac:dyDescent="0.25">
      <c r="A133" s="19" t="s">
        <v>349</v>
      </c>
      <c r="B133" s="19" t="s">
        <v>45</v>
      </c>
      <c r="C133" s="19" t="s">
        <v>293</v>
      </c>
      <c r="D133" s="19" t="s">
        <v>350</v>
      </c>
      <c r="E133" s="19" t="s">
        <v>205</v>
      </c>
      <c r="F133" s="21" t="s">
        <v>1269</v>
      </c>
      <c r="G133" s="23"/>
      <c r="H133" s="21" t="s">
        <v>1269</v>
      </c>
      <c r="I133" s="23"/>
      <c r="J133" s="21" t="s">
        <v>1269</v>
      </c>
      <c r="K133" s="23"/>
      <c r="L133" s="21" t="s">
        <v>1269</v>
      </c>
      <c r="M133" s="23"/>
      <c r="N133" s="21" t="s">
        <v>1269</v>
      </c>
      <c r="O133" s="23"/>
      <c r="P133" s="21" t="s">
        <v>1269</v>
      </c>
      <c r="Q133" s="23"/>
    </row>
    <row r="134" spans="1:17" x14ac:dyDescent="0.25">
      <c r="A134" s="19" t="s">
        <v>351</v>
      </c>
      <c r="B134" s="19" t="s">
        <v>45</v>
      </c>
      <c r="C134" s="19" t="s">
        <v>293</v>
      </c>
      <c r="D134" s="19" t="s">
        <v>352</v>
      </c>
      <c r="E134" s="19" t="s">
        <v>205</v>
      </c>
      <c r="F134" s="21" t="s">
        <v>1269</v>
      </c>
      <c r="G134" s="23"/>
      <c r="H134" s="21" t="s">
        <v>1269</v>
      </c>
      <c r="I134" s="23"/>
      <c r="J134" s="21" t="s">
        <v>1269</v>
      </c>
      <c r="K134" s="23"/>
      <c r="L134" s="21" t="s">
        <v>1269</v>
      </c>
      <c r="M134" s="23"/>
      <c r="N134" s="21" t="s">
        <v>1269</v>
      </c>
      <c r="O134" s="23"/>
      <c r="P134" s="21" t="s">
        <v>1269</v>
      </c>
      <c r="Q134" s="23"/>
    </row>
    <row r="135" spans="1:17" x14ac:dyDescent="0.25">
      <c r="A135" s="19" t="s">
        <v>353</v>
      </c>
      <c r="B135" s="19" t="s">
        <v>45</v>
      </c>
      <c r="C135" s="19" t="s">
        <v>293</v>
      </c>
      <c r="D135" s="19" t="s">
        <v>354</v>
      </c>
      <c r="E135" s="19" t="s">
        <v>126</v>
      </c>
      <c r="F135" s="21" t="s">
        <v>1269</v>
      </c>
      <c r="G135" s="23"/>
      <c r="H135" s="21" t="s">
        <v>1269</v>
      </c>
      <c r="I135" s="23"/>
      <c r="J135" s="21" t="s">
        <v>1269</v>
      </c>
      <c r="K135" s="23"/>
      <c r="L135" s="21" t="s">
        <v>1269</v>
      </c>
      <c r="M135" s="23"/>
      <c r="N135" s="21" t="s">
        <v>1269</v>
      </c>
      <c r="O135" s="23"/>
      <c r="P135" s="21" t="s">
        <v>1269</v>
      </c>
      <c r="Q135" s="23"/>
    </row>
    <row r="136" spans="1:17" x14ac:dyDescent="0.25">
      <c r="A136" s="19" t="s">
        <v>355</v>
      </c>
      <c r="B136" s="19" t="s">
        <v>45</v>
      </c>
      <c r="C136" s="19" t="s">
        <v>293</v>
      </c>
      <c r="D136" s="19" t="s">
        <v>356</v>
      </c>
      <c r="E136" s="19" t="s">
        <v>126</v>
      </c>
      <c r="F136" s="21" t="s">
        <v>1269</v>
      </c>
      <c r="G136" s="23"/>
      <c r="H136" s="21" t="s">
        <v>1269</v>
      </c>
      <c r="I136" s="23"/>
      <c r="J136" s="21" t="s">
        <v>1269</v>
      </c>
      <c r="K136" s="23"/>
      <c r="L136" s="21" t="s">
        <v>1269</v>
      </c>
      <c r="M136" s="23"/>
      <c r="N136" s="21" t="s">
        <v>1269</v>
      </c>
      <c r="O136" s="23"/>
      <c r="P136" s="21" t="s">
        <v>1269</v>
      </c>
      <c r="Q136" s="23"/>
    </row>
    <row r="137" spans="1:17" x14ac:dyDescent="0.25">
      <c r="A137" s="19" t="s">
        <v>357</v>
      </c>
      <c r="B137" s="19" t="s">
        <v>45</v>
      </c>
      <c r="C137" s="19" t="s">
        <v>293</v>
      </c>
      <c r="D137" s="19" t="s">
        <v>358</v>
      </c>
      <c r="E137" s="19" t="s">
        <v>131</v>
      </c>
      <c r="F137" s="21" t="s">
        <v>1269</v>
      </c>
      <c r="G137" s="23"/>
      <c r="H137" s="21" t="s">
        <v>1269</v>
      </c>
      <c r="I137" s="23"/>
      <c r="J137" s="21" t="s">
        <v>1269</v>
      </c>
      <c r="K137" s="23"/>
      <c r="L137" s="21" t="s">
        <v>1269</v>
      </c>
      <c r="M137" s="23"/>
      <c r="N137" s="21" t="s">
        <v>1269</v>
      </c>
      <c r="O137" s="23"/>
      <c r="P137" s="21" t="s">
        <v>1269</v>
      </c>
      <c r="Q137" s="23"/>
    </row>
    <row r="138" spans="1:17" x14ac:dyDescent="0.25">
      <c r="A138" s="19" t="s">
        <v>359</v>
      </c>
      <c r="B138" s="19" t="s">
        <v>45</v>
      </c>
      <c r="C138" s="19" t="s">
        <v>293</v>
      </c>
      <c r="D138" s="19" t="s">
        <v>360</v>
      </c>
      <c r="E138" s="19" t="s">
        <v>287</v>
      </c>
      <c r="F138" s="21" t="s">
        <v>1269</v>
      </c>
      <c r="G138" s="23"/>
      <c r="H138" s="21" t="s">
        <v>1269</v>
      </c>
      <c r="I138" s="23"/>
      <c r="J138" s="21" t="s">
        <v>1269</v>
      </c>
      <c r="K138" s="23"/>
      <c r="L138" s="21" t="s">
        <v>1269</v>
      </c>
      <c r="M138" s="23"/>
      <c r="N138" s="21" t="s">
        <v>1269</v>
      </c>
      <c r="O138" s="23"/>
      <c r="P138" s="21" t="s">
        <v>1269</v>
      </c>
      <c r="Q138" s="23"/>
    </row>
    <row r="139" spans="1:17" x14ac:dyDescent="0.25">
      <c r="A139" s="19" t="s">
        <v>361</v>
      </c>
      <c r="B139" s="19" t="s">
        <v>45</v>
      </c>
      <c r="C139" s="19" t="s">
        <v>293</v>
      </c>
      <c r="D139" s="19" t="s">
        <v>362</v>
      </c>
      <c r="E139" s="19" t="s">
        <v>141</v>
      </c>
      <c r="F139" s="21" t="s">
        <v>1269</v>
      </c>
      <c r="G139" s="23"/>
      <c r="H139" s="21" t="s">
        <v>1269</v>
      </c>
      <c r="I139" s="23"/>
      <c r="J139" s="21" t="s">
        <v>1269</v>
      </c>
      <c r="K139" s="23"/>
      <c r="L139" s="21" t="s">
        <v>1269</v>
      </c>
      <c r="M139" s="23"/>
      <c r="N139" s="21" t="s">
        <v>1269</v>
      </c>
      <c r="O139" s="23"/>
      <c r="P139" s="21" t="s">
        <v>1269</v>
      </c>
      <c r="Q139" s="23"/>
    </row>
    <row r="140" spans="1:17" x14ac:dyDescent="0.25">
      <c r="A140" s="19" t="s">
        <v>363</v>
      </c>
      <c r="B140" s="19" t="s">
        <v>45</v>
      </c>
      <c r="C140" s="19" t="s">
        <v>293</v>
      </c>
      <c r="D140" s="19" t="s">
        <v>364</v>
      </c>
      <c r="E140" s="19" t="s">
        <v>144</v>
      </c>
      <c r="F140" s="21" t="s">
        <v>1269</v>
      </c>
      <c r="G140" s="23"/>
      <c r="H140" s="21" t="s">
        <v>1269</v>
      </c>
      <c r="I140" s="23"/>
      <c r="J140" s="21" t="s">
        <v>1269</v>
      </c>
      <c r="K140" s="23"/>
      <c r="L140" s="21" t="s">
        <v>1269</v>
      </c>
      <c r="M140" s="23"/>
      <c r="N140" s="21" t="s">
        <v>1269</v>
      </c>
      <c r="O140" s="23"/>
      <c r="P140" s="21" t="s">
        <v>1269</v>
      </c>
      <c r="Q140" s="23"/>
    </row>
    <row r="141" spans="1:17" x14ac:dyDescent="0.25">
      <c r="A141" s="19" t="s">
        <v>365</v>
      </c>
      <c r="B141" s="19" t="s">
        <v>45</v>
      </c>
      <c r="C141" s="19" t="s">
        <v>366</v>
      </c>
      <c r="D141" s="19" t="s">
        <v>367</v>
      </c>
      <c r="E141" s="19" t="s">
        <v>53</v>
      </c>
      <c r="F141" s="21" t="s">
        <v>1269</v>
      </c>
      <c r="G141" s="23"/>
      <c r="H141" s="21" t="s">
        <v>1269</v>
      </c>
      <c r="I141" s="23"/>
      <c r="J141" s="21" t="s">
        <v>1269</v>
      </c>
      <c r="K141" s="23"/>
      <c r="L141" s="21" t="s">
        <v>1269</v>
      </c>
      <c r="M141" s="23"/>
      <c r="N141" s="21" t="s">
        <v>1269</v>
      </c>
      <c r="O141" s="23"/>
      <c r="P141" s="21" t="s">
        <v>1269</v>
      </c>
      <c r="Q141" s="23"/>
    </row>
    <row r="142" spans="1:17" x14ac:dyDescent="0.25">
      <c r="A142" s="19" t="s">
        <v>368</v>
      </c>
      <c r="B142" s="19" t="s">
        <v>45</v>
      </c>
      <c r="C142" s="19" t="s">
        <v>366</v>
      </c>
      <c r="D142" s="19" t="s">
        <v>369</v>
      </c>
      <c r="E142" s="19" t="s">
        <v>297</v>
      </c>
      <c r="F142" s="21" t="s">
        <v>1269</v>
      </c>
      <c r="G142" s="23"/>
      <c r="H142" s="21" t="s">
        <v>1269</v>
      </c>
      <c r="I142" s="23"/>
      <c r="J142" s="21" t="s">
        <v>1269</v>
      </c>
      <c r="K142" s="23"/>
      <c r="L142" s="21" t="s">
        <v>1269</v>
      </c>
      <c r="M142" s="23"/>
      <c r="N142" s="21" t="s">
        <v>1269</v>
      </c>
      <c r="O142" s="23"/>
      <c r="P142" s="21" t="s">
        <v>1269</v>
      </c>
      <c r="Q142" s="23"/>
    </row>
    <row r="143" spans="1:17" x14ac:dyDescent="0.25">
      <c r="A143" s="19" t="s">
        <v>370</v>
      </c>
      <c r="B143" s="19" t="s">
        <v>45</v>
      </c>
      <c r="C143" s="19" t="s">
        <v>366</v>
      </c>
      <c r="D143" s="19" t="s">
        <v>371</v>
      </c>
      <c r="E143" s="19" t="s">
        <v>59</v>
      </c>
      <c r="F143" s="21" t="s">
        <v>1269</v>
      </c>
      <c r="G143" s="23"/>
      <c r="H143" s="21" t="s">
        <v>1269</v>
      </c>
      <c r="I143" s="23"/>
      <c r="J143" s="21" t="s">
        <v>1269</v>
      </c>
      <c r="K143" s="23"/>
      <c r="L143" s="21" t="s">
        <v>1269</v>
      </c>
      <c r="M143" s="23"/>
      <c r="N143" s="21" t="s">
        <v>1269</v>
      </c>
      <c r="O143" s="23"/>
      <c r="P143" s="21" t="s">
        <v>1269</v>
      </c>
      <c r="Q143" s="23"/>
    </row>
    <row r="144" spans="1:17" x14ac:dyDescent="0.25">
      <c r="A144" s="19" t="s">
        <v>372</v>
      </c>
      <c r="B144" s="19" t="s">
        <v>45</v>
      </c>
      <c r="C144" s="19" t="s">
        <v>366</v>
      </c>
      <c r="D144" s="19" t="s">
        <v>373</v>
      </c>
      <c r="E144" s="19" t="s">
        <v>155</v>
      </c>
      <c r="F144" s="21" t="s">
        <v>1269</v>
      </c>
      <c r="G144" s="23"/>
      <c r="H144" s="21" t="s">
        <v>1269</v>
      </c>
      <c r="I144" s="23"/>
      <c r="J144" s="21" t="s">
        <v>1269</v>
      </c>
      <c r="K144" s="23"/>
      <c r="L144" s="21" t="s">
        <v>1269</v>
      </c>
      <c r="M144" s="23"/>
      <c r="N144" s="21" t="s">
        <v>1269</v>
      </c>
      <c r="O144" s="23"/>
      <c r="P144" s="21" t="s">
        <v>1269</v>
      </c>
      <c r="Q144" s="23"/>
    </row>
    <row r="145" spans="1:17" x14ac:dyDescent="0.25">
      <c r="A145" s="19" t="s">
        <v>374</v>
      </c>
      <c r="B145" s="19" t="s">
        <v>45</v>
      </c>
      <c r="C145" s="19" t="s">
        <v>366</v>
      </c>
      <c r="D145" s="19" t="s">
        <v>375</v>
      </c>
      <c r="E145" s="19" t="s">
        <v>66</v>
      </c>
      <c r="F145" s="21" t="s">
        <v>1269</v>
      </c>
      <c r="G145" s="23"/>
      <c r="H145" s="21" t="s">
        <v>1269</v>
      </c>
      <c r="I145" s="23"/>
      <c r="J145" s="21" t="s">
        <v>1269</v>
      </c>
      <c r="K145" s="23"/>
      <c r="L145" s="21" t="s">
        <v>1269</v>
      </c>
      <c r="M145" s="23"/>
      <c r="N145" s="21" t="s">
        <v>1269</v>
      </c>
      <c r="O145" s="23"/>
      <c r="P145" s="21" t="s">
        <v>1269</v>
      </c>
      <c r="Q145" s="23"/>
    </row>
    <row r="146" spans="1:17" x14ac:dyDescent="0.25">
      <c r="A146" s="19" t="s">
        <v>376</v>
      </c>
      <c r="B146" s="19" t="s">
        <v>45</v>
      </c>
      <c r="C146" s="19" t="s">
        <v>366</v>
      </c>
      <c r="D146" s="19" t="s">
        <v>377</v>
      </c>
      <c r="E146" s="19" t="s">
        <v>66</v>
      </c>
      <c r="F146" s="21" t="s">
        <v>1269</v>
      </c>
      <c r="G146" s="23"/>
      <c r="H146" s="21" t="s">
        <v>1269</v>
      </c>
      <c r="I146" s="23"/>
      <c r="J146" s="21" t="s">
        <v>1269</v>
      </c>
      <c r="K146" s="23"/>
      <c r="L146" s="21" t="s">
        <v>1269</v>
      </c>
      <c r="M146" s="23"/>
      <c r="N146" s="21" t="s">
        <v>1269</v>
      </c>
      <c r="O146" s="23"/>
      <c r="P146" s="21" t="s">
        <v>1269</v>
      </c>
      <c r="Q146" s="23"/>
    </row>
    <row r="147" spans="1:17" x14ac:dyDescent="0.25">
      <c r="A147" s="19" t="s">
        <v>378</v>
      </c>
      <c r="B147" s="19" t="s">
        <v>45</v>
      </c>
      <c r="C147" s="19" t="s">
        <v>366</v>
      </c>
      <c r="D147" s="19" t="s">
        <v>379</v>
      </c>
      <c r="E147" s="19" t="s">
        <v>66</v>
      </c>
      <c r="F147" s="21" t="s">
        <v>1269</v>
      </c>
      <c r="G147" s="23"/>
      <c r="H147" s="21" t="s">
        <v>1269</v>
      </c>
      <c r="I147" s="23"/>
      <c r="J147" s="21" t="s">
        <v>1269</v>
      </c>
      <c r="K147" s="23"/>
      <c r="L147" s="21" t="s">
        <v>1269</v>
      </c>
      <c r="M147" s="23"/>
      <c r="N147" s="21" t="s">
        <v>1269</v>
      </c>
      <c r="O147" s="23"/>
      <c r="P147" s="21" t="s">
        <v>1269</v>
      </c>
      <c r="Q147" s="23"/>
    </row>
    <row r="148" spans="1:17" x14ac:dyDescent="0.25">
      <c r="A148" s="19" t="s">
        <v>380</v>
      </c>
      <c r="B148" s="19" t="s">
        <v>45</v>
      </c>
      <c r="C148" s="19" t="s">
        <v>366</v>
      </c>
      <c r="D148" s="19" t="s">
        <v>381</v>
      </c>
      <c r="E148" s="19" t="s">
        <v>74</v>
      </c>
      <c r="F148" s="21" t="s">
        <v>1269</v>
      </c>
      <c r="G148" s="23"/>
      <c r="H148" s="21" t="s">
        <v>1269</v>
      </c>
      <c r="I148" s="23"/>
      <c r="J148" s="21" t="s">
        <v>1269</v>
      </c>
      <c r="K148" s="23"/>
      <c r="L148" s="21" t="s">
        <v>1269</v>
      </c>
      <c r="M148" s="23"/>
      <c r="N148" s="21" t="s">
        <v>1269</v>
      </c>
      <c r="O148" s="23"/>
      <c r="P148" s="21" t="s">
        <v>1269</v>
      </c>
      <c r="Q148" s="23"/>
    </row>
    <row r="149" spans="1:17" x14ac:dyDescent="0.25">
      <c r="A149" s="19" t="s">
        <v>382</v>
      </c>
      <c r="B149" s="19" t="s">
        <v>45</v>
      </c>
      <c r="C149" s="19" t="s">
        <v>366</v>
      </c>
      <c r="D149" s="19" t="s">
        <v>383</v>
      </c>
      <c r="E149" s="19" t="s">
        <v>74</v>
      </c>
      <c r="F149" s="21" t="s">
        <v>1269</v>
      </c>
      <c r="G149" s="23"/>
      <c r="H149" s="21" t="s">
        <v>1269</v>
      </c>
      <c r="I149" s="23"/>
      <c r="J149" s="21" t="s">
        <v>1269</v>
      </c>
      <c r="K149" s="23"/>
      <c r="L149" s="21" t="s">
        <v>1269</v>
      </c>
      <c r="M149" s="23"/>
      <c r="N149" s="21" t="s">
        <v>1269</v>
      </c>
      <c r="O149" s="23"/>
      <c r="P149" s="21" t="s">
        <v>1269</v>
      </c>
      <c r="Q149" s="23"/>
    </row>
    <row r="150" spans="1:17" x14ac:dyDescent="0.25">
      <c r="A150" s="19" t="s">
        <v>384</v>
      </c>
      <c r="B150" s="19" t="s">
        <v>45</v>
      </c>
      <c r="C150" s="19" t="s">
        <v>366</v>
      </c>
      <c r="D150" s="19" t="s">
        <v>385</v>
      </c>
      <c r="E150" s="19" t="s">
        <v>79</v>
      </c>
      <c r="F150" s="21" t="s">
        <v>1269</v>
      </c>
      <c r="G150" s="23"/>
      <c r="H150" s="21" t="s">
        <v>1269</v>
      </c>
      <c r="I150" s="23"/>
      <c r="J150" s="21" t="s">
        <v>1269</v>
      </c>
      <c r="K150" s="23"/>
      <c r="L150" s="21" t="s">
        <v>1269</v>
      </c>
      <c r="M150" s="23"/>
      <c r="N150" s="21" t="s">
        <v>1269</v>
      </c>
      <c r="O150" s="23"/>
      <c r="P150" s="21" t="s">
        <v>1269</v>
      </c>
      <c r="Q150" s="23"/>
    </row>
    <row r="151" spans="1:17" x14ac:dyDescent="0.25">
      <c r="A151" s="19" t="s">
        <v>386</v>
      </c>
      <c r="B151" s="19" t="s">
        <v>45</v>
      </c>
      <c r="C151" s="19" t="s">
        <v>366</v>
      </c>
      <c r="D151" s="19" t="s">
        <v>387</v>
      </c>
      <c r="E151" s="19" t="s">
        <v>79</v>
      </c>
      <c r="F151" s="21" t="s">
        <v>1269</v>
      </c>
      <c r="G151" s="23"/>
      <c r="H151" s="21" t="s">
        <v>1269</v>
      </c>
      <c r="I151" s="23"/>
      <c r="J151" s="21" t="s">
        <v>1269</v>
      </c>
      <c r="K151" s="23"/>
      <c r="L151" s="21" t="s">
        <v>1269</v>
      </c>
      <c r="M151" s="23"/>
      <c r="N151" s="21" t="s">
        <v>1269</v>
      </c>
      <c r="O151" s="23"/>
      <c r="P151" s="21" t="s">
        <v>1269</v>
      </c>
      <c r="Q151" s="23"/>
    </row>
    <row r="152" spans="1:17" x14ac:dyDescent="0.25">
      <c r="A152" s="19" t="s">
        <v>388</v>
      </c>
      <c r="B152" s="19" t="s">
        <v>45</v>
      </c>
      <c r="C152" s="19" t="s">
        <v>366</v>
      </c>
      <c r="D152" s="19" t="s">
        <v>389</v>
      </c>
      <c r="E152" s="19" t="s">
        <v>79</v>
      </c>
      <c r="F152" s="21" t="s">
        <v>1269</v>
      </c>
      <c r="G152" s="23"/>
      <c r="H152" s="21" t="s">
        <v>1269</v>
      </c>
      <c r="I152" s="23"/>
      <c r="J152" s="21" t="s">
        <v>1269</v>
      </c>
      <c r="K152" s="23"/>
      <c r="L152" s="21" t="s">
        <v>1269</v>
      </c>
      <c r="M152" s="23"/>
      <c r="N152" s="21" t="s">
        <v>1269</v>
      </c>
      <c r="O152" s="23"/>
      <c r="P152" s="21" t="s">
        <v>1269</v>
      </c>
      <c r="Q152" s="23"/>
    </row>
    <row r="153" spans="1:17" x14ac:dyDescent="0.25">
      <c r="A153" s="19" t="s">
        <v>390</v>
      </c>
      <c r="B153" s="19" t="s">
        <v>45</v>
      </c>
      <c r="C153" s="19" t="s">
        <v>366</v>
      </c>
      <c r="D153" s="19" t="s">
        <v>391</v>
      </c>
      <c r="E153" s="19" t="s">
        <v>86</v>
      </c>
      <c r="F153" s="21" t="s">
        <v>1269</v>
      </c>
      <c r="G153" s="23"/>
      <c r="H153" s="21" t="s">
        <v>1269</v>
      </c>
      <c r="I153" s="23"/>
      <c r="J153" s="21" t="s">
        <v>1269</v>
      </c>
      <c r="K153" s="23"/>
      <c r="L153" s="21" t="s">
        <v>1269</v>
      </c>
      <c r="M153" s="23"/>
      <c r="N153" s="21" t="s">
        <v>1269</v>
      </c>
      <c r="O153" s="23"/>
      <c r="P153" s="21" t="s">
        <v>1269</v>
      </c>
      <c r="Q153" s="23"/>
    </row>
    <row r="154" spans="1:17" x14ac:dyDescent="0.25">
      <c r="A154" s="19" t="s">
        <v>392</v>
      </c>
      <c r="B154" s="19" t="s">
        <v>45</v>
      </c>
      <c r="C154" s="19" t="s">
        <v>366</v>
      </c>
      <c r="D154" s="19" t="s">
        <v>393</v>
      </c>
      <c r="E154" s="19" t="s">
        <v>89</v>
      </c>
      <c r="F154" s="21" t="s">
        <v>1269</v>
      </c>
      <c r="G154" s="23"/>
      <c r="H154" s="21" t="s">
        <v>1269</v>
      </c>
      <c r="I154" s="23"/>
      <c r="J154" s="21" t="s">
        <v>1269</v>
      </c>
      <c r="K154" s="23"/>
      <c r="L154" s="21" t="s">
        <v>1269</v>
      </c>
      <c r="M154" s="23"/>
      <c r="N154" s="21" t="s">
        <v>1269</v>
      </c>
      <c r="O154" s="23"/>
      <c r="P154" s="21" t="s">
        <v>1269</v>
      </c>
      <c r="Q154" s="23"/>
    </row>
    <row r="155" spans="1:17" x14ac:dyDescent="0.25">
      <c r="A155" s="19" t="s">
        <v>394</v>
      </c>
      <c r="B155" s="19" t="s">
        <v>45</v>
      </c>
      <c r="C155" s="19" t="s">
        <v>366</v>
      </c>
      <c r="D155" s="19" t="s">
        <v>395</v>
      </c>
      <c r="E155" s="19" t="s">
        <v>89</v>
      </c>
      <c r="F155" s="21" t="s">
        <v>1269</v>
      </c>
      <c r="G155" s="23"/>
      <c r="H155" s="21" t="s">
        <v>1269</v>
      </c>
      <c r="I155" s="23"/>
      <c r="J155" s="21" t="s">
        <v>1269</v>
      </c>
      <c r="K155" s="23"/>
      <c r="L155" s="21" t="s">
        <v>1269</v>
      </c>
      <c r="M155" s="23"/>
      <c r="N155" s="21" t="s">
        <v>1269</v>
      </c>
      <c r="O155" s="23"/>
      <c r="P155" s="21" t="s">
        <v>1269</v>
      </c>
      <c r="Q155" s="23"/>
    </row>
    <row r="156" spans="1:17" x14ac:dyDescent="0.25">
      <c r="A156" s="19" t="s">
        <v>396</v>
      </c>
      <c r="B156" s="19" t="s">
        <v>45</v>
      </c>
      <c r="C156" s="19" t="s">
        <v>366</v>
      </c>
      <c r="D156" s="19" t="s">
        <v>397</v>
      </c>
      <c r="E156" s="19" t="s">
        <v>94</v>
      </c>
      <c r="F156" s="21" t="s">
        <v>1269</v>
      </c>
      <c r="G156" s="23"/>
      <c r="H156" s="21" t="s">
        <v>1269</v>
      </c>
      <c r="I156" s="23"/>
      <c r="J156" s="21" t="s">
        <v>1269</v>
      </c>
      <c r="K156" s="23"/>
      <c r="L156" s="21" t="s">
        <v>1269</v>
      </c>
      <c r="M156" s="23"/>
      <c r="N156" s="21" t="s">
        <v>1269</v>
      </c>
      <c r="O156" s="23"/>
      <c r="P156" s="21" t="s">
        <v>1269</v>
      </c>
      <c r="Q156" s="23"/>
    </row>
    <row r="157" spans="1:17" x14ac:dyDescent="0.25">
      <c r="A157" s="19" t="s">
        <v>398</v>
      </c>
      <c r="B157" s="19" t="s">
        <v>45</v>
      </c>
      <c r="C157" s="19" t="s">
        <v>366</v>
      </c>
      <c r="D157" s="19" t="s">
        <v>399</v>
      </c>
      <c r="E157" s="19" t="s">
        <v>94</v>
      </c>
      <c r="F157" s="21" t="s">
        <v>1269</v>
      </c>
      <c r="G157" s="23"/>
      <c r="H157" s="21" t="s">
        <v>1269</v>
      </c>
      <c r="I157" s="23"/>
      <c r="J157" s="21" t="s">
        <v>1269</v>
      </c>
      <c r="K157" s="23"/>
      <c r="L157" s="21" t="s">
        <v>1269</v>
      </c>
      <c r="M157" s="23"/>
      <c r="N157" s="21" t="s">
        <v>1269</v>
      </c>
      <c r="O157" s="23"/>
      <c r="P157" s="21" t="s">
        <v>1269</v>
      </c>
      <c r="Q157" s="23"/>
    </row>
    <row r="158" spans="1:17" x14ac:dyDescent="0.25">
      <c r="A158" s="19" t="s">
        <v>400</v>
      </c>
      <c r="B158" s="19" t="s">
        <v>45</v>
      </c>
      <c r="C158" s="19" t="s">
        <v>366</v>
      </c>
      <c r="D158" s="19" t="s">
        <v>401</v>
      </c>
      <c r="E158" s="19" t="s">
        <v>94</v>
      </c>
      <c r="F158" s="21" t="s">
        <v>1269</v>
      </c>
      <c r="G158" s="23"/>
      <c r="H158" s="21" t="s">
        <v>1269</v>
      </c>
      <c r="I158" s="23"/>
      <c r="J158" s="21" t="s">
        <v>1269</v>
      </c>
      <c r="K158" s="23"/>
      <c r="L158" s="21" t="s">
        <v>1269</v>
      </c>
      <c r="M158" s="23"/>
      <c r="N158" s="21" t="s">
        <v>1269</v>
      </c>
      <c r="O158" s="23"/>
      <c r="P158" s="21" t="s">
        <v>1269</v>
      </c>
      <c r="Q158" s="23"/>
    </row>
    <row r="159" spans="1:17" x14ac:dyDescent="0.25">
      <c r="A159" s="19" t="s">
        <v>402</v>
      </c>
      <c r="B159" s="19" t="s">
        <v>45</v>
      </c>
      <c r="C159" s="19" t="s">
        <v>366</v>
      </c>
      <c r="D159" s="19" t="s">
        <v>403</v>
      </c>
      <c r="E159" s="19" t="s">
        <v>186</v>
      </c>
      <c r="F159" s="21" t="s">
        <v>1269</v>
      </c>
      <c r="G159" s="23"/>
      <c r="H159" s="21" t="s">
        <v>1269</v>
      </c>
      <c r="I159" s="23"/>
      <c r="J159" s="21" t="s">
        <v>1269</v>
      </c>
      <c r="K159" s="23"/>
      <c r="L159" s="21" t="s">
        <v>1269</v>
      </c>
      <c r="M159" s="23"/>
      <c r="N159" s="21" t="s">
        <v>1269</v>
      </c>
      <c r="O159" s="23"/>
      <c r="P159" s="21" t="s">
        <v>1269</v>
      </c>
      <c r="Q159" s="23"/>
    </row>
    <row r="160" spans="1:17" x14ac:dyDescent="0.25">
      <c r="A160" s="19" t="s">
        <v>404</v>
      </c>
      <c r="B160" s="19" t="s">
        <v>45</v>
      </c>
      <c r="C160" s="19" t="s">
        <v>366</v>
      </c>
      <c r="D160" s="19" t="s">
        <v>405</v>
      </c>
      <c r="E160" s="19" t="s">
        <v>101</v>
      </c>
      <c r="F160" s="21" t="s">
        <v>1269</v>
      </c>
      <c r="G160" s="23"/>
      <c r="H160" s="21" t="s">
        <v>1269</v>
      </c>
      <c r="I160" s="23"/>
      <c r="J160" s="21" t="s">
        <v>1269</v>
      </c>
      <c r="K160" s="23"/>
      <c r="L160" s="21" t="s">
        <v>1269</v>
      </c>
      <c r="M160" s="23"/>
      <c r="N160" s="21" t="s">
        <v>1269</v>
      </c>
      <c r="O160" s="23"/>
      <c r="P160" s="21" t="s">
        <v>1269</v>
      </c>
      <c r="Q160" s="23"/>
    </row>
    <row r="161" spans="1:17" x14ac:dyDescent="0.25">
      <c r="A161" s="19" t="s">
        <v>406</v>
      </c>
      <c r="B161" s="19" t="s">
        <v>45</v>
      </c>
      <c r="C161" s="19" t="s">
        <v>366</v>
      </c>
      <c r="D161" s="19" t="s">
        <v>407</v>
      </c>
      <c r="E161" s="19" t="s">
        <v>101</v>
      </c>
      <c r="F161" s="21" t="s">
        <v>1269</v>
      </c>
      <c r="G161" s="23"/>
      <c r="H161" s="21" t="s">
        <v>1269</v>
      </c>
      <c r="I161" s="23"/>
      <c r="J161" s="21" t="s">
        <v>1269</v>
      </c>
      <c r="K161" s="23"/>
      <c r="L161" s="21" t="s">
        <v>1269</v>
      </c>
      <c r="M161" s="23"/>
      <c r="N161" s="21" t="s">
        <v>1269</v>
      </c>
      <c r="O161" s="23"/>
      <c r="P161" s="21" t="s">
        <v>1269</v>
      </c>
      <c r="Q161" s="23"/>
    </row>
    <row r="162" spans="1:17" x14ac:dyDescent="0.25">
      <c r="A162" s="19" t="s">
        <v>408</v>
      </c>
      <c r="B162" s="19" t="s">
        <v>45</v>
      </c>
      <c r="C162" s="19" t="s">
        <v>366</v>
      </c>
      <c r="D162" s="19" t="s">
        <v>409</v>
      </c>
      <c r="E162" s="19" t="s">
        <v>106</v>
      </c>
      <c r="F162" s="21" t="s">
        <v>1269</v>
      </c>
      <c r="G162" s="23"/>
      <c r="H162" s="21" t="s">
        <v>1269</v>
      </c>
      <c r="I162" s="23"/>
      <c r="J162" s="21" t="s">
        <v>1269</v>
      </c>
      <c r="K162" s="23"/>
      <c r="L162" s="21" t="s">
        <v>1269</v>
      </c>
      <c r="M162" s="23"/>
      <c r="N162" s="21" t="s">
        <v>1269</v>
      </c>
      <c r="O162" s="23"/>
      <c r="P162" s="21" t="s">
        <v>1269</v>
      </c>
      <c r="Q162" s="23"/>
    </row>
    <row r="163" spans="1:17" x14ac:dyDescent="0.25">
      <c r="A163" s="19" t="s">
        <v>410</v>
      </c>
      <c r="B163" s="19" t="s">
        <v>45</v>
      </c>
      <c r="C163" s="19" t="s">
        <v>366</v>
      </c>
      <c r="D163" s="19" t="s">
        <v>411</v>
      </c>
      <c r="E163" s="19" t="s">
        <v>109</v>
      </c>
      <c r="F163" s="21" t="s">
        <v>1269</v>
      </c>
      <c r="G163" s="23"/>
      <c r="H163" s="21" t="s">
        <v>1269</v>
      </c>
      <c r="I163" s="23"/>
      <c r="J163" s="21" t="s">
        <v>1269</v>
      </c>
      <c r="K163" s="23"/>
      <c r="L163" s="21" t="s">
        <v>1269</v>
      </c>
      <c r="M163" s="23"/>
      <c r="N163" s="21" t="s">
        <v>1269</v>
      </c>
      <c r="O163" s="23"/>
      <c r="P163" s="21" t="s">
        <v>1269</v>
      </c>
      <c r="Q163" s="23"/>
    </row>
    <row r="164" spans="1:17" x14ac:dyDescent="0.25">
      <c r="A164" s="19" t="s">
        <v>412</v>
      </c>
      <c r="B164" s="19" t="s">
        <v>45</v>
      </c>
      <c r="C164" s="19" t="s">
        <v>366</v>
      </c>
      <c r="D164" s="19" t="s">
        <v>413</v>
      </c>
      <c r="E164" s="19" t="s">
        <v>113</v>
      </c>
      <c r="F164" s="21" t="s">
        <v>1269</v>
      </c>
      <c r="G164" s="23"/>
      <c r="H164" s="21" t="s">
        <v>1269</v>
      </c>
      <c r="I164" s="23"/>
      <c r="J164" s="21" t="s">
        <v>1269</v>
      </c>
      <c r="K164" s="23"/>
      <c r="L164" s="21" t="s">
        <v>1269</v>
      </c>
      <c r="M164" s="23"/>
      <c r="N164" s="21" t="s">
        <v>1269</v>
      </c>
      <c r="O164" s="23"/>
      <c r="P164" s="21" t="s">
        <v>1269</v>
      </c>
      <c r="Q164" s="23"/>
    </row>
    <row r="165" spans="1:17" x14ac:dyDescent="0.25">
      <c r="A165" s="19" t="s">
        <v>414</v>
      </c>
      <c r="B165" s="19" t="s">
        <v>45</v>
      </c>
      <c r="C165" s="19" t="s">
        <v>366</v>
      </c>
      <c r="D165" s="19" t="s">
        <v>415</v>
      </c>
      <c r="E165" s="19" t="s">
        <v>113</v>
      </c>
      <c r="F165" s="21" t="s">
        <v>1269</v>
      </c>
      <c r="G165" s="23"/>
      <c r="H165" s="21" t="s">
        <v>1269</v>
      </c>
      <c r="I165" s="23"/>
      <c r="J165" s="21" t="s">
        <v>1269</v>
      </c>
      <c r="K165" s="23"/>
      <c r="L165" s="21" t="s">
        <v>1269</v>
      </c>
      <c r="M165" s="23"/>
      <c r="N165" s="21" t="s">
        <v>1269</v>
      </c>
      <c r="O165" s="23"/>
      <c r="P165" s="21" t="s">
        <v>1269</v>
      </c>
      <c r="Q165" s="23"/>
    </row>
    <row r="166" spans="1:17" x14ac:dyDescent="0.25">
      <c r="A166" s="19" t="s">
        <v>416</v>
      </c>
      <c r="B166" s="19" t="s">
        <v>45</v>
      </c>
      <c r="C166" s="19" t="s">
        <v>366</v>
      </c>
      <c r="D166" s="19" t="s">
        <v>417</v>
      </c>
      <c r="E166" s="19" t="s">
        <v>113</v>
      </c>
      <c r="F166" s="21" t="s">
        <v>1269</v>
      </c>
      <c r="G166" s="23"/>
      <c r="H166" s="21" t="s">
        <v>1269</v>
      </c>
      <c r="I166" s="23"/>
      <c r="J166" s="21" t="s">
        <v>1269</v>
      </c>
      <c r="K166" s="23"/>
      <c r="L166" s="21" t="s">
        <v>1269</v>
      </c>
      <c r="M166" s="23"/>
      <c r="N166" s="21" t="s">
        <v>1269</v>
      </c>
      <c r="O166" s="23"/>
      <c r="P166" s="21" t="s">
        <v>1269</v>
      </c>
      <c r="Q166" s="23"/>
    </row>
    <row r="167" spans="1:17" x14ac:dyDescent="0.25">
      <c r="A167" s="19" t="s">
        <v>418</v>
      </c>
      <c r="B167" s="19" t="s">
        <v>45</v>
      </c>
      <c r="C167" s="19" t="s">
        <v>366</v>
      </c>
      <c r="D167" s="19" t="s">
        <v>419</v>
      </c>
      <c r="E167" s="19" t="s">
        <v>120</v>
      </c>
      <c r="F167" s="21" t="s">
        <v>1269</v>
      </c>
      <c r="G167" s="23"/>
      <c r="H167" s="21" t="s">
        <v>1269</v>
      </c>
      <c r="I167" s="23"/>
      <c r="J167" s="21" t="s">
        <v>1269</v>
      </c>
      <c r="K167" s="23"/>
      <c r="L167" s="21" t="s">
        <v>1269</v>
      </c>
      <c r="M167" s="23"/>
      <c r="N167" s="21" t="s">
        <v>1269</v>
      </c>
      <c r="O167" s="23"/>
      <c r="P167" s="21" t="s">
        <v>1269</v>
      </c>
      <c r="Q167" s="23"/>
    </row>
    <row r="168" spans="1:17" x14ac:dyDescent="0.25">
      <c r="A168" s="19" t="s">
        <v>420</v>
      </c>
      <c r="B168" s="19" t="s">
        <v>45</v>
      </c>
      <c r="C168" s="19" t="s">
        <v>366</v>
      </c>
      <c r="D168" s="19" t="s">
        <v>421</v>
      </c>
      <c r="E168" s="19" t="s">
        <v>205</v>
      </c>
      <c r="F168" s="21" t="s">
        <v>1269</v>
      </c>
      <c r="G168" s="23"/>
      <c r="H168" s="21" t="s">
        <v>1269</v>
      </c>
      <c r="I168" s="23"/>
      <c r="J168" s="21" t="s">
        <v>1269</v>
      </c>
      <c r="K168" s="23"/>
      <c r="L168" s="21" t="s">
        <v>1269</v>
      </c>
      <c r="M168" s="23"/>
      <c r="N168" s="21" t="s">
        <v>1269</v>
      </c>
      <c r="O168" s="23"/>
      <c r="P168" s="21" t="s">
        <v>1269</v>
      </c>
      <c r="Q168" s="23"/>
    </row>
    <row r="169" spans="1:17" x14ac:dyDescent="0.25">
      <c r="A169" s="19" t="s">
        <v>422</v>
      </c>
      <c r="B169" s="19" t="s">
        <v>45</v>
      </c>
      <c r="C169" s="19" t="s">
        <v>366</v>
      </c>
      <c r="D169" s="19" t="s">
        <v>423</v>
      </c>
      <c r="E169" s="19" t="s">
        <v>205</v>
      </c>
      <c r="F169" s="21" t="s">
        <v>1269</v>
      </c>
      <c r="G169" s="23"/>
      <c r="H169" s="21" t="s">
        <v>1269</v>
      </c>
      <c r="I169" s="23"/>
      <c r="J169" s="21" t="s">
        <v>1269</v>
      </c>
      <c r="K169" s="23"/>
      <c r="L169" s="21" t="s">
        <v>1269</v>
      </c>
      <c r="M169" s="23"/>
      <c r="N169" s="21" t="s">
        <v>1269</v>
      </c>
      <c r="O169" s="23"/>
      <c r="P169" s="21" t="s">
        <v>1269</v>
      </c>
      <c r="Q169" s="23"/>
    </row>
    <row r="170" spans="1:17" x14ac:dyDescent="0.25">
      <c r="A170" s="19" t="s">
        <v>424</v>
      </c>
      <c r="B170" s="19" t="s">
        <v>45</v>
      </c>
      <c r="C170" s="19" t="s">
        <v>366</v>
      </c>
      <c r="D170" s="19" t="s">
        <v>425</v>
      </c>
      <c r="E170" s="19" t="s">
        <v>126</v>
      </c>
      <c r="F170" s="21" t="s">
        <v>1269</v>
      </c>
      <c r="G170" s="23"/>
      <c r="H170" s="21" t="s">
        <v>1269</v>
      </c>
      <c r="I170" s="23"/>
      <c r="J170" s="21" t="s">
        <v>1269</v>
      </c>
      <c r="K170" s="23"/>
      <c r="L170" s="21" t="s">
        <v>1269</v>
      </c>
      <c r="M170" s="23"/>
      <c r="N170" s="21" t="s">
        <v>1269</v>
      </c>
      <c r="O170" s="23"/>
      <c r="P170" s="21" t="s">
        <v>1269</v>
      </c>
      <c r="Q170" s="23"/>
    </row>
    <row r="171" spans="1:17" x14ac:dyDescent="0.25">
      <c r="A171" s="19" t="s">
        <v>426</v>
      </c>
      <c r="B171" s="19" t="s">
        <v>45</v>
      </c>
      <c r="C171" s="19" t="s">
        <v>366</v>
      </c>
      <c r="D171" s="19" t="s">
        <v>427</v>
      </c>
      <c r="E171" s="19" t="s">
        <v>126</v>
      </c>
      <c r="F171" s="21" t="s">
        <v>1269</v>
      </c>
      <c r="G171" s="23"/>
      <c r="H171" s="21" t="s">
        <v>1269</v>
      </c>
      <c r="I171" s="23"/>
      <c r="J171" s="21" t="s">
        <v>1269</v>
      </c>
      <c r="K171" s="23"/>
      <c r="L171" s="21" t="s">
        <v>1269</v>
      </c>
      <c r="M171" s="23"/>
      <c r="N171" s="21" t="s">
        <v>1269</v>
      </c>
      <c r="O171" s="23"/>
      <c r="P171" s="21" t="s">
        <v>1269</v>
      </c>
      <c r="Q171" s="23"/>
    </row>
    <row r="172" spans="1:17" x14ac:dyDescent="0.25">
      <c r="A172" s="19" t="s">
        <v>428</v>
      </c>
      <c r="B172" s="19" t="s">
        <v>45</v>
      </c>
      <c r="C172" s="19" t="s">
        <v>366</v>
      </c>
      <c r="D172" s="19" t="s">
        <v>429</v>
      </c>
      <c r="E172" s="19" t="s">
        <v>131</v>
      </c>
      <c r="F172" s="21" t="s">
        <v>1269</v>
      </c>
      <c r="G172" s="23"/>
      <c r="H172" s="21" t="s">
        <v>1269</v>
      </c>
      <c r="I172" s="23"/>
      <c r="J172" s="21" t="s">
        <v>1269</v>
      </c>
      <c r="K172" s="23"/>
      <c r="L172" s="21" t="s">
        <v>1269</v>
      </c>
      <c r="M172" s="23"/>
      <c r="N172" s="21" t="s">
        <v>1269</v>
      </c>
      <c r="O172" s="23"/>
      <c r="P172" s="21" t="s">
        <v>1269</v>
      </c>
      <c r="Q172" s="23"/>
    </row>
    <row r="173" spans="1:17" x14ac:dyDescent="0.25">
      <c r="A173" s="19" t="s">
        <v>430</v>
      </c>
      <c r="B173" s="19" t="s">
        <v>45</v>
      </c>
      <c r="C173" s="19" t="s">
        <v>366</v>
      </c>
      <c r="D173" s="19" t="s">
        <v>431</v>
      </c>
      <c r="E173" s="19" t="s">
        <v>287</v>
      </c>
      <c r="F173" s="21" t="s">
        <v>1269</v>
      </c>
      <c r="G173" s="23"/>
      <c r="H173" s="21" t="s">
        <v>1269</v>
      </c>
      <c r="I173" s="23"/>
      <c r="J173" s="21" t="s">
        <v>1269</v>
      </c>
      <c r="K173" s="23"/>
      <c r="L173" s="21" t="s">
        <v>1269</v>
      </c>
      <c r="M173" s="23"/>
      <c r="N173" s="21" t="s">
        <v>1269</v>
      </c>
      <c r="O173" s="23"/>
      <c r="P173" s="21" t="s">
        <v>1269</v>
      </c>
      <c r="Q173" s="23"/>
    </row>
    <row r="174" spans="1:17" x14ac:dyDescent="0.25">
      <c r="A174" s="19" t="s">
        <v>432</v>
      </c>
      <c r="B174" s="19" t="s">
        <v>45</v>
      </c>
      <c r="C174" s="19" t="s">
        <v>366</v>
      </c>
      <c r="D174" s="19" t="s">
        <v>433</v>
      </c>
      <c r="E174" s="19" t="s">
        <v>141</v>
      </c>
      <c r="F174" s="21" t="s">
        <v>1269</v>
      </c>
      <c r="G174" s="23"/>
      <c r="H174" s="21" t="s">
        <v>1269</v>
      </c>
      <c r="I174" s="23"/>
      <c r="J174" s="21" t="s">
        <v>1269</v>
      </c>
      <c r="K174" s="23"/>
      <c r="L174" s="21" t="s">
        <v>1269</v>
      </c>
      <c r="M174" s="23"/>
      <c r="N174" s="21" t="s">
        <v>1269</v>
      </c>
      <c r="O174" s="23"/>
      <c r="P174" s="21" t="s">
        <v>1269</v>
      </c>
      <c r="Q174" s="23"/>
    </row>
    <row r="175" spans="1:17" x14ac:dyDescent="0.25">
      <c r="A175" s="19" t="s">
        <v>434</v>
      </c>
      <c r="B175" s="19" t="s">
        <v>45</v>
      </c>
      <c r="C175" s="19" t="s">
        <v>366</v>
      </c>
      <c r="D175" s="19" t="s">
        <v>435</v>
      </c>
      <c r="E175" s="19" t="s">
        <v>144</v>
      </c>
      <c r="F175" s="21" t="s">
        <v>1269</v>
      </c>
      <c r="G175" s="23"/>
      <c r="H175" s="21" t="s">
        <v>1269</v>
      </c>
      <c r="I175" s="23"/>
      <c r="J175" s="21" t="s">
        <v>1269</v>
      </c>
      <c r="K175" s="23"/>
      <c r="L175" s="21" t="s">
        <v>1269</v>
      </c>
      <c r="M175" s="23"/>
      <c r="N175" s="21" t="s">
        <v>1269</v>
      </c>
      <c r="O175" s="23"/>
      <c r="P175" s="21" t="s">
        <v>1269</v>
      </c>
      <c r="Q175" s="23"/>
    </row>
    <row r="176" spans="1:17" x14ac:dyDescent="0.25">
      <c r="A176" s="19" t="s">
        <v>436</v>
      </c>
      <c r="B176" s="19" t="s">
        <v>45</v>
      </c>
      <c r="C176" s="19" t="s">
        <v>437</v>
      </c>
      <c r="D176" s="19" t="s">
        <v>438</v>
      </c>
      <c r="E176" s="19" t="s">
        <v>59</v>
      </c>
      <c r="F176" s="21" t="s">
        <v>1269</v>
      </c>
      <c r="G176" s="23"/>
      <c r="H176" s="21" t="s">
        <v>1269</v>
      </c>
      <c r="I176" s="23"/>
      <c r="J176" s="21" t="s">
        <v>1269</v>
      </c>
      <c r="K176" s="23"/>
      <c r="L176" s="21" t="s">
        <v>1269</v>
      </c>
      <c r="M176" s="23"/>
      <c r="N176" s="21" t="s">
        <v>1269</v>
      </c>
      <c r="O176" s="23"/>
      <c r="P176" s="21" t="s">
        <v>1269</v>
      </c>
      <c r="Q176" s="23"/>
    </row>
    <row r="177" spans="1:17" x14ac:dyDescent="0.25">
      <c r="A177" s="19" t="s">
        <v>439</v>
      </c>
      <c r="B177" s="19" t="s">
        <v>45</v>
      </c>
      <c r="C177" s="19" t="s">
        <v>437</v>
      </c>
      <c r="D177" s="19" t="s">
        <v>440</v>
      </c>
      <c r="E177" s="19" t="s">
        <v>155</v>
      </c>
      <c r="F177" s="21" t="s">
        <v>1269</v>
      </c>
      <c r="G177" s="23"/>
      <c r="H177" s="21" t="s">
        <v>1269</v>
      </c>
      <c r="I177" s="23"/>
      <c r="J177" s="21" t="s">
        <v>1269</v>
      </c>
      <c r="K177" s="23"/>
      <c r="L177" s="21" t="s">
        <v>1269</v>
      </c>
      <c r="M177" s="23"/>
      <c r="N177" s="21" t="s">
        <v>1269</v>
      </c>
      <c r="O177" s="23"/>
      <c r="P177" s="21" t="s">
        <v>1269</v>
      </c>
      <c r="Q177" s="23"/>
    </row>
    <row r="178" spans="1:17" x14ac:dyDescent="0.25">
      <c r="A178" s="19" t="s">
        <v>441</v>
      </c>
      <c r="B178" s="19" t="s">
        <v>45</v>
      </c>
      <c r="C178" s="19" t="s">
        <v>437</v>
      </c>
      <c r="D178" s="19" t="s">
        <v>442</v>
      </c>
      <c r="E178" s="19" t="s">
        <v>66</v>
      </c>
      <c r="F178" s="21" t="s">
        <v>1269</v>
      </c>
      <c r="G178" s="23"/>
      <c r="H178" s="21" t="s">
        <v>1269</v>
      </c>
      <c r="I178" s="23"/>
      <c r="J178" s="21" t="s">
        <v>1269</v>
      </c>
      <c r="K178" s="23"/>
      <c r="L178" s="21" t="s">
        <v>1269</v>
      </c>
      <c r="M178" s="23"/>
      <c r="N178" s="21" t="s">
        <v>1269</v>
      </c>
      <c r="O178" s="23"/>
      <c r="P178" s="21" t="s">
        <v>1269</v>
      </c>
      <c r="Q178" s="23"/>
    </row>
    <row r="179" spans="1:17" x14ac:dyDescent="0.25">
      <c r="A179" s="19" t="s">
        <v>443</v>
      </c>
      <c r="B179" s="19" t="s">
        <v>45</v>
      </c>
      <c r="C179" s="19" t="s">
        <v>437</v>
      </c>
      <c r="D179" s="19" t="s">
        <v>444</v>
      </c>
      <c r="E179" s="19" t="s">
        <v>66</v>
      </c>
      <c r="F179" s="21" t="s">
        <v>1269</v>
      </c>
      <c r="G179" s="23"/>
      <c r="H179" s="21" t="s">
        <v>1269</v>
      </c>
      <c r="I179" s="23"/>
      <c r="J179" s="21" t="s">
        <v>1269</v>
      </c>
      <c r="K179" s="23"/>
      <c r="L179" s="21" t="s">
        <v>1269</v>
      </c>
      <c r="M179" s="23"/>
      <c r="N179" s="21" t="s">
        <v>1269</v>
      </c>
      <c r="O179" s="23"/>
      <c r="P179" s="21" t="s">
        <v>1269</v>
      </c>
      <c r="Q179" s="23"/>
    </row>
    <row r="180" spans="1:17" x14ac:dyDescent="0.25">
      <c r="A180" s="19" t="s">
        <v>445</v>
      </c>
      <c r="B180" s="19" t="s">
        <v>45</v>
      </c>
      <c r="C180" s="19" t="s">
        <v>437</v>
      </c>
      <c r="D180" s="19" t="s">
        <v>446</v>
      </c>
      <c r="E180" s="19" t="s">
        <v>66</v>
      </c>
      <c r="F180" s="21" t="s">
        <v>1269</v>
      </c>
      <c r="G180" s="23"/>
      <c r="H180" s="21" t="s">
        <v>1269</v>
      </c>
      <c r="I180" s="23"/>
      <c r="J180" s="21" t="s">
        <v>1269</v>
      </c>
      <c r="K180" s="23"/>
      <c r="L180" s="21" t="s">
        <v>1269</v>
      </c>
      <c r="M180" s="23"/>
      <c r="N180" s="21" t="s">
        <v>1269</v>
      </c>
      <c r="O180" s="23"/>
      <c r="P180" s="21" t="s">
        <v>1269</v>
      </c>
      <c r="Q180" s="23"/>
    </row>
    <row r="181" spans="1:17" x14ac:dyDescent="0.25">
      <c r="A181" s="19" t="s">
        <v>447</v>
      </c>
      <c r="B181" s="19" t="s">
        <v>45</v>
      </c>
      <c r="C181" s="19" t="s">
        <v>437</v>
      </c>
      <c r="D181" s="19" t="s">
        <v>448</v>
      </c>
      <c r="E181" s="19" t="s">
        <v>74</v>
      </c>
      <c r="F181" s="21" t="s">
        <v>1269</v>
      </c>
      <c r="G181" s="23"/>
      <c r="H181" s="21" t="s">
        <v>1269</v>
      </c>
      <c r="I181" s="23"/>
      <c r="J181" s="21" t="s">
        <v>1269</v>
      </c>
      <c r="K181" s="23"/>
      <c r="L181" s="21" t="s">
        <v>1269</v>
      </c>
      <c r="M181" s="23"/>
      <c r="N181" s="21" t="s">
        <v>1269</v>
      </c>
      <c r="O181" s="23"/>
      <c r="P181" s="21" t="s">
        <v>1269</v>
      </c>
      <c r="Q181" s="23"/>
    </row>
    <row r="182" spans="1:17" x14ac:dyDescent="0.25">
      <c r="A182" s="19" t="s">
        <v>449</v>
      </c>
      <c r="B182" s="19" t="s">
        <v>45</v>
      </c>
      <c r="C182" s="19" t="s">
        <v>437</v>
      </c>
      <c r="D182" s="19" t="s">
        <v>450</v>
      </c>
      <c r="E182" s="19" t="s">
        <v>74</v>
      </c>
      <c r="F182" s="21" t="s">
        <v>1269</v>
      </c>
      <c r="G182" s="23"/>
      <c r="H182" s="21" t="s">
        <v>1269</v>
      </c>
      <c r="I182" s="23"/>
      <c r="J182" s="21" t="s">
        <v>1269</v>
      </c>
      <c r="K182" s="23"/>
      <c r="L182" s="21" t="s">
        <v>1269</v>
      </c>
      <c r="M182" s="23"/>
      <c r="N182" s="21" t="s">
        <v>1269</v>
      </c>
      <c r="O182" s="23"/>
      <c r="P182" s="21" t="s">
        <v>1269</v>
      </c>
      <c r="Q182" s="23"/>
    </row>
    <row r="183" spans="1:17" x14ac:dyDescent="0.25">
      <c r="A183" s="19" t="s">
        <v>451</v>
      </c>
      <c r="B183" s="19" t="s">
        <v>45</v>
      </c>
      <c r="C183" s="19" t="s">
        <v>437</v>
      </c>
      <c r="D183" s="19" t="s">
        <v>452</v>
      </c>
      <c r="E183" s="19" t="s">
        <v>79</v>
      </c>
      <c r="F183" s="21" t="s">
        <v>1269</v>
      </c>
      <c r="G183" s="23"/>
      <c r="H183" s="21" t="s">
        <v>1269</v>
      </c>
      <c r="I183" s="23"/>
      <c r="J183" s="21" t="s">
        <v>1269</v>
      </c>
      <c r="K183" s="23"/>
      <c r="L183" s="21" t="s">
        <v>1269</v>
      </c>
      <c r="M183" s="23"/>
      <c r="N183" s="21" t="s">
        <v>1269</v>
      </c>
      <c r="O183" s="23"/>
      <c r="P183" s="21" t="s">
        <v>1269</v>
      </c>
      <c r="Q183" s="23"/>
    </row>
    <row r="184" spans="1:17" x14ac:dyDescent="0.25">
      <c r="A184" s="19" t="s">
        <v>453</v>
      </c>
      <c r="B184" s="19" t="s">
        <v>45</v>
      </c>
      <c r="C184" s="19" t="s">
        <v>437</v>
      </c>
      <c r="D184" s="19" t="s">
        <v>454</v>
      </c>
      <c r="E184" s="19" t="s">
        <v>79</v>
      </c>
      <c r="F184" s="21" t="s">
        <v>1269</v>
      </c>
      <c r="G184" s="23"/>
      <c r="H184" s="21" t="s">
        <v>1269</v>
      </c>
      <c r="I184" s="23"/>
      <c r="J184" s="21" t="s">
        <v>1269</v>
      </c>
      <c r="K184" s="23"/>
      <c r="L184" s="21" t="s">
        <v>1269</v>
      </c>
      <c r="M184" s="23"/>
      <c r="N184" s="21" t="s">
        <v>1269</v>
      </c>
      <c r="O184" s="23"/>
      <c r="P184" s="21" t="s">
        <v>1269</v>
      </c>
      <c r="Q184" s="23"/>
    </row>
    <row r="185" spans="1:17" x14ac:dyDescent="0.25">
      <c r="A185" s="19" t="s">
        <v>455</v>
      </c>
      <c r="B185" s="19" t="s">
        <v>45</v>
      </c>
      <c r="C185" s="19" t="s">
        <v>437</v>
      </c>
      <c r="D185" s="19" t="s">
        <v>456</v>
      </c>
      <c r="E185" s="19" t="s">
        <v>79</v>
      </c>
      <c r="F185" s="21" t="s">
        <v>1269</v>
      </c>
      <c r="G185" s="23"/>
      <c r="H185" s="21" t="s">
        <v>1269</v>
      </c>
      <c r="I185" s="23"/>
      <c r="J185" s="21" t="s">
        <v>1269</v>
      </c>
      <c r="K185" s="23"/>
      <c r="L185" s="21" t="s">
        <v>1269</v>
      </c>
      <c r="M185" s="23"/>
      <c r="N185" s="21" t="s">
        <v>1269</v>
      </c>
      <c r="O185" s="23"/>
      <c r="P185" s="21" t="s">
        <v>1269</v>
      </c>
      <c r="Q185" s="23"/>
    </row>
    <row r="186" spans="1:17" x14ac:dyDescent="0.25">
      <c r="A186" s="19" t="s">
        <v>457</v>
      </c>
      <c r="B186" s="19" t="s">
        <v>45</v>
      </c>
      <c r="C186" s="19" t="s">
        <v>437</v>
      </c>
      <c r="D186" s="19" t="s">
        <v>458</v>
      </c>
      <c r="E186" s="19" t="s">
        <v>86</v>
      </c>
      <c r="F186" s="21" t="s">
        <v>1269</v>
      </c>
      <c r="G186" s="23"/>
      <c r="H186" s="21" t="s">
        <v>1269</v>
      </c>
      <c r="I186" s="23"/>
      <c r="J186" s="21" t="s">
        <v>1269</v>
      </c>
      <c r="K186" s="23"/>
      <c r="L186" s="21" t="s">
        <v>1269</v>
      </c>
      <c r="M186" s="23"/>
      <c r="N186" s="21" t="s">
        <v>1269</v>
      </c>
      <c r="O186" s="23"/>
      <c r="P186" s="21" t="s">
        <v>1269</v>
      </c>
      <c r="Q186" s="23"/>
    </row>
    <row r="187" spans="1:17" x14ac:dyDescent="0.25">
      <c r="A187" s="19" t="s">
        <v>459</v>
      </c>
      <c r="B187" s="19" t="s">
        <v>45</v>
      </c>
      <c r="C187" s="19" t="s">
        <v>437</v>
      </c>
      <c r="D187" s="19" t="s">
        <v>460</v>
      </c>
      <c r="E187" s="19" t="s">
        <v>89</v>
      </c>
      <c r="F187" s="21" t="s">
        <v>1269</v>
      </c>
      <c r="G187" s="23"/>
      <c r="H187" s="21" t="s">
        <v>1269</v>
      </c>
      <c r="I187" s="23"/>
      <c r="J187" s="21" t="s">
        <v>1269</v>
      </c>
      <c r="K187" s="23"/>
      <c r="L187" s="21" t="s">
        <v>1269</v>
      </c>
      <c r="M187" s="23"/>
      <c r="N187" s="21" t="s">
        <v>1269</v>
      </c>
      <c r="O187" s="23"/>
      <c r="P187" s="21" t="s">
        <v>1269</v>
      </c>
      <c r="Q187" s="23"/>
    </row>
    <row r="188" spans="1:17" x14ac:dyDescent="0.25">
      <c r="A188" s="19" t="s">
        <v>461</v>
      </c>
      <c r="B188" s="19" t="s">
        <v>45</v>
      </c>
      <c r="C188" s="19" t="s">
        <v>437</v>
      </c>
      <c r="D188" s="19" t="s">
        <v>462</v>
      </c>
      <c r="E188" s="19" t="s">
        <v>89</v>
      </c>
      <c r="F188" s="21" t="s">
        <v>1269</v>
      </c>
      <c r="G188" s="23"/>
      <c r="H188" s="21" t="s">
        <v>1269</v>
      </c>
      <c r="I188" s="23"/>
      <c r="J188" s="21" t="s">
        <v>1269</v>
      </c>
      <c r="K188" s="23"/>
      <c r="L188" s="21" t="s">
        <v>1269</v>
      </c>
      <c r="M188" s="23"/>
      <c r="N188" s="21" t="s">
        <v>1269</v>
      </c>
      <c r="O188" s="23"/>
      <c r="P188" s="21" t="s">
        <v>1269</v>
      </c>
      <c r="Q188" s="23"/>
    </row>
    <row r="189" spans="1:17" x14ac:dyDescent="0.25">
      <c r="A189" s="19" t="s">
        <v>463</v>
      </c>
      <c r="B189" s="19" t="s">
        <v>45</v>
      </c>
      <c r="C189" s="19" t="s">
        <v>437</v>
      </c>
      <c r="D189" s="19" t="s">
        <v>464</v>
      </c>
      <c r="E189" s="19" t="s">
        <v>94</v>
      </c>
      <c r="F189" s="21" t="s">
        <v>1269</v>
      </c>
      <c r="G189" s="23"/>
      <c r="H189" s="21" t="s">
        <v>1269</v>
      </c>
      <c r="I189" s="23"/>
      <c r="J189" s="21" t="s">
        <v>1269</v>
      </c>
      <c r="K189" s="23"/>
      <c r="L189" s="21" t="s">
        <v>1269</v>
      </c>
      <c r="M189" s="23"/>
      <c r="N189" s="21" t="s">
        <v>1269</v>
      </c>
      <c r="O189" s="23"/>
      <c r="P189" s="21" t="s">
        <v>1269</v>
      </c>
      <c r="Q189" s="23"/>
    </row>
    <row r="190" spans="1:17" x14ac:dyDescent="0.25">
      <c r="A190" s="19" t="s">
        <v>465</v>
      </c>
      <c r="B190" s="19" t="s">
        <v>45</v>
      </c>
      <c r="C190" s="19" t="s">
        <v>437</v>
      </c>
      <c r="D190" s="19" t="s">
        <v>466</v>
      </c>
      <c r="E190" s="19" t="s">
        <v>94</v>
      </c>
      <c r="F190" s="21" t="s">
        <v>1269</v>
      </c>
      <c r="G190" s="23"/>
      <c r="H190" s="21" t="s">
        <v>1269</v>
      </c>
      <c r="I190" s="23"/>
      <c r="J190" s="21" t="s">
        <v>1269</v>
      </c>
      <c r="K190" s="23"/>
      <c r="L190" s="21" t="s">
        <v>1269</v>
      </c>
      <c r="M190" s="23"/>
      <c r="N190" s="21" t="s">
        <v>1269</v>
      </c>
      <c r="O190" s="23"/>
      <c r="P190" s="21" t="s">
        <v>1269</v>
      </c>
      <c r="Q190" s="23"/>
    </row>
    <row r="191" spans="1:17" x14ac:dyDescent="0.25">
      <c r="A191" s="19" t="s">
        <v>467</v>
      </c>
      <c r="B191" s="19" t="s">
        <v>45</v>
      </c>
      <c r="C191" s="19" t="s">
        <v>437</v>
      </c>
      <c r="D191" s="19" t="s">
        <v>468</v>
      </c>
      <c r="E191" s="19" t="s">
        <v>94</v>
      </c>
      <c r="F191" s="21" t="s">
        <v>1269</v>
      </c>
      <c r="G191" s="23"/>
      <c r="H191" s="21" t="s">
        <v>1269</v>
      </c>
      <c r="I191" s="23"/>
      <c r="J191" s="21" t="s">
        <v>1269</v>
      </c>
      <c r="K191" s="23"/>
      <c r="L191" s="21" t="s">
        <v>1269</v>
      </c>
      <c r="M191" s="23"/>
      <c r="N191" s="21" t="s">
        <v>1269</v>
      </c>
      <c r="O191" s="23"/>
      <c r="P191" s="21" t="s">
        <v>1269</v>
      </c>
      <c r="Q191" s="23"/>
    </row>
    <row r="192" spans="1:17" x14ac:dyDescent="0.25">
      <c r="A192" s="19" t="s">
        <v>469</v>
      </c>
      <c r="B192" s="19" t="s">
        <v>45</v>
      </c>
      <c r="C192" s="19" t="s">
        <v>437</v>
      </c>
      <c r="D192" s="19" t="s">
        <v>470</v>
      </c>
      <c r="E192" s="19" t="s">
        <v>186</v>
      </c>
      <c r="F192" s="21" t="s">
        <v>1269</v>
      </c>
      <c r="G192" s="23"/>
      <c r="H192" s="21" t="s">
        <v>1269</v>
      </c>
      <c r="I192" s="23"/>
      <c r="J192" s="21" t="s">
        <v>1269</v>
      </c>
      <c r="K192" s="23"/>
      <c r="L192" s="21" t="s">
        <v>1269</v>
      </c>
      <c r="M192" s="23"/>
      <c r="N192" s="21" t="s">
        <v>1269</v>
      </c>
      <c r="O192" s="23"/>
      <c r="P192" s="21" t="s">
        <v>1269</v>
      </c>
      <c r="Q192" s="23"/>
    </row>
    <row r="193" spans="1:17" x14ac:dyDescent="0.25">
      <c r="A193" s="19" t="s">
        <v>471</v>
      </c>
      <c r="B193" s="19" t="s">
        <v>45</v>
      </c>
      <c r="C193" s="19" t="s">
        <v>437</v>
      </c>
      <c r="D193" s="19" t="s">
        <v>472</v>
      </c>
      <c r="E193" s="19" t="s">
        <v>101</v>
      </c>
      <c r="F193" s="21" t="s">
        <v>1269</v>
      </c>
      <c r="G193" s="23"/>
      <c r="H193" s="21" t="s">
        <v>1269</v>
      </c>
      <c r="I193" s="23"/>
      <c r="J193" s="21" t="s">
        <v>1269</v>
      </c>
      <c r="K193" s="23"/>
      <c r="L193" s="21" t="s">
        <v>1269</v>
      </c>
      <c r="M193" s="23"/>
      <c r="N193" s="21" t="s">
        <v>1269</v>
      </c>
      <c r="O193" s="23"/>
      <c r="P193" s="21" t="s">
        <v>1269</v>
      </c>
      <c r="Q193" s="23"/>
    </row>
    <row r="194" spans="1:17" x14ac:dyDescent="0.25">
      <c r="A194" s="19" t="s">
        <v>473</v>
      </c>
      <c r="B194" s="19" t="s">
        <v>45</v>
      </c>
      <c r="C194" s="19" t="s">
        <v>437</v>
      </c>
      <c r="D194" s="19" t="s">
        <v>474</v>
      </c>
      <c r="E194" s="19" t="s">
        <v>101</v>
      </c>
      <c r="F194" s="21" t="s">
        <v>1269</v>
      </c>
      <c r="G194" s="23"/>
      <c r="H194" s="21" t="s">
        <v>1269</v>
      </c>
      <c r="I194" s="23"/>
      <c r="J194" s="21" t="s">
        <v>1269</v>
      </c>
      <c r="K194" s="23"/>
      <c r="L194" s="21" t="s">
        <v>1269</v>
      </c>
      <c r="M194" s="23"/>
      <c r="N194" s="21" t="s">
        <v>1269</v>
      </c>
      <c r="O194" s="23"/>
      <c r="P194" s="21" t="s">
        <v>1269</v>
      </c>
      <c r="Q194" s="23"/>
    </row>
    <row r="195" spans="1:17" x14ac:dyDescent="0.25">
      <c r="A195" s="19" t="s">
        <v>475</v>
      </c>
      <c r="B195" s="19" t="s">
        <v>45</v>
      </c>
      <c r="C195" s="19" t="s">
        <v>437</v>
      </c>
      <c r="D195" s="19" t="s">
        <v>476</v>
      </c>
      <c r="E195" s="19" t="s">
        <v>106</v>
      </c>
      <c r="F195" s="21" t="s">
        <v>1269</v>
      </c>
      <c r="G195" s="23"/>
      <c r="H195" s="21" t="s">
        <v>1269</v>
      </c>
      <c r="I195" s="23"/>
      <c r="J195" s="21" t="s">
        <v>1269</v>
      </c>
      <c r="K195" s="23"/>
      <c r="L195" s="21" t="s">
        <v>1269</v>
      </c>
      <c r="M195" s="23"/>
      <c r="N195" s="21" t="s">
        <v>1269</v>
      </c>
      <c r="O195" s="23"/>
      <c r="P195" s="21" t="s">
        <v>1269</v>
      </c>
      <c r="Q195" s="23"/>
    </row>
    <row r="196" spans="1:17" x14ac:dyDescent="0.25">
      <c r="A196" s="19" t="s">
        <v>477</v>
      </c>
      <c r="B196" s="19" t="s">
        <v>45</v>
      </c>
      <c r="C196" s="19" t="s">
        <v>437</v>
      </c>
      <c r="D196" s="19" t="s">
        <v>478</v>
      </c>
      <c r="E196" s="19" t="s">
        <v>109</v>
      </c>
      <c r="F196" s="21" t="s">
        <v>1269</v>
      </c>
      <c r="G196" s="23"/>
      <c r="H196" s="21" t="s">
        <v>1269</v>
      </c>
      <c r="I196" s="23"/>
      <c r="J196" s="21" t="s">
        <v>1269</v>
      </c>
      <c r="K196" s="23"/>
      <c r="L196" s="21" t="s">
        <v>1269</v>
      </c>
      <c r="M196" s="23"/>
      <c r="N196" s="21" t="s">
        <v>1269</v>
      </c>
      <c r="O196" s="23"/>
      <c r="P196" s="21" t="s">
        <v>1269</v>
      </c>
      <c r="Q196" s="23"/>
    </row>
    <row r="197" spans="1:17" x14ac:dyDescent="0.25">
      <c r="A197" s="19" t="s">
        <v>479</v>
      </c>
      <c r="B197" s="19" t="s">
        <v>45</v>
      </c>
      <c r="C197" s="19" t="s">
        <v>437</v>
      </c>
      <c r="D197" s="19" t="s">
        <v>480</v>
      </c>
      <c r="E197" s="19" t="s">
        <v>113</v>
      </c>
      <c r="F197" s="21" t="s">
        <v>1269</v>
      </c>
      <c r="G197" s="23"/>
      <c r="H197" s="21" t="s">
        <v>1269</v>
      </c>
      <c r="I197" s="23"/>
      <c r="J197" s="21" t="s">
        <v>1269</v>
      </c>
      <c r="K197" s="23"/>
      <c r="L197" s="21" t="s">
        <v>1269</v>
      </c>
      <c r="M197" s="23"/>
      <c r="N197" s="21" t="s">
        <v>1269</v>
      </c>
      <c r="O197" s="23"/>
      <c r="P197" s="21" t="s">
        <v>1269</v>
      </c>
      <c r="Q197" s="23"/>
    </row>
    <row r="198" spans="1:17" x14ac:dyDescent="0.25">
      <c r="A198" s="19" t="s">
        <v>481</v>
      </c>
      <c r="B198" s="19" t="s">
        <v>45</v>
      </c>
      <c r="C198" s="19" t="s">
        <v>437</v>
      </c>
      <c r="D198" s="19" t="s">
        <v>482</v>
      </c>
      <c r="E198" s="19" t="s">
        <v>113</v>
      </c>
      <c r="F198" s="21" t="s">
        <v>1269</v>
      </c>
      <c r="G198" s="23"/>
      <c r="H198" s="21" t="s">
        <v>1269</v>
      </c>
      <c r="I198" s="23"/>
      <c r="J198" s="21" t="s">
        <v>1269</v>
      </c>
      <c r="K198" s="23"/>
      <c r="L198" s="21" t="s">
        <v>1269</v>
      </c>
      <c r="M198" s="23"/>
      <c r="N198" s="21" t="s">
        <v>1269</v>
      </c>
      <c r="O198" s="23"/>
      <c r="P198" s="21" t="s">
        <v>1269</v>
      </c>
      <c r="Q198" s="23"/>
    </row>
    <row r="199" spans="1:17" x14ac:dyDescent="0.25">
      <c r="A199" s="19" t="s">
        <v>483</v>
      </c>
      <c r="B199" s="19" t="s">
        <v>45</v>
      </c>
      <c r="C199" s="19" t="s">
        <v>437</v>
      </c>
      <c r="D199" s="19" t="s">
        <v>484</v>
      </c>
      <c r="E199" s="19" t="s">
        <v>113</v>
      </c>
      <c r="F199" s="21" t="s">
        <v>1269</v>
      </c>
      <c r="G199" s="23"/>
      <c r="H199" s="21" t="s">
        <v>1269</v>
      </c>
      <c r="I199" s="23"/>
      <c r="J199" s="21" t="s">
        <v>1269</v>
      </c>
      <c r="K199" s="23"/>
      <c r="L199" s="21" t="s">
        <v>1269</v>
      </c>
      <c r="M199" s="23"/>
      <c r="N199" s="21" t="s">
        <v>1269</v>
      </c>
      <c r="O199" s="23"/>
      <c r="P199" s="21" t="s">
        <v>1269</v>
      </c>
      <c r="Q199" s="23"/>
    </row>
    <row r="200" spans="1:17" x14ac:dyDescent="0.25">
      <c r="A200" s="19" t="s">
        <v>485</v>
      </c>
      <c r="B200" s="19" t="s">
        <v>45</v>
      </c>
      <c r="C200" s="19" t="s">
        <v>437</v>
      </c>
      <c r="D200" s="19" t="s">
        <v>486</v>
      </c>
      <c r="E200" s="19" t="s">
        <v>120</v>
      </c>
      <c r="F200" s="21" t="s">
        <v>1269</v>
      </c>
      <c r="G200" s="23"/>
      <c r="H200" s="21" t="s">
        <v>1269</v>
      </c>
      <c r="I200" s="23"/>
      <c r="J200" s="21" t="s">
        <v>1269</v>
      </c>
      <c r="K200" s="23"/>
      <c r="L200" s="21" t="s">
        <v>1269</v>
      </c>
      <c r="M200" s="23"/>
      <c r="N200" s="21" t="s">
        <v>1269</v>
      </c>
      <c r="O200" s="23"/>
      <c r="P200" s="21" t="s">
        <v>1269</v>
      </c>
      <c r="Q200" s="23"/>
    </row>
    <row r="201" spans="1:17" x14ac:dyDescent="0.25">
      <c r="A201" s="19" t="s">
        <v>487</v>
      </c>
      <c r="B201" s="19" t="s">
        <v>45</v>
      </c>
      <c r="C201" s="19" t="s">
        <v>437</v>
      </c>
      <c r="D201" s="19" t="s">
        <v>488</v>
      </c>
      <c r="E201" s="19" t="s">
        <v>205</v>
      </c>
      <c r="F201" s="21" t="s">
        <v>1269</v>
      </c>
      <c r="G201" s="23"/>
      <c r="H201" s="21" t="s">
        <v>1269</v>
      </c>
      <c r="I201" s="23"/>
      <c r="J201" s="21" t="s">
        <v>1269</v>
      </c>
      <c r="K201" s="23"/>
      <c r="L201" s="21" t="s">
        <v>1269</v>
      </c>
      <c r="M201" s="23"/>
      <c r="N201" s="21" t="s">
        <v>1269</v>
      </c>
      <c r="O201" s="23"/>
      <c r="P201" s="21" t="s">
        <v>1269</v>
      </c>
      <c r="Q201" s="23"/>
    </row>
    <row r="202" spans="1:17" x14ac:dyDescent="0.25">
      <c r="A202" s="19" t="s">
        <v>489</v>
      </c>
      <c r="B202" s="19" t="s">
        <v>45</v>
      </c>
      <c r="C202" s="19" t="s">
        <v>437</v>
      </c>
      <c r="D202" s="19" t="s">
        <v>490</v>
      </c>
      <c r="E202" s="19" t="s">
        <v>205</v>
      </c>
      <c r="F202" s="21" t="s">
        <v>1269</v>
      </c>
      <c r="G202" s="23"/>
      <c r="H202" s="21" t="s">
        <v>1269</v>
      </c>
      <c r="I202" s="23"/>
      <c r="J202" s="21" t="s">
        <v>1269</v>
      </c>
      <c r="K202" s="23"/>
      <c r="L202" s="21" t="s">
        <v>1269</v>
      </c>
      <c r="M202" s="23"/>
      <c r="N202" s="21" t="s">
        <v>1269</v>
      </c>
      <c r="O202" s="23"/>
      <c r="P202" s="21" t="s">
        <v>1269</v>
      </c>
      <c r="Q202" s="23"/>
    </row>
    <row r="203" spans="1:17" x14ac:dyDescent="0.25">
      <c r="A203" s="19" t="s">
        <v>491</v>
      </c>
      <c r="B203" s="19" t="s">
        <v>45</v>
      </c>
      <c r="C203" s="19" t="s">
        <v>437</v>
      </c>
      <c r="D203" s="19" t="s">
        <v>492</v>
      </c>
      <c r="E203" s="19" t="s">
        <v>126</v>
      </c>
      <c r="F203" s="21" t="s">
        <v>1269</v>
      </c>
      <c r="G203" s="23"/>
      <c r="H203" s="21" t="s">
        <v>1269</v>
      </c>
      <c r="I203" s="23"/>
      <c r="J203" s="21" t="s">
        <v>1269</v>
      </c>
      <c r="K203" s="23"/>
      <c r="L203" s="21" t="s">
        <v>1269</v>
      </c>
      <c r="M203" s="23"/>
      <c r="N203" s="21" t="s">
        <v>1269</v>
      </c>
      <c r="O203" s="23"/>
      <c r="P203" s="21" t="s">
        <v>1269</v>
      </c>
      <c r="Q203" s="23"/>
    </row>
    <row r="204" spans="1:17" x14ac:dyDescent="0.25">
      <c r="A204" s="19" t="s">
        <v>493</v>
      </c>
      <c r="B204" s="19" t="s">
        <v>45</v>
      </c>
      <c r="C204" s="19" t="s">
        <v>437</v>
      </c>
      <c r="D204" s="19" t="s">
        <v>494</v>
      </c>
      <c r="E204" s="19" t="s">
        <v>126</v>
      </c>
      <c r="F204" s="21" t="s">
        <v>1269</v>
      </c>
      <c r="G204" s="23"/>
      <c r="H204" s="21" t="s">
        <v>1269</v>
      </c>
      <c r="I204" s="23"/>
      <c r="J204" s="21" t="s">
        <v>1269</v>
      </c>
      <c r="K204" s="23"/>
      <c r="L204" s="21" t="s">
        <v>1269</v>
      </c>
      <c r="M204" s="23"/>
      <c r="N204" s="21" t="s">
        <v>1269</v>
      </c>
      <c r="O204" s="23"/>
      <c r="P204" s="21" t="s">
        <v>1269</v>
      </c>
      <c r="Q204" s="23"/>
    </row>
    <row r="205" spans="1:17" x14ac:dyDescent="0.25">
      <c r="A205" s="19" t="s">
        <v>495</v>
      </c>
      <c r="B205" s="19" t="s">
        <v>45</v>
      </c>
      <c r="C205" s="19" t="s">
        <v>437</v>
      </c>
      <c r="D205" s="19" t="s">
        <v>496</v>
      </c>
      <c r="E205" s="19" t="s">
        <v>131</v>
      </c>
      <c r="F205" s="21" t="s">
        <v>1269</v>
      </c>
      <c r="G205" s="23"/>
      <c r="H205" s="21" t="s">
        <v>1269</v>
      </c>
      <c r="I205" s="23"/>
      <c r="J205" s="21" t="s">
        <v>1269</v>
      </c>
      <c r="K205" s="23"/>
      <c r="L205" s="21" t="s">
        <v>1269</v>
      </c>
      <c r="M205" s="23"/>
      <c r="N205" s="21" t="s">
        <v>1269</v>
      </c>
      <c r="O205" s="23"/>
      <c r="P205" s="21" t="s">
        <v>1269</v>
      </c>
      <c r="Q205" s="23"/>
    </row>
    <row r="206" spans="1:17" x14ac:dyDescent="0.25">
      <c r="A206" s="19" t="s">
        <v>497</v>
      </c>
      <c r="B206" s="19" t="s">
        <v>45</v>
      </c>
      <c r="C206" s="19" t="s">
        <v>437</v>
      </c>
      <c r="D206" s="19" t="s">
        <v>498</v>
      </c>
      <c r="E206" s="19" t="s">
        <v>287</v>
      </c>
      <c r="F206" s="21" t="s">
        <v>1269</v>
      </c>
      <c r="G206" s="23"/>
      <c r="H206" s="21" t="s">
        <v>1269</v>
      </c>
      <c r="I206" s="23"/>
      <c r="J206" s="21" t="s">
        <v>1269</v>
      </c>
      <c r="K206" s="23"/>
      <c r="L206" s="21" t="s">
        <v>1269</v>
      </c>
      <c r="M206" s="23"/>
      <c r="N206" s="21" t="s">
        <v>1269</v>
      </c>
      <c r="O206" s="23"/>
      <c r="P206" s="21" t="s">
        <v>1269</v>
      </c>
      <c r="Q206" s="23"/>
    </row>
    <row r="207" spans="1:17" x14ac:dyDescent="0.25">
      <c r="A207" s="19" t="s">
        <v>499</v>
      </c>
      <c r="B207" s="19" t="s">
        <v>45</v>
      </c>
      <c r="C207" s="19" t="s">
        <v>437</v>
      </c>
      <c r="D207" s="19" t="s">
        <v>500</v>
      </c>
      <c r="E207" s="19" t="s">
        <v>141</v>
      </c>
      <c r="F207" s="21" t="s">
        <v>1269</v>
      </c>
      <c r="G207" s="23"/>
      <c r="H207" s="21" t="s">
        <v>1269</v>
      </c>
      <c r="I207" s="23"/>
      <c r="J207" s="21" t="s">
        <v>1269</v>
      </c>
      <c r="K207" s="23"/>
      <c r="L207" s="21" t="s">
        <v>1269</v>
      </c>
      <c r="M207" s="23"/>
      <c r="N207" s="21" t="s">
        <v>1269</v>
      </c>
      <c r="O207" s="23"/>
      <c r="P207" s="21" t="s">
        <v>1269</v>
      </c>
      <c r="Q207" s="23"/>
    </row>
    <row r="208" spans="1:17" x14ac:dyDescent="0.25">
      <c r="A208" s="19" t="s">
        <v>501</v>
      </c>
      <c r="B208" s="19" t="s">
        <v>45</v>
      </c>
      <c r="C208" s="19" t="s">
        <v>437</v>
      </c>
      <c r="D208" s="19" t="s">
        <v>502</v>
      </c>
      <c r="E208" s="19" t="s">
        <v>144</v>
      </c>
      <c r="F208" s="21" t="s">
        <v>1269</v>
      </c>
      <c r="G208" s="23"/>
      <c r="H208" s="21" t="s">
        <v>1269</v>
      </c>
      <c r="I208" s="23"/>
      <c r="J208" s="21" t="s">
        <v>1269</v>
      </c>
      <c r="K208" s="23"/>
      <c r="L208" s="21" t="s">
        <v>1269</v>
      </c>
      <c r="M208" s="23"/>
      <c r="N208" s="21" t="s">
        <v>1269</v>
      </c>
      <c r="O208" s="23"/>
      <c r="P208" s="21" t="s">
        <v>1269</v>
      </c>
      <c r="Q208" s="23"/>
    </row>
    <row r="209" spans="1:17" x14ac:dyDescent="0.25">
      <c r="A209" s="19" t="s">
        <v>503</v>
      </c>
      <c r="B209" s="19" t="s">
        <v>45</v>
      </c>
      <c r="C209" s="19" t="s">
        <v>437</v>
      </c>
      <c r="D209" s="19" t="s">
        <v>504</v>
      </c>
      <c r="E209" s="19" t="s">
        <v>505</v>
      </c>
      <c r="F209" s="21" t="s">
        <v>1269</v>
      </c>
      <c r="G209" s="23"/>
      <c r="H209" s="21" t="s">
        <v>1269</v>
      </c>
      <c r="I209" s="23"/>
      <c r="J209" s="21" t="s">
        <v>1269</v>
      </c>
      <c r="K209" s="23"/>
      <c r="L209" s="21" t="s">
        <v>1269</v>
      </c>
      <c r="M209" s="23"/>
      <c r="N209" s="21" t="s">
        <v>1269</v>
      </c>
      <c r="O209" s="23"/>
      <c r="P209" s="21" t="s">
        <v>1269</v>
      </c>
      <c r="Q209" s="23"/>
    </row>
    <row r="210" spans="1:17" x14ac:dyDescent="0.25">
      <c r="A210" s="19" t="s">
        <v>507</v>
      </c>
      <c r="B210" s="19" t="s">
        <v>45</v>
      </c>
      <c r="C210" s="19" t="s">
        <v>437</v>
      </c>
      <c r="D210" s="19" t="s">
        <v>508</v>
      </c>
      <c r="E210" s="19" t="s">
        <v>509</v>
      </c>
      <c r="F210" s="21" t="s">
        <v>1269</v>
      </c>
      <c r="G210" s="23"/>
      <c r="H210" s="21" t="s">
        <v>1269</v>
      </c>
      <c r="I210" s="23"/>
      <c r="J210" s="21" t="s">
        <v>1269</v>
      </c>
      <c r="K210" s="23"/>
      <c r="L210" s="21" t="s">
        <v>1269</v>
      </c>
      <c r="M210" s="23"/>
      <c r="N210" s="21" t="s">
        <v>1269</v>
      </c>
      <c r="O210" s="23"/>
      <c r="P210" s="21" t="s">
        <v>1269</v>
      </c>
      <c r="Q210" s="23"/>
    </row>
    <row r="211" spans="1:17" x14ac:dyDescent="0.25">
      <c r="A211" s="19" t="s">
        <v>510</v>
      </c>
      <c r="B211" s="19" t="s">
        <v>45</v>
      </c>
      <c r="C211" s="19" t="s">
        <v>511</v>
      </c>
      <c r="D211" s="19" t="s">
        <v>512</v>
      </c>
      <c r="E211" s="19" t="s">
        <v>59</v>
      </c>
      <c r="F211" s="21" t="s">
        <v>1269</v>
      </c>
      <c r="G211" s="23"/>
      <c r="H211" s="21" t="s">
        <v>1269</v>
      </c>
      <c r="I211" s="23"/>
      <c r="J211" s="21" t="s">
        <v>1269</v>
      </c>
      <c r="K211" s="23"/>
      <c r="L211" s="21" t="s">
        <v>1269</v>
      </c>
      <c r="M211" s="23"/>
      <c r="N211" s="21" t="s">
        <v>1269</v>
      </c>
      <c r="O211" s="23"/>
      <c r="P211" s="21" t="s">
        <v>1269</v>
      </c>
      <c r="Q211" s="23"/>
    </row>
    <row r="212" spans="1:17" x14ac:dyDescent="0.25">
      <c r="A212" s="19" t="s">
        <v>513</v>
      </c>
      <c r="B212" s="19" t="s">
        <v>45</v>
      </c>
      <c r="C212" s="19" t="s">
        <v>511</v>
      </c>
      <c r="D212" s="19" t="s">
        <v>514</v>
      </c>
      <c r="E212" s="19" t="s">
        <v>155</v>
      </c>
      <c r="F212" s="21" t="s">
        <v>1269</v>
      </c>
      <c r="G212" s="23"/>
      <c r="H212" s="21" t="s">
        <v>1269</v>
      </c>
      <c r="I212" s="23"/>
      <c r="J212" s="21" t="s">
        <v>1269</v>
      </c>
      <c r="K212" s="23"/>
      <c r="L212" s="21" t="s">
        <v>1269</v>
      </c>
      <c r="M212" s="23"/>
      <c r="N212" s="21" t="s">
        <v>1269</v>
      </c>
      <c r="O212" s="23"/>
      <c r="P212" s="21" t="s">
        <v>1269</v>
      </c>
      <c r="Q212" s="23"/>
    </row>
    <row r="213" spans="1:17" x14ac:dyDescent="0.25">
      <c r="A213" s="19" t="s">
        <v>515</v>
      </c>
      <c r="B213" s="19" t="s">
        <v>45</v>
      </c>
      <c r="C213" s="19" t="s">
        <v>511</v>
      </c>
      <c r="D213" s="19" t="s">
        <v>516</v>
      </c>
      <c r="E213" s="19" t="s">
        <v>66</v>
      </c>
      <c r="F213" s="21" t="s">
        <v>1269</v>
      </c>
      <c r="G213" s="23"/>
      <c r="H213" s="21" t="s">
        <v>1269</v>
      </c>
      <c r="I213" s="23"/>
      <c r="J213" s="21" t="s">
        <v>1269</v>
      </c>
      <c r="K213" s="23"/>
      <c r="L213" s="21" t="s">
        <v>1269</v>
      </c>
      <c r="M213" s="23"/>
      <c r="N213" s="21" t="s">
        <v>1269</v>
      </c>
      <c r="O213" s="23"/>
      <c r="P213" s="21" t="s">
        <v>1269</v>
      </c>
      <c r="Q213" s="23"/>
    </row>
    <row r="214" spans="1:17" x14ac:dyDescent="0.25">
      <c r="A214" s="19" t="s">
        <v>517</v>
      </c>
      <c r="B214" s="19" t="s">
        <v>45</v>
      </c>
      <c r="C214" s="19" t="s">
        <v>511</v>
      </c>
      <c r="D214" s="19" t="s">
        <v>518</v>
      </c>
      <c r="E214" s="19" t="s">
        <v>66</v>
      </c>
      <c r="F214" s="21" t="s">
        <v>1269</v>
      </c>
      <c r="G214" s="23"/>
      <c r="H214" s="21" t="s">
        <v>1269</v>
      </c>
      <c r="I214" s="23"/>
      <c r="J214" s="21" t="s">
        <v>1269</v>
      </c>
      <c r="K214" s="23"/>
      <c r="L214" s="21" t="s">
        <v>1269</v>
      </c>
      <c r="M214" s="23"/>
      <c r="N214" s="21" t="s">
        <v>1269</v>
      </c>
      <c r="O214" s="23"/>
      <c r="P214" s="21" t="s">
        <v>1269</v>
      </c>
      <c r="Q214" s="23"/>
    </row>
    <row r="215" spans="1:17" x14ac:dyDescent="0.25">
      <c r="A215" s="19" t="s">
        <v>519</v>
      </c>
      <c r="B215" s="19" t="s">
        <v>45</v>
      </c>
      <c r="C215" s="19" t="s">
        <v>511</v>
      </c>
      <c r="D215" s="19" t="s">
        <v>520</v>
      </c>
      <c r="E215" s="19" t="s">
        <v>66</v>
      </c>
      <c r="F215" s="21" t="s">
        <v>1269</v>
      </c>
      <c r="G215" s="23"/>
      <c r="H215" s="21" t="s">
        <v>1269</v>
      </c>
      <c r="I215" s="23"/>
      <c r="J215" s="21" t="s">
        <v>1269</v>
      </c>
      <c r="K215" s="23"/>
      <c r="L215" s="21" t="s">
        <v>1269</v>
      </c>
      <c r="M215" s="23"/>
      <c r="N215" s="21" t="s">
        <v>1269</v>
      </c>
      <c r="O215" s="23"/>
      <c r="P215" s="21" t="s">
        <v>1269</v>
      </c>
      <c r="Q215" s="23"/>
    </row>
    <row r="216" spans="1:17" x14ac:dyDescent="0.25">
      <c r="A216" s="19" t="s">
        <v>521</v>
      </c>
      <c r="B216" s="19" t="s">
        <v>45</v>
      </c>
      <c r="C216" s="19" t="s">
        <v>511</v>
      </c>
      <c r="D216" s="19" t="s">
        <v>522</v>
      </c>
      <c r="E216" s="19" t="s">
        <v>74</v>
      </c>
      <c r="F216" s="21" t="s">
        <v>1269</v>
      </c>
      <c r="G216" s="23"/>
      <c r="H216" s="21" t="s">
        <v>1269</v>
      </c>
      <c r="I216" s="23"/>
      <c r="J216" s="21" t="s">
        <v>1269</v>
      </c>
      <c r="K216" s="23"/>
      <c r="L216" s="21" t="s">
        <v>1269</v>
      </c>
      <c r="M216" s="23"/>
      <c r="N216" s="21" t="s">
        <v>1269</v>
      </c>
      <c r="O216" s="23"/>
      <c r="P216" s="21" t="s">
        <v>1269</v>
      </c>
      <c r="Q216" s="23"/>
    </row>
    <row r="217" spans="1:17" x14ac:dyDescent="0.25">
      <c r="A217" s="19" t="s">
        <v>523</v>
      </c>
      <c r="B217" s="19" t="s">
        <v>45</v>
      </c>
      <c r="C217" s="19" t="s">
        <v>511</v>
      </c>
      <c r="D217" s="19" t="s">
        <v>524</v>
      </c>
      <c r="E217" s="19" t="s">
        <v>74</v>
      </c>
      <c r="F217" s="21" t="s">
        <v>1269</v>
      </c>
      <c r="G217" s="23"/>
      <c r="H217" s="21" t="s">
        <v>1269</v>
      </c>
      <c r="I217" s="23"/>
      <c r="J217" s="21" t="s">
        <v>1269</v>
      </c>
      <c r="K217" s="23"/>
      <c r="L217" s="21" t="s">
        <v>1269</v>
      </c>
      <c r="M217" s="23"/>
      <c r="N217" s="21" t="s">
        <v>1269</v>
      </c>
      <c r="O217" s="23"/>
      <c r="P217" s="21" t="s">
        <v>1269</v>
      </c>
      <c r="Q217" s="23"/>
    </row>
    <row r="218" spans="1:17" x14ac:dyDescent="0.25">
      <c r="A218" s="19" t="s">
        <v>525</v>
      </c>
      <c r="B218" s="19" t="s">
        <v>45</v>
      </c>
      <c r="C218" s="19" t="s">
        <v>511</v>
      </c>
      <c r="D218" s="19" t="s">
        <v>526</v>
      </c>
      <c r="E218" s="19" t="s">
        <v>79</v>
      </c>
      <c r="F218" s="21" t="s">
        <v>1269</v>
      </c>
      <c r="G218" s="23"/>
      <c r="H218" s="21" t="s">
        <v>1269</v>
      </c>
      <c r="I218" s="23"/>
      <c r="J218" s="21" t="s">
        <v>1269</v>
      </c>
      <c r="K218" s="23"/>
      <c r="L218" s="21" t="s">
        <v>1269</v>
      </c>
      <c r="M218" s="23"/>
      <c r="N218" s="21" t="s">
        <v>1269</v>
      </c>
      <c r="O218" s="23"/>
      <c r="P218" s="21" t="s">
        <v>1269</v>
      </c>
      <c r="Q218" s="23"/>
    </row>
    <row r="219" spans="1:17" x14ac:dyDescent="0.25">
      <c r="A219" s="19" t="s">
        <v>527</v>
      </c>
      <c r="B219" s="19" t="s">
        <v>45</v>
      </c>
      <c r="C219" s="19" t="s">
        <v>511</v>
      </c>
      <c r="D219" s="19" t="s">
        <v>528</v>
      </c>
      <c r="E219" s="19" t="s">
        <v>79</v>
      </c>
      <c r="F219" s="21" t="s">
        <v>1269</v>
      </c>
      <c r="G219" s="23"/>
      <c r="H219" s="21" t="s">
        <v>1269</v>
      </c>
      <c r="I219" s="23"/>
      <c r="J219" s="21" t="s">
        <v>1269</v>
      </c>
      <c r="K219" s="23"/>
      <c r="L219" s="21" t="s">
        <v>1269</v>
      </c>
      <c r="M219" s="23"/>
      <c r="N219" s="21" t="s">
        <v>1269</v>
      </c>
      <c r="O219" s="23"/>
      <c r="P219" s="21" t="s">
        <v>1269</v>
      </c>
      <c r="Q219" s="23"/>
    </row>
    <row r="220" spans="1:17" x14ac:dyDescent="0.25">
      <c r="A220" s="19" t="s">
        <v>529</v>
      </c>
      <c r="B220" s="19" t="s">
        <v>45</v>
      </c>
      <c r="C220" s="19" t="s">
        <v>511</v>
      </c>
      <c r="D220" s="19" t="s">
        <v>530</v>
      </c>
      <c r="E220" s="19" t="s">
        <v>79</v>
      </c>
      <c r="F220" s="21" t="s">
        <v>1269</v>
      </c>
      <c r="G220" s="23"/>
      <c r="H220" s="21" t="s">
        <v>1269</v>
      </c>
      <c r="I220" s="23"/>
      <c r="J220" s="21" t="s">
        <v>1269</v>
      </c>
      <c r="K220" s="23"/>
      <c r="L220" s="21" t="s">
        <v>1269</v>
      </c>
      <c r="M220" s="23"/>
      <c r="N220" s="21" t="s">
        <v>1269</v>
      </c>
      <c r="O220" s="23"/>
      <c r="P220" s="21" t="s">
        <v>1269</v>
      </c>
      <c r="Q220" s="23"/>
    </row>
    <row r="221" spans="1:17" x14ac:dyDescent="0.25">
      <c r="A221" s="19" t="s">
        <v>531</v>
      </c>
      <c r="B221" s="19" t="s">
        <v>45</v>
      </c>
      <c r="C221" s="19" t="s">
        <v>511</v>
      </c>
      <c r="D221" s="19" t="s">
        <v>532</v>
      </c>
      <c r="E221" s="19" t="s">
        <v>86</v>
      </c>
      <c r="F221" s="21" t="s">
        <v>1269</v>
      </c>
      <c r="G221" s="23"/>
      <c r="H221" s="21" t="s">
        <v>1269</v>
      </c>
      <c r="I221" s="23"/>
      <c r="J221" s="21" t="s">
        <v>1269</v>
      </c>
      <c r="K221" s="23"/>
      <c r="L221" s="21" t="s">
        <v>1269</v>
      </c>
      <c r="M221" s="23"/>
      <c r="N221" s="21" t="s">
        <v>1269</v>
      </c>
      <c r="O221" s="23"/>
      <c r="P221" s="21" t="s">
        <v>1269</v>
      </c>
      <c r="Q221" s="23"/>
    </row>
    <row r="222" spans="1:17" x14ac:dyDescent="0.25">
      <c r="A222" s="19" t="s">
        <v>533</v>
      </c>
      <c r="B222" s="19" t="s">
        <v>45</v>
      </c>
      <c r="C222" s="19" t="s">
        <v>511</v>
      </c>
      <c r="D222" s="19" t="s">
        <v>534</v>
      </c>
      <c r="E222" s="19" t="s">
        <v>89</v>
      </c>
      <c r="F222" s="21" t="s">
        <v>1269</v>
      </c>
      <c r="G222" s="23"/>
      <c r="H222" s="21" t="s">
        <v>1269</v>
      </c>
      <c r="I222" s="23"/>
      <c r="J222" s="21" t="s">
        <v>1269</v>
      </c>
      <c r="K222" s="23"/>
      <c r="L222" s="21" t="s">
        <v>1269</v>
      </c>
      <c r="M222" s="23"/>
      <c r="N222" s="21" t="s">
        <v>1269</v>
      </c>
      <c r="O222" s="23"/>
      <c r="P222" s="21" t="s">
        <v>1269</v>
      </c>
      <c r="Q222" s="23"/>
    </row>
    <row r="223" spans="1:17" x14ac:dyDescent="0.25">
      <c r="A223" s="19" t="s">
        <v>535</v>
      </c>
      <c r="B223" s="19" t="s">
        <v>45</v>
      </c>
      <c r="C223" s="19" t="s">
        <v>511</v>
      </c>
      <c r="D223" s="19" t="s">
        <v>536</v>
      </c>
      <c r="E223" s="19" t="s">
        <v>89</v>
      </c>
      <c r="F223" s="21" t="s">
        <v>1269</v>
      </c>
      <c r="G223" s="23"/>
      <c r="H223" s="21" t="s">
        <v>1269</v>
      </c>
      <c r="I223" s="23"/>
      <c r="J223" s="21" t="s">
        <v>1269</v>
      </c>
      <c r="K223" s="23"/>
      <c r="L223" s="21" t="s">
        <v>1269</v>
      </c>
      <c r="M223" s="23"/>
      <c r="N223" s="21" t="s">
        <v>1269</v>
      </c>
      <c r="O223" s="23"/>
      <c r="P223" s="21" t="s">
        <v>1269</v>
      </c>
      <c r="Q223" s="23"/>
    </row>
    <row r="224" spans="1:17" x14ac:dyDescent="0.25">
      <c r="A224" s="19" t="s">
        <v>537</v>
      </c>
      <c r="B224" s="19" t="s">
        <v>45</v>
      </c>
      <c r="C224" s="19" t="s">
        <v>511</v>
      </c>
      <c r="D224" s="19" t="s">
        <v>538</v>
      </c>
      <c r="E224" s="19" t="s">
        <v>94</v>
      </c>
      <c r="F224" s="21" t="s">
        <v>1269</v>
      </c>
      <c r="G224" s="23"/>
      <c r="H224" s="21" t="s">
        <v>1269</v>
      </c>
      <c r="I224" s="23"/>
      <c r="J224" s="21" t="s">
        <v>1269</v>
      </c>
      <c r="K224" s="23"/>
      <c r="L224" s="21" t="s">
        <v>1269</v>
      </c>
      <c r="M224" s="23"/>
      <c r="N224" s="21" t="s">
        <v>1269</v>
      </c>
      <c r="O224" s="23"/>
      <c r="P224" s="21" t="s">
        <v>1269</v>
      </c>
      <c r="Q224" s="23"/>
    </row>
    <row r="225" spans="1:17" x14ac:dyDescent="0.25">
      <c r="A225" s="19" t="s">
        <v>539</v>
      </c>
      <c r="B225" s="19" t="s">
        <v>45</v>
      </c>
      <c r="C225" s="19" t="s">
        <v>511</v>
      </c>
      <c r="D225" s="19" t="s">
        <v>540</v>
      </c>
      <c r="E225" s="19" t="s">
        <v>94</v>
      </c>
      <c r="F225" s="21" t="s">
        <v>1269</v>
      </c>
      <c r="G225" s="23"/>
      <c r="H225" s="21" t="s">
        <v>1269</v>
      </c>
      <c r="I225" s="23"/>
      <c r="J225" s="21" t="s">
        <v>1269</v>
      </c>
      <c r="K225" s="23"/>
      <c r="L225" s="21" t="s">
        <v>1269</v>
      </c>
      <c r="M225" s="23"/>
      <c r="N225" s="21" t="s">
        <v>1269</v>
      </c>
      <c r="O225" s="23"/>
      <c r="P225" s="21" t="s">
        <v>1269</v>
      </c>
      <c r="Q225" s="23"/>
    </row>
    <row r="226" spans="1:17" x14ac:dyDescent="0.25">
      <c r="A226" s="19" t="s">
        <v>541</v>
      </c>
      <c r="B226" s="19" t="s">
        <v>45</v>
      </c>
      <c r="C226" s="19" t="s">
        <v>511</v>
      </c>
      <c r="D226" s="19" t="s">
        <v>542</v>
      </c>
      <c r="E226" s="19" t="s">
        <v>94</v>
      </c>
      <c r="F226" s="21" t="s">
        <v>1269</v>
      </c>
      <c r="G226" s="23"/>
      <c r="H226" s="21" t="s">
        <v>1269</v>
      </c>
      <c r="I226" s="23"/>
      <c r="J226" s="21" t="s">
        <v>1269</v>
      </c>
      <c r="K226" s="23"/>
      <c r="L226" s="21" t="s">
        <v>1269</v>
      </c>
      <c r="M226" s="23"/>
      <c r="N226" s="21" t="s">
        <v>1269</v>
      </c>
      <c r="O226" s="23"/>
      <c r="P226" s="21" t="s">
        <v>1269</v>
      </c>
      <c r="Q226" s="23"/>
    </row>
    <row r="227" spans="1:17" x14ac:dyDescent="0.25">
      <c r="A227" s="19" t="s">
        <v>543</v>
      </c>
      <c r="B227" s="19" t="s">
        <v>45</v>
      </c>
      <c r="C227" s="19" t="s">
        <v>511</v>
      </c>
      <c r="D227" s="19" t="s">
        <v>544</v>
      </c>
      <c r="E227" s="19" t="s">
        <v>186</v>
      </c>
      <c r="F227" s="21" t="s">
        <v>1269</v>
      </c>
      <c r="G227" s="23"/>
      <c r="H227" s="21" t="s">
        <v>1269</v>
      </c>
      <c r="I227" s="23"/>
      <c r="J227" s="21" t="s">
        <v>1269</v>
      </c>
      <c r="K227" s="23"/>
      <c r="L227" s="21" t="s">
        <v>1269</v>
      </c>
      <c r="M227" s="23"/>
      <c r="N227" s="21" t="s">
        <v>1269</v>
      </c>
      <c r="O227" s="23"/>
      <c r="P227" s="21" t="s">
        <v>1269</v>
      </c>
      <c r="Q227" s="23"/>
    </row>
    <row r="228" spans="1:17" x14ac:dyDescent="0.25">
      <c r="A228" s="19" t="s">
        <v>545</v>
      </c>
      <c r="B228" s="19" t="s">
        <v>45</v>
      </c>
      <c r="C228" s="19" t="s">
        <v>511</v>
      </c>
      <c r="D228" s="19" t="s">
        <v>546</v>
      </c>
      <c r="E228" s="19" t="s">
        <v>101</v>
      </c>
      <c r="F228" s="21" t="s">
        <v>1269</v>
      </c>
      <c r="G228" s="23"/>
      <c r="H228" s="21" t="s">
        <v>1269</v>
      </c>
      <c r="I228" s="23"/>
      <c r="J228" s="21" t="s">
        <v>1269</v>
      </c>
      <c r="K228" s="23"/>
      <c r="L228" s="21" t="s">
        <v>1269</v>
      </c>
      <c r="M228" s="23"/>
      <c r="N228" s="21" t="s">
        <v>1269</v>
      </c>
      <c r="O228" s="23"/>
      <c r="P228" s="21" t="s">
        <v>1269</v>
      </c>
      <c r="Q228" s="23"/>
    </row>
    <row r="229" spans="1:17" x14ac:dyDescent="0.25">
      <c r="A229" s="19" t="s">
        <v>547</v>
      </c>
      <c r="B229" s="19" t="s">
        <v>45</v>
      </c>
      <c r="C229" s="19" t="s">
        <v>511</v>
      </c>
      <c r="D229" s="19" t="s">
        <v>548</v>
      </c>
      <c r="E229" s="19" t="s">
        <v>101</v>
      </c>
      <c r="F229" s="21" t="s">
        <v>1269</v>
      </c>
      <c r="G229" s="23"/>
      <c r="H229" s="21" t="s">
        <v>1269</v>
      </c>
      <c r="I229" s="23"/>
      <c r="J229" s="21" t="s">
        <v>1269</v>
      </c>
      <c r="K229" s="23"/>
      <c r="L229" s="21" t="s">
        <v>1269</v>
      </c>
      <c r="M229" s="23"/>
      <c r="N229" s="21" t="s">
        <v>1269</v>
      </c>
      <c r="O229" s="23"/>
      <c r="P229" s="21" t="s">
        <v>1269</v>
      </c>
      <c r="Q229" s="23"/>
    </row>
    <row r="230" spans="1:17" x14ac:dyDescent="0.25">
      <c r="A230" s="19" t="s">
        <v>549</v>
      </c>
      <c r="B230" s="19" t="s">
        <v>45</v>
      </c>
      <c r="C230" s="19" t="s">
        <v>511</v>
      </c>
      <c r="D230" s="19" t="s">
        <v>550</v>
      </c>
      <c r="E230" s="19" t="s">
        <v>106</v>
      </c>
      <c r="F230" s="21" t="s">
        <v>1269</v>
      </c>
      <c r="G230" s="23"/>
      <c r="H230" s="21" t="s">
        <v>1269</v>
      </c>
      <c r="I230" s="23"/>
      <c r="J230" s="21" t="s">
        <v>1269</v>
      </c>
      <c r="K230" s="23"/>
      <c r="L230" s="21" t="s">
        <v>1269</v>
      </c>
      <c r="M230" s="23"/>
      <c r="N230" s="21" t="s">
        <v>1269</v>
      </c>
      <c r="O230" s="23"/>
      <c r="P230" s="21" t="s">
        <v>1269</v>
      </c>
      <c r="Q230" s="23"/>
    </row>
    <row r="231" spans="1:17" x14ac:dyDescent="0.25">
      <c r="A231" s="19" t="s">
        <v>551</v>
      </c>
      <c r="B231" s="19" t="s">
        <v>45</v>
      </c>
      <c r="C231" s="19" t="s">
        <v>511</v>
      </c>
      <c r="D231" s="19" t="s">
        <v>552</v>
      </c>
      <c r="E231" s="19" t="s">
        <v>109</v>
      </c>
      <c r="F231" s="21" t="s">
        <v>1269</v>
      </c>
      <c r="G231" s="23"/>
      <c r="H231" s="21" t="s">
        <v>1269</v>
      </c>
      <c r="I231" s="23"/>
      <c r="J231" s="21" t="s">
        <v>1269</v>
      </c>
      <c r="K231" s="23"/>
      <c r="L231" s="21" t="s">
        <v>1269</v>
      </c>
      <c r="M231" s="23"/>
      <c r="N231" s="21" t="s">
        <v>1269</v>
      </c>
      <c r="O231" s="23"/>
      <c r="P231" s="21" t="s">
        <v>1269</v>
      </c>
      <c r="Q231" s="23"/>
    </row>
    <row r="232" spans="1:17" x14ac:dyDescent="0.25">
      <c r="A232" s="19" t="s">
        <v>553</v>
      </c>
      <c r="B232" s="19" t="s">
        <v>45</v>
      </c>
      <c r="C232" s="19" t="s">
        <v>511</v>
      </c>
      <c r="D232" s="19" t="s">
        <v>554</v>
      </c>
      <c r="E232" s="19" t="s">
        <v>113</v>
      </c>
      <c r="F232" s="21" t="s">
        <v>1269</v>
      </c>
      <c r="G232" s="23"/>
      <c r="H232" s="21" t="s">
        <v>1269</v>
      </c>
      <c r="I232" s="23"/>
      <c r="J232" s="21" t="s">
        <v>1269</v>
      </c>
      <c r="K232" s="23"/>
      <c r="L232" s="21" t="s">
        <v>1269</v>
      </c>
      <c r="M232" s="23"/>
      <c r="N232" s="21" t="s">
        <v>1269</v>
      </c>
      <c r="O232" s="23"/>
      <c r="P232" s="21" t="s">
        <v>1269</v>
      </c>
      <c r="Q232" s="23"/>
    </row>
    <row r="233" spans="1:17" x14ac:dyDescent="0.25">
      <c r="A233" s="19" t="s">
        <v>555</v>
      </c>
      <c r="B233" s="19" t="s">
        <v>45</v>
      </c>
      <c r="C233" s="19" t="s">
        <v>511</v>
      </c>
      <c r="D233" s="19" t="s">
        <v>556</v>
      </c>
      <c r="E233" s="19" t="s">
        <v>113</v>
      </c>
      <c r="F233" s="21" t="s">
        <v>1269</v>
      </c>
      <c r="G233" s="23"/>
      <c r="H233" s="21" t="s">
        <v>1269</v>
      </c>
      <c r="I233" s="23"/>
      <c r="J233" s="21" t="s">
        <v>1269</v>
      </c>
      <c r="K233" s="23"/>
      <c r="L233" s="21" t="s">
        <v>1269</v>
      </c>
      <c r="M233" s="23"/>
      <c r="N233" s="21" t="s">
        <v>1269</v>
      </c>
      <c r="O233" s="23"/>
      <c r="P233" s="21" t="s">
        <v>1269</v>
      </c>
      <c r="Q233" s="23"/>
    </row>
    <row r="234" spans="1:17" x14ac:dyDescent="0.25">
      <c r="A234" s="19" t="s">
        <v>557</v>
      </c>
      <c r="B234" s="19" t="s">
        <v>45</v>
      </c>
      <c r="C234" s="19" t="s">
        <v>511</v>
      </c>
      <c r="D234" s="19" t="s">
        <v>558</v>
      </c>
      <c r="E234" s="19" t="s">
        <v>113</v>
      </c>
      <c r="F234" s="21" t="s">
        <v>1269</v>
      </c>
      <c r="G234" s="23"/>
      <c r="H234" s="21" t="s">
        <v>1269</v>
      </c>
      <c r="I234" s="23"/>
      <c r="J234" s="21" t="s">
        <v>1269</v>
      </c>
      <c r="K234" s="23"/>
      <c r="L234" s="21" t="s">
        <v>1269</v>
      </c>
      <c r="M234" s="23"/>
      <c r="N234" s="21" t="s">
        <v>1269</v>
      </c>
      <c r="O234" s="23"/>
      <c r="P234" s="21" t="s">
        <v>1269</v>
      </c>
      <c r="Q234" s="23"/>
    </row>
    <row r="235" spans="1:17" x14ac:dyDescent="0.25">
      <c r="A235" s="19" t="s">
        <v>559</v>
      </c>
      <c r="B235" s="19" t="s">
        <v>45</v>
      </c>
      <c r="C235" s="19" t="s">
        <v>511</v>
      </c>
      <c r="D235" s="19" t="s">
        <v>560</v>
      </c>
      <c r="E235" s="19" t="s">
        <v>113</v>
      </c>
      <c r="F235" s="21" t="s">
        <v>1269</v>
      </c>
      <c r="G235" s="23"/>
      <c r="H235" s="21" t="s">
        <v>1269</v>
      </c>
      <c r="I235" s="23"/>
      <c r="J235" s="21" t="s">
        <v>1269</v>
      </c>
      <c r="K235" s="23"/>
      <c r="L235" s="21" t="s">
        <v>1269</v>
      </c>
      <c r="M235" s="23"/>
      <c r="N235" s="21" t="s">
        <v>1269</v>
      </c>
      <c r="O235" s="23"/>
      <c r="P235" s="21" t="s">
        <v>1269</v>
      </c>
      <c r="Q235" s="23"/>
    </row>
    <row r="236" spans="1:17" x14ac:dyDescent="0.25">
      <c r="A236" s="19" t="s">
        <v>561</v>
      </c>
      <c r="B236" s="19" t="s">
        <v>45</v>
      </c>
      <c r="C236" s="19" t="s">
        <v>511</v>
      </c>
      <c r="D236" s="19" t="s">
        <v>562</v>
      </c>
      <c r="E236" s="19" t="s">
        <v>120</v>
      </c>
      <c r="F236" s="21" t="s">
        <v>1269</v>
      </c>
      <c r="G236" s="23"/>
      <c r="H236" s="21" t="s">
        <v>1269</v>
      </c>
      <c r="I236" s="23"/>
      <c r="J236" s="21" t="s">
        <v>1269</v>
      </c>
      <c r="K236" s="23"/>
      <c r="L236" s="21" t="s">
        <v>1269</v>
      </c>
      <c r="M236" s="23"/>
      <c r="N236" s="21" t="s">
        <v>1269</v>
      </c>
      <c r="O236" s="23"/>
      <c r="P236" s="21" t="s">
        <v>1269</v>
      </c>
      <c r="Q236" s="23"/>
    </row>
    <row r="237" spans="1:17" x14ac:dyDescent="0.25">
      <c r="A237" s="19" t="s">
        <v>563</v>
      </c>
      <c r="B237" s="19" t="s">
        <v>45</v>
      </c>
      <c r="C237" s="19" t="s">
        <v>511</v>
      </c>
      <c r="D237" s="19" t="s">
        <v>564</v>
      </c>
      <c r="E237" s="19" t="s">
        <v>205</v>
      </c>
      <c r="F237" s="21" t="s">
        <v>1269</v>
      </c>
      <c r="G237" s="23"/>
      <c r="H237" s="21" t="s">
        <v>1269</v>
      </c>
      <c r="I237" s="23"/>
      <c r="J237" s="21" t="s">
        <v>1269</v>
      </c>
      <c r="K237" s="23"/>
      <c r="L237" s="21" t="s">
        <v>1269</v>
      </c>
      <c r="M237" s="23"/>
      <c r="N237" s="21" t="s">
        <v>1269</v>
      </c>
      <c r="O237" s="23"/>
      <c r="P237" s="21" t="s">
        <v>1269</v>
      </c>
      <c r="Q237" s="23"/>
    </row>
    <row r="238" spans="1:17" x14ac:dyDescent="0.25">
      <c r="A238" s="19" t="s">
        <v>565</v>
      </c>
      <c r="B238" s="19" t="s">
        <v>45</v>
      </c>
      <c r="C238" s="19" t="s">
        <v>511</v>
      </c>
      <c r="D238" s="19" t="s">
        <v>566</v>
      </c>
      <c r="E238" s="19" t="s">
        <v>205</v>
      </c>
      <c r="F238" s="21" t="s">
        <v>1269</v>
      </c>
      <c r="G238" s="23"/>
      <c r="H238" s="21" t="s">
        <v>1269</v>
      </c>
      <c r="I238" s="23"/>
      <c r="J238" s="21" t="s">
        <v>1269</v>
      </c>
      <c r="K238" s="23"/>
      <c r="L238" s="21" t="s">
        <v>1269</v>
      </c>
      <c r="M238" s="23"/>
      <c r="N238" s="21" t="s">
        <v>1269</v>
      </c>
      <c r="O238" s="23"/>
      <c r="P238" s="21" t="s">
        <v>1269</v>
      </c>
      <c r="Q238" s="23"/>
    </row>
    <row r="239" spans="1:17" x14ac:dyDescent="0.25">
      <c r="A239" s="19" t="s">
        <v>567</v>
      </c>
      <c r="B239" s="19" t="s">
        <v>45</v>
      </c>
      <c r="C239" s="19" t="s">
        <v>511</v>
      </c>
      <c r="D239" s="19" t="s">
        <v>568</v>
      </c>
      <c r="E239" s="19" t="s">
        <v>126</v>
      </c>
      <c r="F239" s="21" t="s">
        <v>1269</v>
      </c>
      <c r="G239" s="23"/>
      <c r="H239" s="21" t="s">
        <v>1269</v>
      </c>
      <c r="I239" s="23"/>
      <c r="J239" s="21" t="s">
        <v>1269</v>
      </c>
      <c r="K239" s="23"/>
      <c r="L239" s="21" t="s">
        <v>1269</v>
      </c>
      <c r="M239" s="23"/>
      <c r="N239" s="21" t="s">
        <v>1269</v>
      </c>
      <c r="O239" s="23"/>
      <c r="P239" s="21" t="s">
        <v>1269</v>
      </c>
      <c r="Q239" s="23"/>
    </row>
    <row r="240" spans="1:17" x14ac:dyDescent="0.25">
      <c r="A240" s="19" t="s">
        <v>569</v>
      </c>
      <c r="B240" s="19" t="s">
        <v>45</v>
      </c>
      <c r="C240" s="19" t="s">
        <v>511</v>
      </c>
      <c r="D240" s="19" t="s">
        <v>570</v>
      </c>
      <c r="E240" s="19" t="s">
        <v>126</v>
      </c>
      <c r="F240" s="21" t="s">
        <v>1269</v>
      </c>
      <c r="G240" s="23"/>
      <c r="H240" s="21" t="s">
        <v>1269</v>
      </c>
      <c r="I240" s="23"/>
      <c r="J240" s="21" t="s">
        <v>1269</v>
      </c>
      <c r="K240" s="23"/>
      <c r="L240" s="21" t="s">
        <v>1269</v>
      </c>
      <c r="M240" s="23"/>
      <c r="N240" s="21" t="s">
        <v>1269</v>
      </c>
      <c r="O240" s="23"/>
      <c r="P240" s="21" t="s">
        <v>1269</v>
      </c>
      <c r="Q240" s="23"/>
    </row>
    <row r="241" spans="1:17" x14ac:dyDescent="0.25">
      <c r="A241" s="19" t="s">
        <v>571</v>
      </c>
      <c r="B241" s="19" t="s">
        <v>45</v>
      </c>
      <c r="C241" s="19" t="s">
        <v>511</v>
      </c>
      <c r="D241" s="19" t="s">
        <v>572</v>
      </c>
      <c r="E241" s="19" t="s">
        <v>131</v>
      </c>
      <c r="F241" s="21" t="s">
        <v>1269</v>
      </c>
      <c r="G241" s="23"/>
      <c r="H241" s="21" t="s">
        <v>1269</v>
      </c>
      <c r="I241" s="23"/>
      <c r="J241" s="21" t="s">
        <v>1269</v>
      </c>
      <c r="K241" s="23"/>
      <c r="L241" s="21" t="s">
        <v>1269</v>
      </c>
      <c r="M241" s="23"/>
      <c r="N241" s="21" t="s">
        <v>1269</v>
      </c>
      <c r="O241" s="23"/>
      <c r="P241" s="21" t="s">
        <v>1269</v>
      </c>
      <c r="Q241" s="23"/>
    </row>
    <row r="242" spans="1:17" x14ac:dyDescent="0.25">
      <c r="A242" s="19" t="s">
        <v>573</v>
      </c>
      <c r="B242" s="19" t="s">
        <v>45</v>
      </c>
      <c r="C242" s="19" t="s">
        <v>511</v>
      </c>
      <c r="D242" s="19" t="s">
        <v>574</v>
      </c>
      <c r="E242" s="19" t="s">
        <v>141</v>
      </c>
      <c r="F242" s="21" t="s">
        <v>1269</v>
      </c>
      <c r="G242" s="23"/>
      <c r="H242" s="21" t="s">
        <v>1269</v>
      </c>
      <c r="I242" s="23"/>
      <c r="J242" s="21" t="s">
        <v>1269</v>
      </c>
      <c r="K242" s="23"/>
      <c r="L242" s="21" t="s">
        <v>1269</v>
      </c>
      <c r="M242" s="23"/>
      <c r="N242" s="21" t="s">
        <v>1269</v>
      </c>
      <c r="O242" s="23"/>
      <c r="P242" s="21" t="s">
        <v>1269</v>
      </c>
      <c r="Q242" s="23"/>
    </row>
    <row r="243" spans="1:17" x14ac:dyDescent="0.25">
      <c r="A243" s="19" t="s">
        <v>575</v>
      </c>
      <c r="B243" s="19" t="s">
        <v>45</v>
      </c>
      <c r="C243" s="19" t="s">
        <v>511</v>
      </c>
      <c r="D243" s="19" t="s">
        <v>576</v>
      </c>
      <c r="E243" s="19" t="s">
        <v>144</v>
      </c>
      <c r="F243" s="21" t="s">
        <v>1269</v>
      </c>
      <c r="G243" s="23"/>
      <c r="H243" s="21" t="s">
        <v>1269</v>
      </c>
      <c r="I243" s="23"/>
      <c r="J243" s="21" t="s">
        <v>1269</v>
      </c>
      <c r="K243" s="23"/>
      <c r="L243" s="21" t="s">
        <v>1269</v>
      </c>
      <c r="M243" s="23"/>
      <c r="N243" s="21" t="s">
        <v>1269</v>
      </c>
      <c r="O243" s="23"/>
      <c r="P243" s="21" t="s">
        <v>1269</v>
      </c>
      <c r="Q243" s="23"/>
    </row>
    <row r="244" spans="1:17" x14ac:dyDescent="0.25">
      <c r="A244" s="19" t="s">
        <v>577</v>
      </c>
      <c r="B244" s="19" t="s">
        <v>45</v>
      </c>
      <c r="C244" s="19" t="s">
        <v>511</v>
      </c>
      <c r="D244" s="19" t="s">
        <v>578</v>
      </c>
      <c r="E244" s="19" t="s">
        <v>505</v>
      </c>
      <c r="F244" s="21" t="s">
        <v>1269</v>
      </c>
      <c r="G244" s="23"/>
      <c r="H244" s="21" t="s">
        <v>1269</v>
      </c>
      <c r="I244" s="23"/>
      <c r="J244" s="21" t="s">
        <v>1269</v>
      </c>
      <c r="K244" s="23"/>
      <c r="L244" s="21" t="s">
        <v>1269</v>
      </c>
      <c r="M244" s="23"/>
      <c r="N244" s="21" t="s">
        <v>1269</v>
      </c>
      <c r="O244" s="23"/>
      <c r="P244" s="21" t="s">
        <v>1269</v>
      </c>
      <c r="Q244" s="23"/>
    </row>
    <row r="245" spans="1:17" x14ac:dyDescent="0.25">
      <c r="A245" s="19" t="s">
        <v>579</v>
      </c>
      <c r="B245" s="19" t="s">
        <v>45</v>
      </c>
      <c r="C245" s="19" t="s">
        <v>511</v>
      </c>
      <c r="D245" s="19" t="s">
        <v>580</v>
      </c>
      <c r="E245" s="19" t="s">
        <v>509</v>
      </c>
      <c r="F245" s="21" t="s">
        <v>1269</v>
      </c>
      <c r="G245" s="23"/>
      <c r="H245" s="21" t="s">
        <v>1269</v>
      </c>
      <c r="I245" s="23"/>
      <c r="J245" s="21" t="s">
        <v>1269</v>
      </c>
      <c r="K245" s="23"/>
      <c r="L245" s="21" t="s">
        <v>1269</v>
      </c>
      <c r="M245" s="23"/>
      <c r="N245" s="21" t="s">
        <v>1269</v>
      </c>
      <c r="O245" s="23"/>
      <c r="P245" s="21" t="s">
        <v>1269</v>
      </c>
      <c r="Q245" s="23"/>
    </row>
    <row r="246" spans="1:17" x14ac:dyDescent="0.25">
      <c r="A246" s="19" t="s">
        <v>581</v>
      </c>
      <c r="B246" s="19" t="s">
        <v>45</v>
      </c>
      <c r="C246" s="19" t="s">
        <v>582</v>
      </c>
      <c r="D246" s="19" t="s">
        <v>583</v>
      </c>
      <c r="E246" s="19" t="s">
        <v>59</v>
      </c>
      <c r="F246" s="21" t="s">
        <v>1269</v>
      </c>
      <c r="G246" s="23"/>
      <c r="H246" s="21" t="s">
        <v>1269</v>
      </c>
      <c r="I246" s="23"/>
      <c r="J246" s="21" t="s">
        <v>1269</v>
      </c>
      <c r="K246" s="23"/>
      <c r="L246" s="21" t="s">
        <v>1269</v>
      </c>
      <c r="M246" s="23"/>
      <c r="N246" s="21" t="s">
        <v>1269</v>
      </c>
      <c r="O246" s="23"/>
      <c r="P246" s="21" t="s">
        <v>1269</v>
      </c>
      <c r="Q246" s="23"/>
    </row>
    <row r="247" spans="1:17" x14ac:dyDescent="0.25">
      <c r="A247" s="19" t="s">
        <v>584</v>
      </c>
      <c r="B247" s="19" t="s">
        <v>45</v>
      </c>
      <c r="C247" s="19" t="s">
        <v>582</v>
      </c>
      <c r="D247" s="19" t="s">
        <v>585</v>
      </c>
      <c r="E247" s="19" t="s">
        <v>155</v>
      </c>
      <c r="F247" s="21" t="s">
        <v>1269</v>
      </c>
      <c r="G247" s="23"/>
      <c r="H247" s="21" t="s">
        <v>1269</v>
      </c>
      <c r="I247" s="23"/>
      <c r="J247" s="21" t="s">
        <v>1269</v>
      </c>
      <c r="K247" s="23"/>
      <c r="L247" s="21" t="s">
        <v>1269</v>
      </c>
      <c r="M247" s="23"/>
      <c r="N247" s="21" t="s">
        <v>1269</v>
      </c>
      <c r="O247" s="23"/>
      <c r="P247" s="21" t="s">
        <v>1269</v>
      </c>
      <c r="Q247" s="23"/>
    </row>
    <row r="248" spans="1:17" x14ac:dyDescent="0.25">
      <c r="A248" s="19" t="s">
        <v>586</v>
      </c>
      <c r="B248" s="19" t="s">
        <v>45</v>
      </c>
      <c r="C248" s="19" t="s">
        <v>582</v>
      </c>
      <c r="D248" s="19" t="s">
        <v>587</v>
      </c>
      <c r="E248" s="19" t="s">
        <v>66</v>
      </c>
      <c r="F248" s="21" t="s">
        <v>1269</v>
      </c>
      <c r="G248" s="23"/>
      <c r="H248" s="21" t="s">
        <v>1269</v>
      </c>
      <c r="I248" s="23"/>
      <c r="J248" s="21" t="s">
        <v>1269</v>
      </c>
      <c r="K248" s="23"/>
      <c r="L248" s="21" t="s">
        <v>1269</v>
      </c>
      <c r="M248" s="23"/>
      <c r="N248" s="21" t="s">
        <v>1269</v>
      </c>
      <c r="O248" s="23"/>
      <c r="P248" s="21" t="s">
        <v>1269</v>
      </c>
      <c r="Q248" s="23"/>
    </row>
    <row r="249" spans="1:17" x14ac:dyDescent="0.25">
      <c r="A249" s="19" t="s">
        <v>588</v>
      </c>
      <c r="B249" s="19" t="s">
        <v>45</v>
      </c>
      <c r="C249" s="19" t="s">
        <v>582</v>
      </c>
      <c r="D249" s="19" t="s">
        <v>589</v>
      </c>
      <c r="E249" s="19" t="s">
        <v>66</v>
      </c>
      <c r="F249" s="21" t="s">
        <v>1269</v>
      </c>
      <c r="G249" s="23"/>
      <c r="H249" s="21" t="s">
        <v>1269</v>
      </c>
      <c r="I249" s="23"/>
      <c r="J249" s="21" t="s">
        <v>1269</v>
      </c>
      <c r="K249" s="23"/>
      <c r="L249" s="21" t="s">
        <v>1269</v>
      </c>
      <c r="M249" s="23"/>
      <c r="N249" s="21" t="s">
        <v>1269</v>
      </c>
      <c r="O249" s="23"/>
      <c r="P249" s="21" t="s">
        <v>1269</v>
      </c>
      <c r="Q249" s="23"/>
    </row>
    <row r="250" spans="1:17" x14ac:dyDescent="0.25">
      <c r="A250" s="19" t="s">
        <v>590</v>
      </c>
      <c r="B250" s="19" t="s">
        <v>45</v>
      </c>
      <c r="C250" s="19" t="s">
        <v>582</v>
      </c>
      <c r="D250" s="19" t="s">
        <v>591</v>
      </c>
      <c r="E250" s="19" t="s">
        <v>66</v>
      </c>
      <c r="F250" s="21" t="s">
        <v>1269</v>
      </c>
      <c r="G250" s="23"/>
      <c r="H250" s="21" t="s">
        <v>1269</v>
      </c>
      <c r="I250" s="23"/>
      <c r="J250" s="21" t="s">
        <v>1269</v>
      </c>
      <c r="K250" s="23"/>
      <c r="L250" s="21" t="s">
        <v>1269</v>
      </c>
      <c r="M250" s="23"/>
      <c r="N250" s="21" t="s">
        <v>1269</v>
      </c>
      <c r="O250" s="23"/>
      <c r="P250" s="21" t="s">
        <v>1269</v>
      </c>
      <c r="Q250" s="23"/>
    </row>
    <row r="251" spans="1:17" x14ac:dyDescent="0.25">
      <c r="A251" s="19" t="s">
        <v>592</v>
      </c>
      <c r="B251" s="19" t="s">
        <v>45</v>
      </c>
      <c r="C251" s="19" t="s">
        <v>582</v>
      </c>
      <c r="D251" s="19" t="s">
        <v>593</v>
      </c>
      <c r="E251" s="19" t="s">
        <v>74</v>
      </c>
      <c r="F251" s="21" t="s">
        <v>1269</v>
      </c>
      <c r="G251" s="23"/>
      <c r="H251" s="21" t="s">
        <v>1269</v>
      </c>
      <c r="I251" s="23"/>
      <c r="J251" s="21" t="s">
        <v>1269</v>
      </c>
      <c r="K251" s="23"/>
      <c r="L251" s="21" t="s">
        <v>1269</v>
      </c>
      <c r="M251" s="23"/>
      <c r="N251" s="21" t="s">
        <v>1269</v>
      </c>
      <c r="O251" s="23"/>
      <c r="P251" s="21" t="s">
        <v>1269</v>
      </c>
      <c r="Q251" s="23"/>
    </row>
    <row r="252" spans="1:17" x14ac:dyDescent="0.25">
      <c r="A252" s="19" t="s">
        <v>594</v>
      </c>
      <c r="B252" s="19" t="s">
        <v>45</v>
      </c>
      <c r="C252" s="19" t="s">
        <v>582</v>
      </c>
      <c r="D252" s="19" t="s">
        <v>595</v>
      </c>
      <c r="E252" s="19" t="s">
        <v>74</v>
      </c>
      <c r="F252" s="21" t="s">
        <v>1269</v>
      </c>
      <c r="G252" s="23"/>
      <c r="H252" s="21" t="s">
        <v>1269</v>
      </c>
      <c r="I252" s="23"/>
      <c r="J252" s="21" t="s">
        <v>1269</v>
      </c>
      <c r="K252" s="23"/>
      <c r="L252" s="21" t="s">
        <v>1269</v>
      </c>
      <c r="M252" s="23"/>
      <c r="N252" s="21" t="s">
        <v>1269</v>
      </c>
      <c r="O252" s="23"/>
      <c r="P252" s="21" t="s">
        <v>1269</v>
      </c>
      <c r="Q252" s="23"/>
    </row>
    <row r="253" spans="1:17" x14ac:dyDescent="0.25">
      <c r="A253" s="19" t="s">
        <v>596</v>
      </c>
      <c r="B253" s="19" t="s">
        <v>45</v>
      </c>
      <c r="C253" s="19" t="s">
        <v>582</v>
      </c>
      <c r="D253" s="19" t="s">
        <v>597</v>
      </c>
      <c r="E253" s="19" t="s">
        <v>79</v>
      </c>
      <c r="F253" s="21" t="s">
        <v>1269</v>
      </c>
      <c r="G253" s="23"/>
      <c r="H253" s="21" t="s">
        <v>1269</v>
      </c>
      <c r="I253" s="23"/>
      <c r="J253" s="21" t="s">
        <v>1269</v>
      </c>
      <c r="K253" s="23"/>
      <c r="L253" s="21" t="s">
        <v>1269</v>
      </c>
      <c r="M253" s="23"/>
      <c r="N253" s="21" t="s">
        <v>1269</v>
      </c>
      <c r="O253" s="23"/>
      <c r="P253" s="21" t="s">
        <v>1269</v>
      </c>
      <c r="Q253" s="23"/>
    </row>
    <row r="254" spans="1:17" x14ac:dyDescent="0.25">
      <c r="A254" s="19" t="s">
        <v>598</v>
      </c>
      <c r="B254" s="19" t="s">
        <v>45</v>
      </c>
      <c r="C254" s="19" t="s">
        <v>582</v>
      </c>
      <c r="D254" s="19" t="s">
        <v>599</v>
      </c>
      <c r="E254" s="19" t="s">
        <v>79</v>
      </c>
      <c r="F254" s="21" t="s">
        <v>1269</v>
      </c>
      <c r="G254" s="23"/>
      <c r="H254" s="21" t="s">
        <v>1269</v>
      </c>
      <c r="I254" s="23"/>
      <c r="J254" s="21" t="s">
        <v>1269</v>
      </c>
      <c r="K254" s="23"/>
      <c r="L254" s="21" t="s">
        <v>1269</v>
      </c>
      <c r="M254" s="23"/>
      <c r="N254" s="21" t="s">
        <v>1269</v>
      </c>
      <c r="O254" s="23"/>
      <c r="P254" s="21" t="s">
        <v>1269</v>
      </c>
      <c r="Q254" s="23"/>
    </row>
    <row r="255" spans="1:17" x14ac:dyDescent="0.25">
      <c r="A255" s="19" t="s">
        <v>600</v>
      </c>
      <c r="B255" s="19" t="s">
        <v>45</v>
      </c>
      <c r="C255" s="19" t="s">
        <v>582</v>
      </c>
      <c r="D255" s="19" t="s">
        <v>601</v>
      </c>
      <c r="E255" s="19" t="s">
        <v>79</v>
      </c>
      <c r="F255" s="21" t="s">
        <v>1269</v>
      </c>
      <c r="G255" s="23"/>
      <c r="H255" s="21" t="s">
        <v>1269</v>
      </c>
      <c r="I255" s="23"/>
      <c r="J255" s="21" t="s">
        <v>1269</v>
      </c>
      <c r="K255" s="23"/>
      <c r="L255" s="21" t="s">
        <v>1269</v>
      </c>
      <c r="M255" s="23"/>
      <c r="N255" s="21" t="s">
        <v>1269</v>
      </c>
      <c r="O255" s="23"/>
      <c r="P255" s="21" t="s">
        <v>1269</v>
      </c>
      <c r="Q255" s="23"/>
    </row>
    <row r="256" spans="1:17" x14ac:dyDescent="0.25">
      <c r="A256" s="19" t="s">
        <v>602</v>
      </c>
      <c r="B256" s="19" t="s">
        <v>45</v>
      </c>
      <c r="C256" s="19" t="s">
        <v>582</v>
      </c>
      <c r="D256" s="19" t="s">
        <v>603</v>
      </c>
      <c r="E256" s="19" t="s">
        <v>86</v>
      </c>
      <c r="F256" s="21" t="s">
        <v>1269</v>
      </c>
      <c r="G256" s="23"/>
      <c r="H256" s="21" t="s">
        <v>1269</v>
      </c>
      <c r="I256" s="23"/>
      <c r="J256" s="21" t="s">
        <v>1269</v>
      </c>
      <c r="K256" s="23"/>
      <c r="L256" s="21" t="s">
        <v>1269</v>
      </c>
      <c r="M256" s="23"/>
      <c r="N256" s="21" t="s">
        <v>1269</v>
      </c>
      <c r="O256" s="23"/>
      <c r="P256" s="21" t="s">
        <v>1269</v>
      </c>
      <c r="Q256" s="23"/>
    </row>
    <row r="257" spans="1:17" x14ac:dyDescent="0.25">
      <c r="A257" s="19" t="s">
        <v>604</v>
      </c>
      <c r="B257" s="19" t="s">
        <v>45</v>
      </c>
      <c r="C257" s="19" t="s">
        <v>582</v>
      </c>
      <c r="D257" s="19" t="s">
        <v>605</v>
      </c>
      <c r="E257" s="19" t="s">
        <v>89</v>
      </c>
      <c r="F257" s="21" t="s">
        <v>1269</v>
      </c>
      <c r="G257" s="23"/>
      <c r="H257" s="21" t="s">
        <v>1269</v>
      </c>
      <c r="I257" s="23"/>
      <c r="J257" s="21" t="s">
        <v>1269</v>
      </c>
      <c r="K257" s="23"/>
      <c r="L257" s="21" t="s">
        <v>1269</v>
      </c>
      <c r="M257" s="23"/>
      <c r="N257" s="21" t="s">
        <v>1269</v>
      </c>
      <c r="O257" s="23"/>
      <c r="P257" s="21" t="s">
        <v>1269</v>
      </c>
      <c r="Q257" s="23"/>
    </row>
    <row r="258" spans="1:17" x14ac:dyDescent="0.25">
      <c r="A258" s="19" t="s">
        <v>606</v>
      </c>
      <c r="B258" s="19" t="s">
        <v>45</v>
      </c>
      <c r="C258" s="19" t="s">
        <v>582</v>
      </c>
      <c r="D258" s="19" t="s">
        <v>607</v>
      </c>
      <c r="E258" s="19" t="s">
        <v>89</v>
      </c>
      <c r="F258" s="21" t="s">
        <v>1269</v>
      </c>
      <c r="G258" s="23"/>
      <c r="H258" s="21" t="s">
        <v>1269</v>
      </c>
      <c r="I258" s="23"/>
      <c r="J258" s="21" t="s">
        <v>1269</v>
      </c>
      <c r="K258" s="23"/>
      <c r="L258" s="21" t="s">
        <v>1269</v>
      </c>
      <c r="M258" s="23"/>
      <c r="N258" s="21" t="s">
        <v>1269</v>
      </c>
      <c r="O258" s="23"/>
      <c r="P258" s="21" t="s">
        <v>1269</v>
      </c>
      <c r="Q258" s="23"/>
    </row>
    <row r="259" spans="1:17" x14ac:dyDescent="0.25">
      <c r="A259" s="19" t="s">
        <v>608</v>
      </c>
      <c r="B259" s="19" t="s">
        <v>45</v>
      </c>
      <c r="C259" s="19" t="s">
        <v>582</v>
      </c>
      <c r="D259" s="19" t="s">
        <v>609</v>
      </c>
      <c r="E259" s="19" t="s">
        <v>94</v>
      </c>
      <c r="F259" s="21" t="s">
        <v>1269</v>
      </c>
      <c r="G259" s="23"/>
      <c r="H259" s="21" t="s">
        <v>1269</v>
      </c>
      <c r="I259" s="23"/>
      <c r="J259" s="21" t="s">
        <v>1269</v>
      </c>
      <c r="K259" s="23"/>
      <c r="L259" s="21" t="s">
        <v>1269</v>
      </c>
      <c r="M259" s="23"/>
      <c r="N259" s="21" t="s">
        <v>1269</v>
      </c>
      <c r="O259" s="23"/>
      <c r="P259" s="21" t="s">
        <v>1269</v>
      </c>
      <c r="Q259" s="23"/>
    </row>
    <row r="260" spans="1:17" x14ac:dyDescent="0.25">
      <c r="A260" s="19" t="s">
        <v>610</v>
      </c>
      <c r="B260" s="19" t="s">
        <v>45</v>
      </c>
      <c r="C260" s="19" t="s">
        <v>582</v>
      </c>
      <c r="D260" s="19" t="s">
        <v>611</v>
      </c>
      <c r="E260" s="19" t="s">
        <v>94</v>
      </c>
      <c r="F260" s="21" t="s">
        <v>1269</v>
      </c>
      <c r="G260" s="23"/>
      <c r="H260" s="21" t="s">
        <v>1269</v>
      </c>
      <c r="I260" s="23"/>
      <c r="J260" s="21" t="s">
        <v>1269</v>
      </c>
      <c r="K260" s="23"/>
      <c r="L260" s="21" t="s">
        <v>1269</v>
      </c>
      <c r="M260" s="23"/>
      <c r="N260" s="21" t="s">
        <v>1269</v>
      </c>
      <c r="O260" s="23"/>
      <c r="P260" s="21" t="s">
        <v>1269</v>
      </c>
      <c r="Q260" s="23"/>
    </row>
    <row r="261" spans="1:17" x14ac:dyDescent="0.25">
      <c r="A261" s="19" t="s">
        <v>612</v>
      </c>
      <c r="B261" s="19" t="s">
        <v>45</v>
      </c>
      <c r="C261" s="19" t="s">
        <v>582</v>
      </c>
      <c r="D261" s="19" t="s">
        <v>613</v>
      </c>
      <c r="E261" s="19" t="s">
        <v>94</v>
      </c>
      <c r="F261" s="21" t="s">
        <v>1269</v>
      </c>
      <c r="G261" s="23"/>
      <c r="H261" s="21" t="s">
        <v>1269</v>
      </c>
      <c r="I261" s="23"/>
      <c r="J261" s="21" t="s">
        <v>1269</v>
      </c>
      <c r="K261" s="23"/>
      <c r="L261" s="21" t="s">
        <v>1269</v>
      </c>
      <c r="M261" s="23"/>
      <c r="N261" s="21" t="s">
        <v>1269</v>
      </c>
      <c r="O261" s="23"/>
      <c r="P261" s="21" t="s">
        <v>1269</v>
      </c>
      <c r="Q261" s="23"/>
    </row>
    <row r="262" spans="1:17" x14ac:dyDescent="0.25">
      <c r="A262" s="19" t="s">
        <v>614</v>
      </c>
      <c r="B262" s="19" t="s">
        <v>45</v>
      </c>
      <c r="C262" s="19" t="s">
        <v>582</v>
      </c>
      <c r="D262" s="19" t="s">
        <v>615</v>
      </c>
      <c r="E262" s="19" t="s">
        <v>186</v>
      </c>
      <c r="F262" s="21" t="s">
        <v>1269</v>
      </c>
      <c r="G262" s="23"/>
      <c r="H262" s="21" t="s">
        <v>1269</v>
      </c>
      <c r="I262" s="23"/>
      <c r="J262" s="21" t="s">
        <v>1269</v>
      </c>
      <c r="K262" s="23"/>
      <c r="L262" s="21" t="s">
        <v>1269</v>
      </c>
      <c r="M262" s="23"/>
      <c r="N262" s="21" t="s">
        <v>1269</v>
      </c>
      <c r="O262" s="23"/>
      <c r="P262" s="21" t="s">
        <v>1269</v>
      </c>
      <c r="Q262" s="23"/>
    </row>
    <row r="263" spans="1:17" x14ac:dyDescent="0.25">
      <c r="A263" s="19" t="s">
        <v>616</v>
      </c>
      <c r="B263" s="19" t="s">
        <v>45</v>
      </c>
      <c r="C263" s="19" t="s">
        <v>582</v>
      </c>
      <c r="D263" s="19" t="s">
        <v>617</v>
      </c>
      <c r="E263" s="19" t="s">
        <v>101</v>
      </c>
      <c r="F263" s="21" t="s">
        <v>1269</v>
      </c>
      <c r="G263" s="23"/>
      <c r="H263" s="21" t="s">
        <v>1269</v>
      </c>
      <c r="I263" s="23"/>
      <c r="J263" s="21" t="s">
        <v>1269</v>
      </c>
      <c r="K263" s="23"/>
      <c r="L263" s="21" t="s">
        <v>1269</v>
      </c>
      <c r="M263" s="23"/>
      <c r="N263" s="21" t="s">
        <v>1269</v>
      </c>
      <c r="O263" s="23"/>
      <c r="P263" s="21" t="s">
        <v>1269</v>
      </c>
      <c r="Q263" s="23"/>
    </row>
    <row r="264" spans="1:17" x14ac:dyDescent="0.25">
      <c r="A264" s="19" t="s">
        <v>618</v>
      </c>
      <c r="B264" s="19" t="s">
        <v>45</v>
      </c>
      <c r="C264" s="19" t="s">
        <v>582</v>
      </c>
      <c r="D264" s="19" t="s">
        <v>619</v>
      </c>
      <c r="E264" s="19" t="s">
        <v>101</v>
      </c>
      <c r="F264" s="21" t="s">
        <v>1269</v>
      </c>
      <c r="G264" s="23"/>
      <c r="H264" s="21" t="s">
        <v>1269</v>
      </c>
      <c r="I264" s="23"/>
      <c r="J264" s="21" t="s">
        <v>1269</v>
      </c>
      <c r="K264" s="23"/>
      <c r="L264" s="21" t="s">
        <v>1269</v>
      </c>
      <c r="M264" s="23"/>
      <c r="N264" s="21" t="s">
        <v>1269</v>
      </c>
      <c r="O264" s="23"/>
      <c r="P264" s="21" t="s">
        <v>1269</v>
      </c>
      <c r="Q264" s="23"/>
    </row>
    <row r="265" spans="1:17" x14ac:dyDescent="0.25">
      <c r="A265" s="19" t="s">
        <v>620</v>
      </c>
      <c r="B265" s="19" t="s">
        <v>45</v>
      </c>
      <c r="C265" s="19" t="s">
        <v>582</v>
      </c>
      <c r="D265" s="19" t="s">
        <v>621</v>
      </c>
      <c r="E265" s="19" t="s">
        <v>106</v>
      </c>
      <c r="F265" s="21" t="s">
        <v>1269</v>
      </c>
      <c r="G265" s="23"/>
      <c r="H265" s="21" t="s">
        <v>1269</v>
      </c>
      <c r="I265" s="23"/>
      <c r="J265" s="21" t="s">
        <v>1269</v>
      </c>
      <c r="K265" s="23"/>
      <c r="L265" s="21" t="s">
        <v>1269</v>
      </c>
      <c r="M265" s="23"/>
      <c r="N265" s="21" t="s">
        <v>1269</v>
      </c>
      <c r="O265" s="23"/>
      <c r="P265" s="21" t="s">
        <v>1269</v>
      </c>
      <c r="Q265" s="23"/>
    </row>
    <row r="266" spans="1:17" x14ac:dyDescent="0.25">
      <c r="A266" s="19" t="s">
        <v>622</v>
      </c>
      <c r="B266" s="19" t="s">
        <v>45</v>
      </c>
      <c r="C266" s="19" t="s">
        <v>582</v>
      </c>
      <c r="D266" s="19" t="s">
        <v>623</v>
      </c>
      <c r="E266" s="19" t="s">
        <v>109</v>
      </c>
      <c r="F266" s="21" t="s">
        <v>1269</v>
      </c>
      <c r="G266" s="23"/>
      <c r="H266" s="21" t="s">
        <v>1269</v>
      </c>
      <c r="I266" s="23"/>
      <c r="J266" s="21" t="s">
        <v>1269</v>
      </c>
      <c r="K266" s="23"/>
      <c r="L266" s="21" t="s">
        <v>1269</v>
      </c>
      <c r="M266" s="23"/>
      <c r="N266" s="21" t="s">
        <v>1269</v>
      </c>
      <c r="O266" s="23"/>
      <c r="P266" s="21" t="s">
        <v>1269</v>
      </c>
      <c r="Q266" s="23"/>
    </row>
    <row r="267" spans="1:17" x14ac:dyDescent="0.25">
      <c r="A267" s="19" t="s">
        <v>624</v>
      </c>
      <c r="B267" s="19" t="s">
        <v>45</v>
      </c>
      <c r="C267" s="19" t="s">
        <v>582</v>
      </c>
      <c r="D267" s="19" t="s">
        <v>625</v>
      </c>
      <c r="E267" s="19" t="s">
        <v>113</v>
      </c>
      <c r="F267" s="21" t="s">
        <v>1269</v>
      </c>
      <c r="G267" s="23"/>
      <c r="H267" s="21" t="s">
        <v>1269</v>
      </c>
      <c r="I267" s="23"/>
      <c r="J267" s="21" t="s">
        <v>1269</v>
      </c>
      <c r="K267" s="23"/>
      <c r="L267" s="21" t="s">
        <v>1269</v>
      </c>
      <c r="M267" s="23"/>
      <c r="N267" s="21" t="s">
        <v>1269</v>
      </c>
      <c r="O267" s="23"/>
      <c r="P267" s="21" t="s">
        <v>1269</v>
      </c>
      <c r="Q267" s="23"/>
    </row>
    <row r="268" spans="1:17" x14ac:dyDescent="0.25">
      <c r="A268" s="19" t="s">
        <v>626</v>
      </c>
      <c r="B268" s="19" t="s">
        <v>45</v>
      </c>
      <c r="C268" s="19" t="s">
        <v>582</v>
      </c>
      <c r="D268" s="19" t="s">
        <v>627</v>
      </c>
      <c r="E268" s="19" t="s">
        <v>113</v>
      </c>
      <c r="F268" s="21" t="s">
        <v>1269</v>
      </c>
      <c r="G268" s="23"/>
      <c r="H268" s="21" t="s">
        <v>1269</v>
      </c>
      <c r="I268" s="23"/>
      <c r="J268" s="21" t="s">
        <v>1269</v>
      </c>
      <c r="K268" s="23"/>
      <c r="L268" s="21" t="s">
        <v>1269</v>
      </c>
      <c r="M268" s="23"/>
      <c r="N268" s="21" t="s">
        <v>1269</v>
      </c>
      <c r="O268" s="23"/>
      <c r="P268" s="21" t="s">
        <v>1269</v>
      </c>
      <c r="Q268" s="23"/>
    </row>
    <row r="269" spans="1:17" x14ac:dyDescent="0.25">
      <c r="A269" s="19" t="s">
        <v>628</v>
      </c>
      <c r="B269" s="19" t="s">
        <v>45</v>
      </c>
      <c r="C269" s="19" t="s">
        <v>582</v>
      </c>
      <c r="D269" s="19" t="s">
        <v>629</v>
      </c>
      <c r="E269" s="19" t="s">
        <v>113</v>
      </c>
      <c r="F269" s="21" t="s">
        <v>1269</v>
      </c>
      <c r="G269" s="23"/>
      <c r="H269" s="21" t="s">
        <v>1269</v>
      </c>
      <c r="I269" s="23"/>
      <c r="J269" s="21" t="s">
        <v>1269</v>
      </c>
      <c r="K269" s="23"/>
      <c r="L269" s="21" t="s">
        <v>1269</v>
      </c>
      <c r="M269" s="23"/>
      <c r="N269" s="21" t="s">
        <v>1269</v>
      </c>
      <c r="O269" s="23"/>
      <c r="P269" s="21" t="s">
        <v>1269</v>
      </c>
      <c r="Q269" s="23"/>
    </row>
    <row r="270" spans="1:17" x14ac:dyDescent="0.25">
      <c r="A270" s="19" t="s">
        <v>630</v>
      </c>
      <c r="B270" s="19" t="s">
        <v>45</v>
      </c>
      <c r="C270" s="19" t="s">
        <v>582</v>
      </c>
      <c r="D270" s="19" t="s">
        <v>631</v>
      </c>
      <c r="E270" s="19" t="s">
        <v>113</v>
      </c>
      <c r="F270" s="21" t="s">
        <v>1269</v>
      </c>
      <c r="G270" s="23"/>
      <c r="H270" s="21" t="s">
        <v>1269</v>
      </c>
      <c r="I270" s="23"/>
      <c r="J270" s="21" t="s">
        <v>1269</v>
      </c>
      <c r="K270" s="23"/>
      <c r="L270" s="21" t="s">
        <v>1269</v>
      </c>
      <c r="M270" s="23"/>
      <c r="N270" s="21" t="s">
        <v>1269</v>
      </c>
      <c r="O270" s="23"/>
      <c r="P270" s="21" t="s">
        <v>1269</v>
      </c>
      <c r="Q270" s="23"/>
    </row>
    <row r="271" spans="1:17" x14ac:dyDescent="0.25">
      <c r="A271" s="19" t="s">
        <v>632</v>
      </c>
      <c r="B271" s="19" t="s">
        <v>45</v>
      </c>
      <c r="C271" s="19" t="s">
        <v>582</v>
      </c>
      <c r="D271" s="19" t="s">
        <v>633</v>
      </c>
      <c r="E271" s="19" t="s">
        <v>120</v>
      </c>
      <c r="F271" s="21" t="s">
        <v>1269</v>
      </c>
      <c r="G271" s="23"/>
      <c r="H271" s="21" t="s">
        <v>1269</v>
      </c>
      <c r="I271" s="23"/>
      <c r="J271" s="21" t="s">
        <v>1269</v>
      </c>
      <c r="K271" s="23"/>
      <c r="L271" s="21" t="s">
        <v>1269</v>
      </c>
      <c r="M271" s="23"/>
      <c r="N271" s="21" t="s">
        <v>1269</v>
      </c>
      <c r="O271" s="23"/>
      <c r="P271" s="21" t="s">
        <v>1269</v>
      </c>
      <c r="Q271" s="23"/>
    </row>
    <row r="272" spans="1:17" x14ac:dyDescent="0.25">
      <c r="A272" s="19" t="s">
        <v>634</v>
      </c>
      <c r="B272" s="19" t="s">
        <v>45</v>
      </c>
      <c r="C272" s="19" t="s">
        <v>582</v>
      </c>
      <c r="D272" s="19" t="s">
        <v>635</v>
      </c>
      <c r="E272" s="19" t="s">
        <v>205</v>
      </c>
      <c r="F272" s="21" t="s">
        <v>1269</v>
      </c>
      <c r="G272" s="23"/>
      <c r="H272" s="21" t="s">
        <v>1269</v>
      </c>
      <c r="I272" s="23"/>
      <c r="J272" s="21" t="s">
        <v>1269</v>
      </c>
      <c r="K272" s="23"/>
      <c r="L272" s="21" t="s">
        <v>1269</v>
      </c>
      <c r="M272" s="23"/>
      <c r="N272" s="21" t="s">
        <v>1269</v>
      </c>
      <c r="O272" s="23"/>
      <c r="P272" s="21" t="s">
        <v>1269</v>
      </c>
      <c r="Q272" s="23"/>
    </row>
    <row r="273" spans="1:17" x14ac:dyDescent="0.25">
      <c r="A273" s="19" t="s">
        <v>636</v>
      </c>
      <c r="B273" s="19" t="s">
        <v>45</v>
      </c>
      <c r="C273" s="19" t="s">
        <v>582</v>
      </c>
      <c r="D273" s="19" t="s">
        <v>637</v>
      </c>
      <c r="E273" s="19" t="s">
        <v>205</v>
      </c>
      <c r="F273" s="21" t="s">
        <v>1269</v>
      </c>
      <c r="G273" s="23"/>
      <c r="H273" s="21" t="s">
        <v>1269</v>
      </c>
      <c r="I273" s="23"/>
      <c r="J273" s="21" t="s">
        <v>1269</v>
      </c>
      <c r="K273" s="23"/>
      <c r="L273" s="21" t="s">
        <v>1269</v>
      </c>
      <c r="M273" s="23"/>
      <c r="N273" s="21" t="s">
        <v>1269</v>
      </c>
      <c r="O273" s="23"/>
      <c r="P273" s="21" t="s">
        <v>1269</v>
      </c>
      <c r="Q273" s="23"/>
    </row>
    <row r="274" spans="1:17" x14ac:dyDescent="0.25">
      <c r="A274" s="19" t="s">
        <v>638</v>
      </c>
      <c r="B274" s="19" t="s">
        <v>45</v>
      </c>
      <c r="C274" s="19" t="s">
        <v>582</v>
      </c>
      <c r="D274" s="19" t="s">
        <v>639</v>
      </c>
      <c r="E274" s="19" t="s">
        <v>126</v>
      </c>
      <c r="F274" s="21" t="s">
        <v>1269</v>
      </c>
      <c r="G274" s="23"/>
      <c r="H274" s="21" t="s">
        <v>1269</v>
      </c>
      <c r="I274" s="23"/>
      <c r="J274" s="21" t="s">
        <v>1269</v>
      </c>
      <c r="K274" s="23"/>
      <c r="L274" s="21" t="s">
        <v>1269</v>
      </c>
      <c r="M274" s="23"/>
      <c r="N274" s="21" t="s">
        <v>1269</v>
      </c>
      <c r="O274" s="23"/>
      <c r="P274" s="21" t="s">
        <v>1269</v>
      </c>
      <c r="Q274" s="23"/>
    </row>
    <row r="275" spans="1:17" x14ac:dyDescent="0.25">
      <c r="A275" s="19" t="s">
        <v>640</v>
      </c>
      <c r="B275" s="19" t="s">
        <v>45</v>
      </c>
      <c r="C275" s="19" t="s">
        <v>582</v>
      </c>
      <c r="D275" s="19" t="s">
        <v>641</v>
      </c>
      <c r="E275" s="19" t="s">
        <v>126</v>
      </c>
      <c r="F275" s="21" t="s">
        <v>1269</v>
      </c>
      <c r="G275" s="23"/>
      <c r="H275" s="21" t="s">
        <v>1269</v>
      </c>
      <c r="I275" s="23"/>
      <c r="J275" s="21" t="s">
        <v>1269</v>
      </c>
      <c r="K275" s="23"/>
      <c r="L275" s="21" t="s">
        <v>1269</v>
      </c>
      <c r="M275" s="23"/>
      <c r="N275" s="21" t="s">
        <v>1269</v>
      </c>
      <c r="O275" s="23"/>
      <c r="P275" s="21" t="s">
        <v>1269</v>
      </c>
      <c r="Q275" s="23"/>
    </row>
    <row r="276" spans="1:17" x14ac:dyDescent="0.25">
      <c r="A276" s="19" t="s">
        <v>642</v>
      </c>
      <c r="B276" s="19" t="s">
        <v>45</v>
      </c>
      <c r="C276" s="19" t="s">
        <v>582</v>
      </c>
      <c r="D276" s="19" t="s">
        <v>643</v>
      </c>
      <c r="E276" s="19" t="s">
        <v>131</v>
      </c>
      <c r="F276" s="21" t="s">
        <v>1269</v>
      </c>
      <c r="G276" s="23"/>
      <c r="H276" s="21" t="s">
        <v>1269</v>
      </c>
      <c r="I276" s="23"/>
      <c r="J276" s="21" t="s">
        <v>1269</v>
      </c>
      <c r="K276" s="23"/>
      <c r="L276" s="21" t="s">
        <v>1269</v>
      </c>
      <c r="M276" s="23"/>
      <c r="N276" s="21" t="s">
        <v>1269</v>
      </c>
      <c r="O276" s="23"/>
      <c r="P276" s="21" t="s">
        <v>1269</v>
      </c>
      <c r="Q276" s="23"/>
    </row>
    <row r="277" spans="1:17" x14ac:dyDescent="0.25">
      <c r="A277" s="19" t="s">
        <v>644</v>
      </c>
      <c r="B277" s="19" t="s">
        <v>45</v>
      </c>
      <c r="C277" s="19" t="s">
        <v>582</v>
      </c>
      <c r="D277" s="19" t="s">
        <v>645</v>
      </c>
      <c r="E277" s="19" t="s">
        <v>141</v>
      </c>
      <c r="F277" s="21" t="s">
        <v>1269</v>
      </c>
      <c r="G277" s="23"/>
      <c r="H277" s="21" t="s">
        <v>1269</v>
      </c>
      <c r="I277" s="23"/>
      <c r="J277" s="21" t="s">
        <v>1269</v>
      </c>
      <c r="K277" s="23"/>
      <c r="L277" s="21" t="s">
        <v>1269</v>
      </c>
      <c r="M277" s="23"/>
      <c r="N277" s="21" t="s">
        <v>1269</v>
      </c>
      <c r="O277" s="23"/>
      <c r="P277" s="21" t="s">
        <v>1269</v>
      </c>
      <c r="Q277" s="23"/>
    </row>
    <row r="278" spans="1:17" x14ac:dyDescent="0.25">
      <c r="A278" s="19" t="s">
        <v>646</v>
      </c>
      <c r="B278" s="19" t="s">
        <v>45</v>
      </c>
      <c r="C278" s="19" t="s">
        <v>582</v>
      </c>
      <c r="D278" s="19" t="s">
        <v>647</v>
      </c>
      <c r="E278" s="19" t="s">
        <v>144</v>
      </c>
      <c r="F278" s="21" t="s">
        <v>1269</v>
      </c>
      <c r="G278" s="23"/>
      <c r="H278" s="21" t="s">
        <v>1269</v>
      </c>
      <c r="I278" s="23"/>
      <c r="J278" s="21" t="s">
        <v>1269</v>
      </c>
      <c r="K278" s="23"/>
      <c r="L278" s="21" t="s">
        <v>1269</v>
      </c>
      <c r="M278" s="23"/>
      <c r="N278" s="21" t="s">
        <v>1269</v>
      </c>
      <c r="O278" s="23"/>
      <c r="P278" s="21" t="s">
        <v>1269</v>
      </c>
      <c r="Q278" s="23"/>
    </row>
    <row r="279" spans="1:17" x14ac:dyDescent="0.25">
      <c r="A279" s="19" t="s">
        <v>648</v>
      </c>
      <c r="B279" s="19" t="s">
        <v>45</v>
      </c>
      <c r="C279" s="19" t="s">
        <v>582</v>
      </c>
      <c r="D279" s="19" t="s">
        <v>649</v>
      </c>
      <c r="E279" s="19" t="s">
        <v>505</v>
      </c>
      <c r="F279" s="21" t="s">
        <v>1269</v>
      </c>
      <c r="G279" s="23"/>
      <c r="H279" s="21" t="s">
        <v>1269</v>
      </c>
      <c r="I279" s="23"/>
      <c r="J279" s="21" t="s">
        <v>1269</v>
      </c>
      <c r="K279" s="23"/>
      <c r="L279" s="21" t="s">
        <v>1269</v>
      </c>
      <c r="M279" s="23"/>
      <c r="N279" s="21" t="s">
        <v>1269</v>
      </c>
      <c r="O279" s="23"/>
      <c r="P279" s="21" t="s">
        <v>1269</v>
      </c>
      <c r="Q279" s="23"/>
    </row>
    <row r="280" spans="1:17" x14ac:dyDescent="0.25">
      <c r="A280" s="19" t="s">
        <v>650</v>
      </c>
      <c r="B280" s="19" t="s">
        <v>45</v>
      </c>
      <c r="C280" s="19" t="s">
        <v>582</v>
      </c>
      <c r="D280" s="19" t="s">
        <v>651</v>
      </c>
      <c r="E280" s="19" t="s">
        <v>509</v>
      </c>
      <c r="F280" s="21" t="s">
        <v>1269</v>
      </c>
      <c r="G280" s="23"/>
      <c r="H280" s="21" t="s">
        <v>1269</v>
      </c>
      <c r="I280" s="23"/>
      <c r="J280" s="21" t="s">
        <v>1269</v>
      </c>
      <c r="K280" s="23"/>
      <c r="L280" s="21" t="s">
        <v>1269</v>
      </c>
      <c r="M280" s="23"/>
      <c r="N280" s="21" t="s">
        <v>1269</v>
      </c>
      <c r="O280" s="23"/>
      <c r="P280" s="21" t="s">
        <v>1269</v>
      </c>
      <c r="Q280" s="23"/>
    </row>
    <row r="281" spans="1:17" x14ac:dyDescent="0.25">
      <c r="A281" s="19" t="s">
        <v>652</v>
      </c>
      <c r="B281" s="19" t="s">
        <v>653</v>
      </c>
      <c r="C281" s="19" t="s">
        <v>654</v>
      </c>
      <c r="D281" s="19" t="s">
        <v>655</v>
      </c>
      <c r="E281" s="19" t="s">
        <v>656</v>
      </c>
      <c r="F281" s="21" t="s">
        <v>1269</v>
      </c>
      <c r="G281" s="23"/>
      <c r="H281" s="21" t="s">
        <v>1269</v>
      </c>
      <c r="I281" s="23"/>
      <c r="J281" s="21" t="s">
        <v>1269</v>
      </c>
      <c r="K281" s="23"/>
      <c r="L281" s="21" t="s">
        <v>1269</v>
      </c>
      <c r="M281" s="23"/>
      <c r="N281" s="21" t="s">
        <v>1269</v>
      </c>
      <c r="O281" s="23"/>
      <c r="P281" s="21" t="s">
        <v>1269</v>
      </c>
      <c r="Q281" s="23"/>
    </row>
    <row r="282" spans="1:17" x14ac:dyDescent="0.25">
      <c r="A282" s="19" t="s">
        <v>657</v>
      </c>
      <c r="B282" s="19" t="s">
        <v>653</v>
      </c>
      <c r="C282" s="19" t="s">
        <v>654</v>
      </c>
      <c r="D282" s="19" t="s">
        <v>658</v>
      </c>
      <c r="E282" s="19" t="s">
        <v>659</v>
      </c>
      <c r="F282" s="21" t="s">
        <v>1269</v>
      </c>
      <c r="G282" s="23"/>
      <c r="H282" s="21" t="s">
        <v>1269</v>
      </c>
      <c r="I282" s="23"/>
      <c r="J282" s="21" t="s">
        <v>1269</v>
      </c>
      <c r="K282" s="23"/>
      <c r="L282" s="21" t="s">
        <v>1269</v>
      </c>
      <c r="M282" s="23"/>
      <c r="N282" s="21" t="s">
        <v>1269</v>
      </c>
      <c r="O282" s="23"/>
      <c r="P282" s="21" t="s">
        <v>1269</v>
      </c>
      <c r="Q282" s="23"/>
    </row>
    <row r="283" spans="1:17" x14ac:dyDescent="0.25">
      <c r="A283" s="19" t="s">
        <v>660</v>
      </c>
      <c r="B283" s="19" t="s">
        <v>653</v>
      </c>
      <c r="C283" s="19" t="s">
        <v>654</v>
      </c>
      <c r="D283" s="19" t="s">
        <v>661</v>
      </c>
      <c r="E283" s="19" t="s">
        <v>662</v>
      </c>
      <c r="F283" s="21" t="s">
        <v>1269</v>
      </c>
      <c r="G283" s="23"/>
      <c r="H283" s="21" t="s">
        <v>1269</v>
      </c>
      <c r="I283" s="23"/>
      <c r="J283" s="21" t="s">
        <v>1269</v>
      </c>
      <c r="K283" s="23"/>
      <c r="L283" s="21" t="s">
        <v>1269</v>
      </c>
      <c r="M283" s="23"/>
      <c r="N283" s="21" t="s">
        <v>1269</v>
      </c>
      <c r="O283" s="23"/>
      <c r="P283" s="21" t="s">
        <v>1269</v>
      </c>
      <c r="Q283" s="23"/>
    </row>
    <row r="284" spans="1:17" x14ac:dyDescent="0.25">
      <c r="A284" s="19" t="s">
        <v>663</v>
      </c>
      <c r="B284" s="19" t="s">
        <v>653</v>
      </c>
      <c r="C284" s="19" t="s">
        <v>654</v>
      </c>
      <c r="D284" s="19" t="s">
        <v>664</v>
      </c>
      <c r="E284" s="19" t="s">
        <v>662</v>
      </c>
      <c r="F284" s="21" t="s">
        <v>1269</v>
      </c>
      <c r="G284" s="23"/>
      <c r="H284" s="21" t="s">
        <v>1269</v>
      </c>
      <c r="I284" s="23"/>
      <c r="J284" s="21" t="s">
        <v>1269</v>
      </c>
      <c r="K284" s="23"/>
      <c r="L284" s="21" t="s">
        <v>1269</v>
      </c>
      <c r="M284" s="23"/>
      <c r="N284" s="21" t="s">
        <v>1269</v>
      </c>
      <c r="O284" s="23"/>
      <c r="P284" s="21" t="s">
        <v>1269</v>
      </c>
      <c r="Q284" s="23"/>
    </row>
    <row r="285" spans="1:17" x14ac:dyDescent="0.25">
      <c r="A285" s="19" t="s">
        <v>665</v>
      </c>
      <c r="B285" s="19" t="s">
        <v>653</v>
      </c>
      <c r="C285" s="19" t="s">
        <v>654</v>
      </c>
      <c r="D285" s="19" t="s">
        <v>666</v>
      </c>
      <c r="E285" s="19" t="s">
        <v>667</v>
      </c>
      <c r="F285" s="21" t="s">
        <v>1269</v>
      </c>
      <c r="G285" s="23"/>
      <c r="H285" s="21" t="s">
        <v>1269</v>
      </c>
      <c r="I285" s="23"/>
      <c r="J285" s="21" t="s">
        <v>1269</v>
      </c>
      <c r="K285" s="23"/>
      <c r="L285" s="21" t="s">
        <v>1269</v>
      </c>
      <c r="M285" s="23"/>
      <c r="N285" s="21" t="s">
        <v>1269</v>
      </c>
      <c r="O285" s="23"/>
      <c r="P285" s="21" t="s">
        <v>1269</v>
      </c>
      <c r="Q285" s="23"/>
    </row>
    <row r="286" spans="1:17" x14ac:dyDescent="0.25">
      <c r="A286" s="19" t="s">
        <v>668</v>
      </c>
      <c r="B286" s="19" t="s">
        <v>653</v>
      </c>
      <c r="C286" s="19" t="s">
        <v>654</v>
      </c>
      <c r="D286" s="19" t="s">
        <v>669</v>
      </c>
      <c r="E286" s="19" t="s">
        <v>667</v>
      </c>
      <c r="F286" s="21" t="s">
        <v>1269</v>
      </c>
      <c r="G286" s="23"/>
      <c r="H286" s="21" t="s">
        <v>1269</v>
      </c>
      <c r="I286" s="23"/>
      <c r="J286" s="21" t="s">
        <v>1269</v>
      </c>
      <c r="K286" s="23"/>
      <c r="L286" s="21" t="s">
        <v>1269</v>
      </c>
      <c r="M286" s="23"/>
      <c r="N286" s="21" t="s">
        <v>1269</v>
      </c>
      <c r="O286" s="23"/>
      <c r="P286" s="21" t="s">
        <v>1269</v>
      </c>
      <c r="Q286" s="23"/>
    </row>
    <row r="287" spans="1:17" x14ac:dyDescent="0.25">
      <c r="A287" s="19" t="s">
        <v>670</v>
      </c>
      <c r="B287" s="19" t="s">
        <v>653</v>
      </c>
      <c r="C287" s="19" t="s">
        <v>654</v>
      </c>
      <c r="D287" s="19" t="s">
        <v>671</v>
      </c>
      <c r="E287" s="19" t="s">
        <v>667</v>
      </c>
      <c r="F287" s="21" t="s">
        <v>1269</v>
      </c>
      <c r="G287" s="23"/>
      <c r="H287" s="21" t="s">
        <v>1269</v>
      </c>
      <c r="I287" s="23"/>
      <c r="J287" s="21" t="s">
        <v>1269</v>
      </c>
      <c r="K287" s="23"/>
      <c r="L287" s="21" t="s">
        <v>1269</v>
      </c>
      <c r="M287" s="23"/>
      <c r="N287" s="21" t="s">
        <v>1269</v>
      </c>
      <c r="O287" s="23"/>
      <c r="P287" s="21" t="s">
        <v>1269</v>
      </c>
      <c r="Q287" s="23"/>
    </row>
    <row r="288" spans="1:17" x14ac:dyDescent="0.25">
      <c r="A288" s="19" t="s">
        <v>672</v>
      </c>
      <c r="B288" s="19" t="s">
        <v>653</v>
      </c>
      <c r="C288" s="19" t="s">
        <v>654</v>
      </c>
      <c r="D288" s="19" t="s">
        <v>673</v>
      </c>
      <c r="E288" s="19" t="s">
        <v>674</v>
      </c>
      <c r="F288" s="21" t="s">
        <v>1269</v>
      </c>
      <c r="G288" s="23"/>
      <c r="H288" s="21" t="s">
        <v>1269</v>
      </c>
      <c r="I288" s="23"/>
      <c r="J288" s="21" t="s">
        <v>1269</v>
      </c>
      <c r="K288" s="23"/>
      <c r="L288" s="21" t="s">
        <v>1269</v>
      </c>
      <c r="M288" s="23"/>
      <c r="N288" s="21" t="s">
        <v>1269</v>
      </c>
      <c r="O288" s="23"/>
      <c r="P288" s="21" t="s">
        <v>1269</v>
      </c>
      <c r="Q288" s="23"/>
    </row>
    <row r="289" spans="1:17" x14ac:dyDescent="0.25">
      <c r="A289" s="19" t="s">
        <v>675</v>
      </c>
      <c r="B289" s="19" t="s">
        <v>653</v>
      </c>
      <c r="C289" s="19" t="s">
        <v>654</v>
      </c>
      <c r="D289" s="19" t="s">
        <v>676</v>
      </c>
      <c r="E289" s="19" t="s">
        <v>186</v>
      </c>
      <c r="F289" s="21" t="s">
        <v>1269</v>
      </c>
      <c r="G289" s="23"/>
      <c r="H289" s="21" t="s">
        <v>1269</v>
      </c>
      <c r="I289" s="23"/>
      <c r="J289" s="21" t="s">
        <v>1269</v>
      </c>
      <c r="K289" s="23"/>
      <c r="L289" s="21" t="s">
        <v>1269</v>
      </c>
      <c r="M289" s="23"/>
      <c r="N289" s="21" t="s">
        <v>1269</v>
      </c>
      <c r="O289" s="23"/>
      <c r="P289" s="21" t="s">
        <v>1269</v>
      </c>
      <c r="Q289" s="23"/>
    </row>
    <row r="290" spans="1:17" x14ac:dyDescent="0.25">
      <c r="A290" s="19" t="s">
        <v>677</v>
      </c>
      <c r="B290" s="19" t="s">
        <v>653</v>
      </c>
      <c r="C290" s="19" t="s">
        <v>654</v>
      </c>
      <c r="D290" s="19" t="s">
        <v>678</v>
      </c>
      <c r="E290" s="19" t="s">
        <v>679</v>
      </c>
      <c r="F290" s="21" t="s">
        <v>1269</v>
      </c>
      <c r="G290" s="23"/>
      <c r="H290" s="21" t="s">
        <v>1269</v>
      </c>
      <c r="I290" s="23"/>
      <c r="J290" s="21" t="s">
        <v>1269</v>
      </c>
      <c r="K290" s="23"/>
      <c r="L290" s="21" t="s">
        <v>1269</v>
      </c>
      <c r="M290" s="23"/>
      <c r="N290" s="21" t="s">
        <v>1269</v>
      </c>
      <c r="O290" s="23"/>
      <c r="P290" s="21" t="s">
        <v>1269</v>
      </c>
      <c r="Q290" s="23"/>
    </row>
    <row r="291" spans="1:17" x14ac:dyDescent="0.25">
      <c r="A291" s="19" t="s">
        <v>680</v>
      </c>
      <c r="B291" s="19" t="s">
        <v>653</v>
      </c>
      <c r="C291" s="19" t="s">
        <v>654</v>
      </c>
      <c r="D291" s="19" t="s">
        <v>681</v>
      </c>
      <c r="E291" s="19" t="s">
        <v>682</v>
      </c>
      <c r="F291" s="21" t="s">
        <v>1269</v>
      </c>
      <c r="G291" s="23"/>
      <c r="H291" s="21" t="s">
        <v>1269</v>
      </c>
      <c r="I291" s="23"/>
      <c r="J291" s="21" t="s">
        <v>1269</v>
      </c>
      <c r="K291" s="23"/>
      <c r="L291" s="21" t="s">
        <v>1269</v>
      </c>
      <c r="M291" s="23"/>
      <c r="N291" s="21" t="s">
        <v>1269</v>
      </c>
      <c r="O291" s="23"/>
      <c r="P291" s="21" t="s">
        <v>1269</v>
      </c>
      <c r="Q291" s="23"/>
    </row>
    <row r="292" spans="1:17" x14ac:dyDescent="0.25">
      <c r="A292" s="19" t="s">
        <v>684</v>
      </c>
      <c r="B292" s="19" t="s">
        <v>653</v>
      </c>
      <c r="C292" s="19" t="s">
        <v>654</v>
      </c>
      <c r="D292" s="19" t="s">
        <v>685</v>
      </c>
      <c r="E292" s="19" t="s">
        <v>686</v>
      </c>
      <c r="F292" s="21" t="s">
        <v>1269</v>
      </c>
      <c r="G292" s="23"/>
      <c r="H292" s="21" t="s">
        <v>1269</v>
      </c>
      <c r="I292" s="23"/>
      <c r="J292" s="21" t="s">
        <v>1269</v>
      </c>
      <c r="K292" s="23"/>
      <c r="L292" s="21" t="s">
        <v>1269</v>
      </c>
      <c r="M292" s="23"/>
      <c r="N292" s="21" t="s">
        <v>1269</v>
      </c>
      <c r="O292" s="23"/>
      <c r="P292" s="21" t="s">
        <v>1269</v>
      </c>
      <c r="Q292" s="23"/>
    </row>
    <row r="293" spans="1:17" x14ac:dyDescent="0.25">
      <c r="A293" s="19" t="s">
        <v>688</v>
      </c>
      <c r="B293" s="19" t="s">
        <v>653</v>
      </c>
      <c r="C293" s="19" t="s">
        <v>654</v>
      </c>
      <c r="D293" s="19" t="s">
        <v>689</v>
      </c>
      <c r="E293" s="19" t="s">
        <v>686</v>
      </c>
      <c r="F293" s="21" t="s">
        <v>1269</v>
      </c>
      <c r="G293" s="23"/>
      <c r="H293" s="21" t="s">
        <v>1269</v>
      </c>
      <c r="I293" s="23"/>
      <c r="J293" s="21" t="s">
        <v>1269</v>
      </c>
      <c r="K293" s="23"/>
      <c r="L293" s="21" t="s">
        <v>1269</v>
      </c>
      <c r="M293" s="23"/>
      <c r="N293" s="21" t="s">
        <v>1269</v>
      </c>
      <c r="O293" s="23"/>
      <c r="P293" s="21" t="s">
        <v>1269</v>
      </c>
      <c r="Q293" s="23"/>
    </row>
    <row r="294" spans="1:17" x14ac:dyDescent="0.25">
      <c r="A294" s="19" t="s">
        <v>690</v>
      </c>
      <c r="B294" s="19" t="s">
        <v>653</v>
      </c>
      <c r="C294" s="19" t="s">
        <v>654</v>
      </c>
      <c r="D294" s="19" t="s">
        <v>691</v>
      </c>
      <c r="E294" s="19" t="s">
        <v>113</v>
      </c>
      <c r="F294" s="21" t="s">
        <v>1269</v>
      </c>
      <c r="G294" s="23"/>
      <c r="H294" s="21" t="s">
        <v>1269</v>
      </c>
      <c r="I294" s="23"/>
      <c r="J294" s="21" t="s">
        <v>1269</v>
      </c>
      <c r="K294" s="23"/>
      <c r="L294" s="21" t="s">
        <v>1269</v>
      </c>
      <c r="M294" s="23"/>
      <c r="N294" s="21" t="s">
        <v>1269</v>
      </c>
      <c r="O294" s="23"/>
      <c r="P294" s="21" t="s">
        <v>1269</v>
      </c>
      <c r="Q294" s="23"/>
    </row>
    <row r="295" spans="1:17" x14ac:dyDescent="0.25">
      <c r="A295" s="19" t="s">
        <v>692</v>
      </c>
      <c r="B295" s="19" t="s">
        <v>653</v>
      </c>
      <c r="C295" s="19" t="s">
        <v>654</v>
      </c>
      <c r="D295" s="19" t="s">
        <v>693</v>
      </c>
      <c r="E295" s="19" t="s">
        <v>120</v>
      </c>
      <c r="F295" s="21" t="s">
        <v>1269</v>
      </c>
      <c r="G295" s="23"/>
      <c r="H295" s="21" t="s">
        <v>1269</v>
      </c>
      <c r="I295" s="23"/>
      <c r="J295" s="21" t="s">
        <v>1269</v>
      </c>
      <c r="K295" s="23"/>
      <c r="L295" s="21" t="s">
        <v>1269</v>
      </c>
      <c r="M295" s="23"/>
      <c r="N295" s="21" t="s">
        <v>1269</v>
      </c>
      <c r="O295" s="23"/>
      <c r="P295" s="21" t="s">
        <v>1269</v>
      </c>
      <c r="Q295" s="23"/>
    </row>
    <row r="296" spans="1:17" x14ac:dyDescent="0.25">
      <c r="A296" s="19" t="s">
        <v>694</v>
      </c>
      <c r="B296" s="19" t="s">
        <v>653</v>
      </c>
      <c r="C296" s="19" t="s">
        <v>654</v>
      </c>
      <c r="D296" s="19" t="s">
        <v>695</v>
      </c>
      <c r="E296" s="19" t="s">
        <v>120</v>
      </c>
      <c r="F296" s="21" t="s">
        <v>1269</v>
      </c>
      <c r="G296" s="23"/>
      <c r="H296" s="21" t="s">
        <v>1269</v>
      </c>
      <c r="I296" s="23"/>
      <c r="J296" s="21" t="s">
        <v>1269</v>
      </c>
      <c r="K296" s="23"/>
      <c r="L296" s="21" t="s">
        <v>1269</v>
      </c>
      <c r="M296" s="23"/>
      <c r="N296" s="21" t="s">
        <v>1269</v>
      </c>
      <c r="O296" s="23"/>
      <c r="P296" s="21" t="s">
        <v>1269</v>
      </c>
      <c r="Q296" s="23"/>
    </row>
    <row r="297" spans="1:17" x14ac:dyDescent="0.25">
      <c r="A297" s="19" t="s">
        <v>696</v>
      </c>
      <c r="B297" s="19" t="s">
        <v>653</v>
      </c>
      <c r="C297" s="19" t="s">
        <v>654</v>
      </c>
      <c r="D297" s="19" t="s">
        <v>697</v>
      </c>
      <c r="E297" s="19" t="s">
        <v>120</v>
      </c>
      <c r="F297" s="21" t="s">
        <v>1269</v>
      </c>
      <c r="G297" s="23"/>
      <c r="H297" s="21" t="s">
        <v>1269</v>
      </c>
      <c r="I297" s="23"/>
      <c r="J297" s="21" t="s">
        <v>1269</v>
      </c>
      <c r="K297" s="23"/>
      <c r="L297" s="21" t="s">
        <v>1269</v>
      </c>
      <c r="M297" s="23"/>
      <c r="N297" s="21" t="s">
        <v>1269</v>
      </c>
      <c r="O297" s="23"/>
      <c r="P297" s="21" t="s">
        <v>1269</v>
      </c>
      <c r="Q297" s="23"/>
    </row>
    <row r="298" spans="1:17" x14ac:dyDescent="0.25">
      <c r="A298" s="19" t="s">
        <v>698</v>
      </c>
      <c r="B298" s="19" t="s">
        <v>653</v>
      </c>
      <c r="C298" s="19" t="s">
        <v>654</v>
      </c>
      <c r="D298" s="19" t="s">
        <v>699</v>
      </c>
      <c r="E298" s="19" t="s">
        <v>700</v>
      </c>
      <c r="F298" s="21" t="s">
        <v>1269</v>
      </c>
      <c r="G298" s="23"/>
      <c r="H298" s="21" t="s">
        <v>1269</v>
      </c>
      <c r="I298" s="23"/>
      <c r="J298" s="21" t="s">
        <v>1269</v>
      </c>
      <c r="K298" s="23"/>
      <c r="L298" s="21" t="s">
        <v>1269</v>
      </c>
      <c r="M298" s="23"/>
      <c r="N298" s="21" t="s">
        <v>1269</v>
      </c>
      <c r="O298" s="23"/>
      <c r="P298" s="21" t="s">
        <v>1269</v>
      </c>
      <c r="Q298" s="23"/>
    </row>
    <row r="299" spans="1:17" x14ac:dyDescent="0.25">
      <c r="A299" s="19" t="s">
        <v>701</v>
      </c>
      <c r="B299" s="19" t="s">
        <v>653</v>
      </c>
      <c r="C299" s="19" t="s">
        <v>654</v>
      </c>
      <c r="D299" s="19" t="s">
        <v>702</v>
      </c>
      <c r="E299" s="19" t="s">
        <v>205</v>
      </c>
      <c r="F299" s="21" t="s">
        <v>1269</v>
      </c>
      <c r="G299" s="23"/>
      <c r="H299" s="21" t="s">
        <v>1269</v>
      </c>
      <c r="I299" s="23"/>
      <c r="J299" s="21" t="s">
        <v>1269</v>
      </c>
      <c r="K299" s="23"/>
      <c r="L299" s="21" t="s">
        <v>1269</v>
      </c>
      <c r="M299" s="23"/>
      <c r="N299" s="21" t="s">
        <v>1269</v>
      </c>
      <c r="O299" s="23"/>
      <c r="P299" s="21" t="s">
        <v>1269</v>
      </c>
      <c r="Q299" s="23"/>
    </row>
    <row r="300" spans="1:17" x14ac:dyDescent="0.25">
      <c r="A300" s="19" t="s">
        <v>703</v>
      </c>
      <c r="B300" s="19" t="s">
        <v>653</v>
      </c>
      <c r="C300" s="19" t="s">
        <v>654</v>
      </c>
      <c r="D300" s="19" t="s">
        <v>704</v>
      </c>
      <c r="E300" s="19" t="s">
        <v>705</v>
      </c>
      <c r="F300" s="21" t="s">
        <v>1269</v>
      </c>
      <c r="G300" s="23"/>
      <c r="H300" s="21" t="s">
        <v>1269</v>
      </c>
      <c r="I300" s="23"/>
      <c r="J300" s="21" t="s">
        <v>1269</v>
      </c>
      <c r="K300" s="23"/>
      <c r="L300" s="21" t="s">
        <v>1269</v>
      </c>
      <c r="M300" s="23"/>
      <c r="N300" s="21" t="s">
        <v>1269</v>
      </c>
      <c r="O300" s="23"/>
      <c r="P300" s="21" t="s">
        <v>1269</v>
      </c>
      <c r="Q300" s="23"/>
    </row>
    <row r="301" spans="1:17" x14ac:dyDescent="0.25">
      <c r="A301" s="19" t="s">
        <v>706</v>
      </c>
      <c r="B301" s="19" t="s">
        <v>653</v>
      </c>
      <c r="C301" s="19" t="s">
        <v>654</v>
      </c>
      <c r="D301" s="19" t="s">
        <v>707</v>
      </c>
      <c r="E301" s="19" t="s">
        <v>708</v>
      </c>
      <c r="F301" s="21" t="s">
        <v>1269</v>
      </c>
      <c r="G301" s="23"/>
      <c r="H301" s="21" t="s">
        <v>1269</v>
      </c>
      <c r="I301" s="23"/>
      <c r="J301" s="21" t="s">
        <v>1269</v>
      </c>
      <c r="K301" s="23"/>
      <c r="L301" s="21" t="s">
        <v>1269</v>
      </c>
      <c r="M301" s="23"/>
      <c r="N301" s="21" t="s">
        <v>1269</v>
      </c>
      <c r="O301" s="23"/>
      <c r="P301" s="21" t="s">
        <v>1269</v>
      </c>
      <c r="Q301" s="23"/>
    </row>
    <row r="302" spans="1:17" x14ac:dyDescent="0.25">
      <c r="A302" s="19" t="s">
        <v>709</v>
      </c>
      <c r="B302" s="19" t="s">
        <v>653</v>
      </c>
      <c r="C302" s="19" t="s">
        <v>654</v>
      </c>
      <c r="D302" s="19" t="s">
        <v>710</v>
      </c>
      <c r="E302" s="19" t="s">
        <v>711</v>
      </c>
      <c r="F302" s="21" t="s">
        <v>1269</v>
      </c>
      <c r="G302" s="23"/>
      <c r="H302" s="21" t="s">
        <v>1269</v>
      </c>
      <c r="I302" s="23"/>
      <c r="J302" s="21" t="s">
        <v>1269</v>
      </c>
      <c r="K302" s="23"/>
      <c r="L302" s="21" t="s">
        <v>1269</v>
      </c>
      <c r="M302" s="23"/>
      <c r="N302" s="21" t="s">
        <v>1269</v>
      </c>
      <c r="O302" s="23"/>
      <c r="P302" s="21" t="s">
        <v>1269</v>
      </c>
      <c r="Q302" s="23"/>
    </row>
    <row r="303" spans="1:17" x14ac:dyDescent="0.25">
      <c r="A303" s="19" t="s">
        <v>712</v>
      </c>
      <c r="B303" s="19" t="s">
        <v>653</v>
      </c>
      <c r="C303" s="19" t="s">
        <v>654</v>
      </c>
      <c r="D303" s="19" t="s">
        <v>713</v>
      </c>
      <c r="E303" s="19" t="s">
        <v>714</v>
      </c>
      <c r="F303" s="21" t="s">
        <v>1269</v>
      </c>
      <c r="G303" s="23"/>
      <c r="H303" s="21" t="s">
        <v>1269</v>
      </c>
      <c r="I303" s="23"/>
      <c r="J303" s="21" t="s">
        <v>1269</v>
      </c>
      <c r="K303" s="23"/>
      <c r="L303" s="21" t="s">
        <v>1269</v>
      </c>
      <c r="M303" s="23"/>
      <c r="N303" s="21" t="s">
        <v>1269</v>
      </c>
      <c r="O303" s="23"/>
      <c r="P303" s="21" t="s">
        <v>1269</v>
      </c>
      <c r="Q303" s="23"/>
    </row>
    <row r="304" spans="1:17" x14ac:dyDescent="0.25">
      <c r="A304" s="19" t="s">
        <v>715</v>
      </c>
      <c r="B304" s="19" t="s">
        <v>653</v>
      </c>
      <c r="C304" s="19" t="s">
        <v>654</v>
      </c>
      <c r="D304" s="19" t="s">
        <v>716</v>
      </c>
      <c r="E304" s="19" t="s">
        <v>714</v>
      </c>
      <c r="F304" s="21" t="s">
        <v>1269</v>
      </c>
      <c r="G304" s="23"/>
      <c r="H304" s="21" t="s">
        <v>1269</v>
      </c>
      <c r="I304" s="23"/>
      <c r="J304" s="21" t="s">
        <v>1269</v>
      </c>
      <c r="K304" s="23"/>
      <c r="L304" s="21" t="s">
        <v>1269</v>
      </c>
      <c r="M304" s="23"/>
      <c r="N304" s="21" t="s">
        <v>1269</v>
      </c>
      <c r="O304" s="23"/>
      <c r="P304" s="21" t="s">
        <v>1269</v>
      </c>
      <c r="Q304" s="23"/>
    </row>
    <row r="305" spans="1:17" x14ac:dyDescent="0.25">
      <c r="A305" s="19" t="s">
        <v>717</v>
      </c>
      <c r="B305" s="19" t="s">
        <v>653</v>
      </c>
      <c r="C305" s="19" t="s">
        <v>654</v>
      </c>
      <c r="D305" s="19" t="s">
        <v>718</v>
      </c>
      <c r="E305" s="19" t="s">
        <v>719</v>
      </c>
      <c r="F305" s="21" t="s">
        <v>1269</v>
      </c>
      <c r="G305" s="23"/>
      <c r="H305" s="21" t="s">
        <v>1269</v>
      </c>
      <c r="I305" s="23"/>
      <c r="J305" s="21" t="s">
        <v>1269</v>
      </c>
      <c r="K305" s="23"/>
      <c r="L305" s="21" t="s">
        <v>1269</v>
      </c>
      <c r="M305" s="23"/>
      <c r="N305" s="21" t="s">
        <v>1269</v>
      </c>
      <c r="O305" s="23"/>
      <c r="P305" s="21" t="s">
        <v>1269</v>
      </c>
      <c r="Q305" s="23"/>
    </row>
    <row r="306" spans="1:17" x14ac:dyDescent="0.25">
      <c r="A306" s="19" t="s">
        <v>720</v>
      </c>
      <c r="B306" s="19" t="s">
        <v>653</v>
      </c>
      <c r="C306" s="19" t="s">
        <v>654</v>
      </c>
      <c r="D306" s="19" t="s">
        <v>721</v>
      </c>
      <c r="E306" s="19" t="s">
        <v>722</v>
      </c>
      <c r="F306" s="21" t="s">
        <v>1269</v>
      </c>
      <c r="G306" s="23"/>
      <c r="H306" s="21" t="s">
        <v>1269</v>
      </c>
      <c r="I306" s="23"/>
      <c r="J306" s="21" t="s">
        <v>1269</v>
      </c>
      <c r="K306" s="23"/>
      <c r="L306" s="21" t="s">
        <v>1269</v>
      </c>
      <c r="M306" s="23"/>
      <c r="N306" s="21" t="s">
        <v>1269</v>
      </c>
      <c r="O306" s="23"/>
      <c r="P306" s="21" t="s">
        <v>1269</v>
      </c>
      <c r="Q306" s="23"/>
    </row>
    <row r="307" spans="1:17" x14ac:dyDescent="0.25">
      <c r="A307" s="19" t="s">
        <v>723</v>
      </c>
      <c r="B307" s="19" t="s">
        <v>653</v>
      </c>
      <c r="C307" s="19" t="s">
        <v>654</v>
      </c>
      <c r="D307" s="19" t="s">
        <v>724</v>
      </c>
      <c r="E307" s="19" t="s">
        <v>725</v>
      </c>
      <c r="F307" s="21" t="s">
        <v>1269</v>
      </c>
      <c r="G307" s="23"/>
      <c r="H307" s="21" t="s">
        <v>1269</v>
      </c>
      <c r="I307" s="23"/>
      <c r="J307" s="21" t="s">
        <v>1269</v>
      </c>
      <c r="K307" s="23"/>
      <c r="L307" s="21" t="s">
        <v>1269</v>
      </c>
      <c r="M307" s="23"/>
      <c r="N307" s="21" t="s">
        <v>1269</v>
      </c>
      <c r="O307" s="23"/>
      <c r="P307" s="21" t="s">
        <v>1269</v>
      </c>
      <c r="Q307" s="23"/>
    </row>
    <row r="308" spans="1:17" x14ac:dyDescent="0.25">
      <c r="A308" s="19" t="s">
        <v>726</v>
      </c>
      <c r="B308" s="19" t="s">
        <v>653</v>
      </c>
      <c r="C308" s="19" t="s">
        <v>654</v>
      </c>
      <c r="D308" s="19" t="s">
        <v>727</v>
      </c>
      <c r="E308" s="19" t="s">
        <v>728</v>
      </c>
      <c r="F308" s="21" t="s">
        <v>1269</v>
      </c>
      <c r="G308" s="23"/>
      <c r="H308" s="21" t="s">
        <v>1269</v>
      </c>
      <c r="I308" s="23"/>
      <c r="J308" s="21" t="s">
        <v>1269</v>
      </c>
      <c r="K308" s="23"/>
      <c r="L308" s="21" t="s">
        <v>1269</v>
      </c>
      <c r="M308" s="23"/>
      <c r="N308" s="21" t="s">
        <v>1269</v>
      </c>
      <c r="O308" s="23"/>
      <c r="P308" s="21" t="s">
        <v>1269</v>
      </c>
      <c r="Q308" s="23"/>
    </row>
    <row r="309" spans="1:17" x14ac:dyDescent="0.25">
      <c r="A309" s="19" t="s">
        <v>729</v>
      </c>
      <c r="B309" s="19" t="s">
        <v>653</v>
      </c>
      <c r="C309" s="19" t="s">
        <v>46</v>
      </c>
      <c r="D309" s="19" t="s">
        <v>730</v>
      </c>
      <c r="E309" s="19" t="s">
        <v>659</v>
      </c>
      <c r="F309" s="21" t="s">
        <v>1269</v>
      </c>
      <c r="G309" s="23"/>
      <c r="H309" s="21" t="s">
        <v>1269</v>
      </c>
      <c r="I309" s="23"/>
      <c r="J309" s="21" t="s">
        <v>1269</v>
      </c>
      <c r="K309" s="23"/>
      <c r="L309" s="21" t="s">
        <v>1269</v>
      </c>
      <c r="M309" s="23"/>
      <c r="N309" s="21" t="s">
        <v>1269</v>
      </c>
      <c r="O309" s="23"/>
      <c r="P309" s="21" t="s">
        <v>1269</v>
      </c>
      <c r="Q309" s="23"/>
    </row>
    <row r="310" spans="1:17" x14ac:dyDescent="0.25">
      <c r="A310" s="19" t="s">
        <v>731</v>
      </c>
      <c r="B310" s="19" t="s">
        <v>653</v>
      </c>
      <c r="C310" s="19" t="s">
        <v>46</v>
      </c>
      <c r="D310" s="19" t="s">
        <v>732</v>
      </c>
      <c r="E310" s="19" t="s">
        <v>733</v>
      </c>
      <c r="F310" s="21" t="s">
        <v>1269</v>
      </c>
      <c r="G310" s="23"/>
      <c r="H310" s="21" t="s">
        <v>1269</v>
      </c>
      <c r="I310" s="23"/>
      <c r="J310" s="21" t="s">
        <v>1269</v>
      </c>
      <c r="K310" s="23"/>
      <c r="L310" s="21" t="s">
        <v>1269</v>
      </c>
      <c r="M310" s="23"/>
      <c r="N310" s="21" t="s">
        <v>1269</v>
      </c>
      <c r="O310" s="23"/>
      <c r="P310" s="21" t="s">
        <v>1269</v>
      </c>
      <c r="Q310" s="23"/>
    </row>
    <row r="311" spans="1:17" x14ac:dyDescent="0.25">
      <c r="A311" s="19" t="s">
        <v>734</v>
      </c>
      <c r="B311" s="19" t="s">
        <v>653</v>
      </c>
      <c r="C311" s="19" t="s">
        <v>46</v>
      </c>
      <c r="D311" s="19" t="s">
        <v>735</v>
      </c>
      <c r="E311" s="19" t="s">
        <v>66</v>
      </c>
      <c r="F311" s="21" t="s">
        <v>1269</v>
      </c>
      <c r="G311" s="23"/>
      <c r="H311" s="21" t="s">
        <v>1269</v>
      </c>
      <c r="I311" s="23"/>
      <c r="J311" s="21" t="s">
        <v>1269</v>
      </c>
      <c r="K311" s="23"/>
      <c r="L311" s="21" t="s">
        <v>1269</v>
      </c>
      <c r="M311" s="23"/>
      <c r="N311" s="21" t="s">
        <v>1269</v>
      </c>
      <c r="O311" s="23"/>
      <c r="P311" s="21" t="s">
        <v>1269</v>
      </c>
      <c r="Q311" s="23"/>
    </row>
    <row r="312" spans="1:17" x14ac:dyDescent="0.25">
      <c r="A312" s="19" t="s">
        <v>736</v>
      </c>
      <c r="B312" s="19" t="s">
        <v>653</v>
      </c>
      <c r="C312" s="19" t="s">
        <v>46</v>
      </c>
      <c r="D312" s="19" t="s">
        <v>737</v>
      </c>
      <c r="E312" s="19" t="s">
        <v>66</v>
      </c>
      <c r="F312" s="21" t="s">
        <v>1269</v>
      </c>
      <c r="G312" s="23"/>
      <c r="H312" s="21" t="s">
        <v>1269</v>
      </c>
      <c r="I312" s="23"/>
      <c r="J312" s="21" t="s">
        <v>1269</v>
      </c>
      <c r="K312" s="23"/>
      <c r="L312" s="21" t="s">
        <v>1269</v>
      </c>
      <c r="M312" s="23"/>
      <c r="N312" s="21" t="s">
        <v>1269</v>
      </c>
      <c r="O312" s="23"/>
      <c r="P312" s="21" t="s">
        <v>1269</v>
      </c>
      <c r="Q312" s="23"/>
    </row>
    <row r="313" spans="1:17" x14ac:dyDescent="0.25">
      <c r="A313" s="19" t="s">
        <v>738</v>
      </c>
      <c r="B313" s="19" t="s">
        <v>653</v>
      </c>
      <c r="C313" s="19" t="s">
        <v>46</v>
      </c>
      <c r="D313" s="19" t="s">
        <v>739</v>
      </c>
      <c r="E313" s="19" t="s">
        <v>662</v>
      </c>
      <c r="F313" s="21" t="s">
        <v>1269</v>
      </c>
      <c r="G313" s="23"/>
      <c r="H313" s="21" t="s">
        <v>1269</v>
      </c>
      <c r="I313" s="23"/>
      <c r="J313" s="21" t="s">
        <v>1269</v>
      </c>
      <c r="K313" s="23"/>
      <c r="L313" s="21" t="s">
        <v>1269</v>
      </c>
      <c r="M313" s="23"/>
      <c r="N313" s="21" t="s">
        <v>1269</v>
      </c>
      <c r="O313" s="23"/>
      <c r="P313" s="21" t="s">
        <v>1269</v>
      </c>
      <c r="Q313" s="23"/>
    </row>
    <row r="314" spans="1:17" x14ac:dyDescent="0.25">
      <c r="A314" s="19" t="s">
        <v>740</v>
      </c>
      <c r="B314" s="19" t="s">
        <v>653</v>
      </c>
      <c r="C314" s="19" t="s">
        <v>46</v>
      </c>
      <c r="D314" s="19" t="s">
        <v>741</v>
      </c>
      <c r="E314" s="19" t="s">
        <v>662</v>
      </c>
      <c r="F314" s="21" t="s">
        <v>1269</v>
      </c>
      <c r="G314" s="23"/>
      <c r="H314" s="21" t="s">
        <v>1269</v>
      </c>
      <c r="I314" s="23"/>
      <c r="J314" s="21" t="s">
        <v>1269</v>
      </c>
      <c r="K314" s="23"/>
      <c r="L314" s="21" t="s">
        <v>1269</v>
      </c>
      <c r="M314" s="23"/>
      <c r="N314" s="21" t="s">
        <v>1269</v>
      </c>
      <c r="O314" s="23"/>
      <c r="P314" s="21" t="s">
        <v>1269</v>
      </c>
      <c r="Q314" s="23"/>
    </row>
    <row r="315" spans="1:17" x14ac:dyDescent="0.25">
      <c r="A315" s="19" t="s">
        <v>742</v>
      </c>
      <c r="B315" s="19" t="s">
        <v>653</v>
      </c>
      <c r="C315" s="19" t="s">
        <v>46</v>
      </c>
      <c r="D315" s="19" t="s">
        <v>743</v>
      </c>
      <c r="E315" s="19" t="s">
        <v>662</v>
      </c>
      <c r="F315" s="21" t="s">
        <v>1269</v>
      </c>
      <c r="G315" s="23"/>
      <c r="H315" s="21" t="s">
        <v>1269</v>
      </c>
      <c r="I315" s="23"/>
      <c r="J315" s="21" t="s">
        <v>1269</v>
      </c>
      <c r="K315" s="23"/>
      <c r="L315" s="21" t="s">
        <v>1269</v>
      </c>
      <c r="M315" s="23"/>
      <c r="N315" s="21" t="s">
        <v>1269</v>
      </c>
      <c r="O315" s="23"/>
      <c r="P315" s="21" t="s">
        <v>1269</v>
      </c>
      <c r="Q315" s="23"/>
    </row>
    <row r="316" spans="1:17" x14ac:dyDescent="0.25">
      <c r="A316" s="19" t="s">
        <v>744</v>
      </c>
      <c r="B316" s="19" t="s">
        <v>653</v>
      </c>
      <c r="C316" s="19" t="s">
        <v>46</v>
      </c>
      <c r="D316" s="19" t="s">
        <v>745</v>
      </c>
      <c r="E316" s="19" t="s">
        <v>79</v>
      </c>
      <c r="F316" s="21" t="s">
        <v>1269</v>
      </c>
      <c r="G316" s="23"/>
      <c r="H316" s="21" t="s">
        <v>1269</v>
      </c>
      <c r="I316" s="23"/>
      <c r="J316" s="21" t="s">
        <v>1269</v>
      </c>
      <c r="K316" s="23"/>
      <c r="L316" s="21" t="s">
        <v>1269</v>
      </c>
      <c r="M316" s="23"/>
      <c r="N316" s="21" t="s">
        <v>1269</v>
      </c>
      <c r="O316" s="23"/>
      <c r="P316" s="21" t="s">
        <v>1269</v>
      </c>
      <c r="Q316" s="23"/>
    </row>
    <row r="317" spans="1:17" x14ac:dyDescent="0.25">
      <c r="A317" s="19" t="s">
        <v>746</v>
      </c>
      <c r="B317" s="19" t="s">
        <v>653</v>
      </c>
      <c r="C317" s="19" t="s">
        <v>46</v>
      </c>
      <c r="D317" s="19" t="s">
        <v>747</v>
      </c>
      <c r="E317" s="19" t="s">
        <v>667</v>
      </c>
      <c r="F317" s="21" t="s">
        <v>1269</v>
      </c>
      <c r="G317" s="23"/>
      <c r="H317" s="21" t="s">
        <v>1269</v>
      </c>
      <c r="I317" s="23"/>
      <c r="J317" s="21" t="s">
        <v>1269</v>
      </c>
      <c r="K317" s="23"/>
      <c r="L317" s="21" t="s">
        <v>1269</v>
      </c>
      <c r="M317" s="23"/>
      <c r="N317" s="21" t="s">
        <v>1269</v>
      </c>
      <c r="O317" s="23"/>
      <c r="P317" s="21" t="s">
        <v>1269</v>
      </c>
      <c r="Q317" s="23"/>
    </row>
    <row r="318" spans="1:17" x14ac:dyDescent="0.25">
      <c r="A318" s="19" t="s">
        <v>748</v>
      </c>
      <c r="B318" s="19" t="s">
        <v>653</v>
      </c>
      <c r="C318" s="19" t="s">
        <v>46</v>
      </c>
      <c r="D318" s="19" t="s">
        <v>749</v>
      </c>
      <c r="E318" s="19" t="s">
        <v>667</v>
      </c>
      <c r="F318" s="21" t="s">
        <v>1269</v>
      </c>
      <c r="G318" s="23"/>
      <c r="H318" s="21" t="s">
        <v>1269</v>
      </c>
      <c r="I318" s="23"/>
      <c r="J318" s="21" t="s">
        <v>1269</v>
      </c>
      <c r="K318" s="23"/>
      <c r="L318" s="21" t="s">
        <v>1269</v>
      </c>
      <c r="M318" s="23"/>
      <c r="N318" s="21" t="s">
        <v>1269</v>
      </c>
      <c r="O318" s="23"/>
      <c r="P318" s="21" t="s">
        <v>1269</v>
      </c>
      <c r="Q318" s="23"/>
    </row>
    <row r="319" spans="1:17" x14ac:dyDescent="0.25">
      <c r="A319" s="19" t="s">
        <v>750</v>
      </c>
      <c r="B319" s="19" t="s">
        <v>653</v>
      </c>
      <c r="C319" s="19" t="s">
        <v>46</v>
      </c>
      <c r="D319" s="19" t="s">
        <v>751</v>
      </c>
      <c r="E319" s="19" t="s">
        <v>86</v>
      </c>
      <c r="F319" s="21" t="s">
        <v>1269</v>
      </c>
      <c r="G319" s="23"/>
      <c r="H319" s="21" t="s">
        <v>1269</v>
      </c>
      <c r="I319" s="23"/>
      <c r="J319" s="21" t="s">
        <v>1269</v>
      </c>
      <c r="K319" s="23"/>
      <c r="L319" s="21" t="s">
        <v>1269</v>
      </c>
      <c r="M319" s="23"/>
      <c r="N319" s="21" t="s">
        <v>1269</v>
      </c>
      <c r="O319" s="23"/>
      <c r="P319" s="21" t="s">
        <v>1269</v>
      </c>
      <c r="Q319" s="23"/>
    </row>
    <row r="320" spans="1:17" x14ac:dyDescent="0.25">
      <c r="A320" s="19" t="s">
        <v>752</v>
      </c>
      <c r="B320" s="19" t="s">
        <v>653</v>
      </c>
      <c r="C320" s="19" t="s">
        <v>46</v>
      </c>
      <c r="D320" s="19" t="s">
        <v>753</v>
      </c>
      <c r="E320" s="19" t="s">
        <v>89</v>
      </c>
      <c r="F320" s="21" t="s">
        <v>1269</v>
      </c>
      <c r="G320" s="23"/>
      <c r="H320" s="21" t="s">
        <v>1269</v>
      </c>
      <c r="I320" s="23"/>
      <c r="J320" s="21" t="s">
        <v>1269</v>
      </c>
      <c r="K320" s="23"/>
      <c r="L320" s="21" t="s">
        <v>1269</v>
      </c>
      <c r="M320" s="23"/>
      <c r="N320" s="21" t="s">
        <v>1269</v>
      </c>
      <c r="O320" s="23"/>
      <c r="P320" s="21" t="s">
        <v>1269</v>
      </c>
      <c r="Q320" s="23"/>
    </row>
    <row r="321" spans="1:17" x14ac:dyDescent="0.25">
      <c r="A321" s="19" t="s">
        <v>754</v>
      </c>
      <c r="B321" s="19" t="s">
        <v>653</v>
      </c>
      <c r="C321" s="19" t="s">
        <v>46</v>
      </c>
      <c r="D321" s="19" t="s">
        <v>755</v>
      </c>
      <c r="E321" s="19" t="s">
        <v>89</v>
      </c>
      <c r="F321" s="21" t="s">
        <v>1269</v>
      </c>
      <c r="G321" s="23"/>
      <c r="H321" s="21" t="s">
        <v>1269</v>
      </c>
      <c r="I321" s="23"/>
      <c r="J321" s="21" t="s">
        <v>1269</v>
      </c>
      <c r="K321" s="23"/>
      <c r="L321" s="21" t="s">
        <v>1269</v>
      </c>
      <c r="M321" s="23"/>
      <c r="N321" s="21" t="s">
        <v>1269</v>
      </c>
      <c r="O321" s="23"/>
      <c r="P321" s="21" t="s">
        <v>1269</v>
      </c>
      <c r="Q321" s="23"/>
    </row>
    <row r="322" spans="1:17" x14ac:dyDescent="0.25">
      <c r="A322" s="19" t="s">
        <v>756</v>
      </c>
      <c r="B322" s="19" t="s">
        <v>653</v>
      </c>
      <c r="C322" s="19" t="s">
        <v>46</v>
      </c>
      <c r="D322" s="19" t="s">
        <v>757</v>
      </c>
      <c r="E322" s="19" t="s">
        <v>89</v>
      </c>
      <c r="F322" s="21" t="s">
        <v>1269</v>
      </c>
      <c r="G322" s="23"/>
      <c r="H322" s="21" t="s">
        <v>1269</v>
      </c>
      <c r="I322" s="23"/>
      <c r="J322" s="21" t="s">
        <v>1269</v>
      </c>
      <c r="K322" s="23"/>
      <c r="L322" s="21" t="s">
        <v>1269</v>
      </c>
      <c r="M322" s="23"/>
      <c r="N322" s="21" t="s">
        <v>1269</v>
      </c>
      <c r="O322" s="23"/>
      <c r="P322" s="21" t="s">
        <v>1269</v>
      </c>
      <c r="Q322" s="23"/>
    </row>
    <row r="323" spans="1:17" x14ac:dyDescent="0.25">
      <c r="A323" s="19" t="s">
        <v>758</v>
      </c>
      <c r="B323" s="19" t="s">
        <v>653</v>
      </c>
      <c r="C323" s="19" t="s">
        <v>46</v>
      </c>
      <c r="D323" s="19" t="s">
        <v>759</v>
      </c>
      <c r="E323" s="19" t="s">
        <v>674</v>
      </c>
      <c r="F323" s="21" t="s">
        <v>1269</v>
      </c>
      <c r="G323" s="23"/>
      <c r="H323" s="21" t="s">
        <v>1269</v>
      </c>
      <c r="I323" s="23"/>
      <c r="J323" s="21" t="s">
        <v>1269</v>
      </c>
      <c r="K323" s="23"/>
      <c r="L323" s="21" t="s">
        <v>1269</v>
      </c>
      <c r="M323" s="23"/>
      <c r="N323" s="21" t="s">
        <v>1269</v>
      </c>
      <c r="O323" s="23"/>
      <c r="P323" s="21" t="s">
        <v>1269</v>
      </c>
      <c r="Q323" s="23"/>
    </row>
    <row r="324" spans="1:17" x14ac:dyDescent="0.25">
      <c r="A324" s="19" t="s">
        <v>760</v>
      </c>
      <c r="B324" s="19" t="s">
        <v>653</v>
      </c>
      <c r="C324" s="19" t="s">
        <v>46</v>
      </c>
      <c r="D324" s="19" t="s">
        <v>761</v>
      </c>
      <c r="E324" s="19" t="s">
        <v>674</v>
      </c>
      <c r="F324" s="21" t="s">
        <v>1269</v>
      </c>
      <c r="G324" s="23"/>
      <c r="H324" s="21" t="s">
        <v>1269</v>
      </c>
      <c r="I324" s="23"/>
      <c r="J324" s="21" t="s">
        <v>1269</v>
      </c>
      <c r="K324" s="23"/>
      <c r="L324" s="21" t="s">
        <v>1269</v>
      </c>
      <c r="M324" s="23"/>
      <c r="N324" s="21" t="s">
        <v>1269</v>
      </c>
      <c r="O324" s="23"/>
      <c r="P324" s="21" t="s">
        <v>1269</v>
      </c>
      <c r="Q324" s="23"/>
    </row>
    <row r="325" spans="1:17" x14ac:dyDescent="0.25">
      <c r="A325" s="19" t="s">
        <v>762</v>
      </c>
      <c r="B325" s="19" t="s">
        <v>653</v>
      </c>
      <c r="C325" s="19" t="s">
        <v>46</v>
      </c>
      <c r="D325" s="19" t="s">
        <v>763</v>
      </c>
      <c r="E325" s="19" t="s">
        <v>764</v>
      </c>
      <c r="F325" s="21" t="s">
        <v>1269</v>
      </c>
      <c r="G325" s="23"/>
      <c r="H325" s="21" t="s">
        <v>1269</v>
      </c>
      <c r="I325" s="23"/>
      <c r="J325" s="21" t="s">
        <v>1269</v>
      </c>
      <c r="K325" s="23"/>
      <c r="L325" s="21" t="s">
        <v>1269</v>
      </c>
      <c r="M325" s="23"/>
      <c r="N325" s="21" t="s">
        <v>1269</v>
      </c>
      <c r="O325" s="23"/>
      <c r="P325" s="21" t="s">
        <v>1269</v>
      </c>
      <c r="Q325" s="23"/>
    </row>
    <row r="326" spans="1:17" x14ac:dyDescent="0.25">
      <c r="A326" s="19" t="s">
        <v>765</v>
      </c>
      <c r="B326" s="19" t="s">
        <v>653</v>
      </c>
      <c r="C326" s="19" t="s">
        <v>46</v>
      </c>
      <c r="D326" s="19" t="s">
        <v>766</v>
      </c>
      <c r="E326" s="19" t="s">
        <v>764</v>
      </c>
      <c r="F326" s="21" t="s">
        <v>1269</v>
      </c>
      <c r="G326" s="23"/>
      <c r="H326" s="21" t="s">
        <v>1269</v>
      </c>
      <c r="I326" s="23"/>
      <c r="J326" s="21" t="s">
        <v>1269</v>
      </c>
      <c r="K326" s="23"/>
      <c r="L326" s="21" t="s">
        <v>1269</v>
      </c>
      <c r="M326" s="23"/>
      <c r="N326" s="21" t="s">
        <v>1269</v>
      </c>
      <c r="O326" s="23"/>
      <c r="P326" s="21" t="s">
        <v>1269</v>
      </c>
      <c r="Q326" s="23"/>
    </row>
    <row r="327" spans="1:17" x14ac:dyDescent="0.25">
      <c r="A327" s="19" t="s">
        <v>767</v>
      </c>
      <c r="B327" s="19" t="s">
        <v>653</v>
      </c>
      <c r="C327" s="19" t="s">
        <v>46</v>
      </c>
      <c r="D327" s="19" t="s">
        <v>768</v>
      </c>
      <c r="E327" s="19" t="s">
        <v>679</v>
      </c>
      <c r="F327" s="21" t="s">
        <v>1269</v>
      </c>
      <c r="G327" s="23"/>
      <c r="H327" s="21" t="s">
        <v>1269</v>
      </c>
      <c r="I327" s="23"/>
      <c r="J327" s="21" t="s">
        <v>1269</v>
      </c>
      <c r="K327" s="23"/>
      <c r="L327" s="21" t="s">
        <v>1269</v>
      </c>
      <c r="M327" s="23"/>
      <c r="N327" s="21" t="s">
        <v>1269</v>
      </c>
      <c r="O327" s="23"/>
      <c r="P327" s="21" t="s">
        <v>1269</v>
      </c>
      <c r="Q327" s="23"/>
    </row>
    <row r="328" spans="1:17" x14ac:dyDescent="0.25">
      <c r="A328" s="19" t="s">
        <v>769</v>
      </c>
      <c r="B328" s="19" t="s">
        <v>653</v>
      </c>
      <c r="C328" s="19" t="s">
        <v>46</v>
      </c>
      <c r="D328" s="19" t="s">
        <v>770</v>
      </c>
      <c r="E328" s="19" t="s">
        <v>682</v>
      </c>
      <c r="F328" s="21" t="s">
        <v>1269</v>
      </c>
      <c r="G328" s="23"/>
      <c r="H328" s="21" t="s">
        <v>1269</v>
      </c>
      <c r="I328" s="23"/>
      <c r="J328" s="21" t="s">
        <v>1269</v>
      </c>
      <c r="K328" s="23"/>
      <c r="L328" s="21" t="s">
        <v>1269</v>
      </c>
      <c r="M328" s="23"/>
      <c r="N328" s="21" t="s">
        <v>1269</v>
      </c>
      <c r="O328" s="23"/>
      <c r="P328" s="21" t="s">
        <v>1269</v>
      </c>
      <c r="Q328" s="23"/>
    </row>
    <row r="329" spans="1:17" x14ac:dyDescent="0.25">
      <c r="A329" s="19" t="s">
        <v>771</v>
      </c>
      <c r="B329" s="19" t="s">
        <v>653</v>
      </c>
      <c r="C329" s="19" t="s">
        <v>46</v>
      </c>
      <c r="D329" s="19" t="s">
        <v>772</v>
      </c>
      <c r="E329" s="19" t="s">
        <v>113</v>
      </c>
      <c r="F329" s="21" t="s">
        <v>1269</v>
      </c>
      <c r="G329" s="23"/>
      <c r="H329" s="21" t="s">
        <v>1269</v>
      </c>
      <c r="I329" s="23"/>
      <c r="J329" s="21" t="s">
        <v>1269</v>
      </c>
      <c r="K329" s="23"/>
      <c r="L329" s="21" t="s">
        <v>1269</v>
      </c>
      <c r="M329" s="23"/>
      <c r="N329" s="21" t="s">
        <v>1269</v>
      </c>
      <c r="O329" s="23"/>
      <c r="P329" s="21" t="s">
        <v>1269</v>
      </c>
      <c r="Q329" s="23"/>
    </row>
    <row r="330" spans="1:17" x14ac:dyDescent="0.25">
      <c r="A330" s="19" t="s">
        <v>773</v>
      </c>
      <c r="B330" s="19" t="s">
        <v>653</v>
      </c>
      <c r="C330" s="19" t="s">
        <v>46</v>
      </c>
      <c r="D330" s="19" t="s">
        <v>774</v>
      </c>
      <c r="E330" s="19" t="s">
        <v>120</v>
      </c>
      <c r="F330" s="21" t="s">
        <v>1269</v>
      </c>
      <c r="G330" s="23"/>
      <c r="H330" s="21" t="s">
        <v>1269</v>
      </c>
      <c r="I330" s="23"/>
      <c r="J330" s="21" t="s">
        <v>1269</v>
      </c>
      <c r="K330" s="23"/>
      <c r="L330" s="21" t="s">
        <v>1269</v>
      </c>
      <c r="M330" s="23"/>
      <c r="N330" s="21" t="s">
        <v>1269</v>
      </c>
      <c r="O330" s="23"/>
      <c r="P330" s="21" t="s">
        <v>1269</v>
      </c>
      <c r="Q330" s="23"/>
    </row>
    <row r="331" spans="1:17" x14ac:dyDescent="0.25">
      <c r="A331" s="19" t="s">
        <v>775</v>
      </c>
      <c r="B331" s="19" t="s">
        <v>653</v>
      </c>
      <c r="C331" s="19" t="s">
        <v>46</v>
      </c>
      <c r="D331" s="19" t="s">
        <v>776</v>
      </c>
      <c r="E331" s="19" t="s">
        <v>120</v>
      </c>
      <c r="F331" s="21" t="s">
        <v>1269</v>
      </c>
      <c r="G331" s="23"/>
      <c r="H331" s="21" t="s">
        <v>1269</v>
      </c>
      <c r="I331" s="23"/>
      <c r="J331" s="21" t="s">
        <v>1269</v>
      </c>
      <c r="K331" s="23"/>
      <c r="L331" s="21" t="s">
        <v>1269</v>
      </c>
      <c r="M331" s="23"/>
      <c r="N331" s="21" t="s">
        <v>1269</v>
      </c>
      <c r="O331" s="23"/>
      <c r="P331" s="21" t="s">
        <v>1269</v>
      </c>
      <c r="Q331" s="23"/>
    </row>
    <row r="332" spans="1:17" x14ac:dyDescent="0.25">
      <c r="A332" s="19" t="s">
        <v>777</v>
      </c>
      <c r="B332" s="19" t="s">
        <v>653</v>
      </c>
      <c r="C332" s="19" t="s">
        <v>46</v>
      </c>
      <c r="D332" s="19" t="s">
        <v>778</v>
      </c>
      <c r="E332" s="19" t="s">
        <v>120</v>
      </c>
      <c r="F332" s="21" t="s">
        <v>1269</v>
      </c>
      <c r="G332" s="23"/>
      <c r="H332" s="21" t="s">
        <v>1269</v>
      </c>
      <c r="I332" s="23"/>
      <c r="J332" s="21" t="s">
        <v>1269</v>
      </c>
      <c r="K332" s="23"/>
      <c r="L332" s="21" t="s">
        <v>1269</v>
      </c>
      <c r="M332" s="23"/>
      <c r="N332" s="21" t="s">
        <v>1269</v>
      </c>
      <c r="O332" s="23"/>
      <c r="P332" s="21" t="s">
        <v>1269</v>
      </c>
      <c r="Q332" s="23"/>
    </row>
    <row r="333" spans="1:17" x14ac:dyDescent="0.25">
      <c r="A333" s="19" t="s">
        <v>779</v>
      </c>
      <c r="B333" s="19" t="s">
        <v>653</v>
      </c>
      <c r="C333" s="19" t="s">
        <v>46</v>
      </c>
      <c r="D333" s="19" t="s">
        <v>780</v>
      </c>
      <c r="E333" s="19" t="s">
        <v>700</v>
      </c>
      <c r="F333" s="21" t="s">
        <v>1269</v>
      </c>
      <c r="G333" s="23"/>
      <c r="H333" s="21" t="s">
        <v>1269</v>
      </c>
      <c r="I333" s="23"/>
      <c r="J333" s="21" t="s">
        <v>1269</v>
      </c>
      <c r="K333" s="23"/>
      <c r="L333" s="21" t="s">
        <v>1269</v>
      </c>
      <c r="M333" s="23"/>
      <c r="N333" s="21" t="s">
        <v>1269</v>
      </c>
      <c r="O333" s="23"/>
      <c r="P333" s="21" t="s">
        <v>1269</v>
      </c>
      <c r="Q333" s="23"/>
    </row>
    <row r="334" spans="1:17" x14ac:dyDescent="0.25">
      <c r="A334" s="19" t="s">
        <v>781</v>
      </c>
      <c r="B334" s="19" t="s">
        <v>653</v>
      </c>
      <c r="C334" s="19" t="s">
        <v>46</v>
      </c>
      <c r="D334" s="19" t="s">
        <v>782</v>
      </c>
      <c r="E334" s="19" t="s">
        <v>700</v>
      </c>
      <c r="F334" s="21" t="s">
        <v>1269</v>
      </c>
      <c r="G334" s="23"/>
      <c r="H334" s="21" t="s">
        <v>1269</v>
      </c>
      <c r="I334" s="23"/>
      <c r="J334" s="21" t="s">
        <v>1269</v>
      </c>
      <c r="K334" s="23"/>
      <c r="L334" s="21" t="s">
        <v>1269</v>
      </c>
      <c r="M334" s="23"/>
      <c r="N334" s="21" t="s">
        <v>1269</v>
      </c>
      <c r="O334" s="23"/>
      <c r="P334" s="21" t="s">
        <v>1269</v>
      </c>
      <c r="Q334" s="23"/>
    </row>
    <row r="335" spans="1:17" x14ac:dyDescent="0.25">
      <c r="A335" s="19" t="s">
        <v>783</v>
      </c>
      <c r="B335" s="19" t="s">
        <v>653</v>
      </c>
      <c r="C335" s="19" t="s">
        <v>46</v>
      </c>
      <c r="D335" s="19" t="s">
        <v>784</v>
      </c>
      <c r="E335" s="19" t="s">
        <v>700</v>
      </c>
      <c r="F335" s="21" t="s">
        <v>1269</v>
      </c>
      <c r="G335" s="23"/>
      <c r="H335" s="21" t="s">
        <v>1269</v>
      </c>
      <c r="I335" s="23"/>
      <c r="J335" s="21" t="s">
        <v>1269</v>
      </c>
      <c r="K335" s="23"/>
      <c r="L335" s="21" t="s">
        <v>1269</v>
      </c>
      <c r="M335" s="23"/>
      <c r="N335" s="21" t="s">
        <v>1269</v>
      </c>
      <c r="O335" s="23"/>
      <c r="P335" s="21" t="s">
        <v>1269</v>
      </c>
      <c r="Q335" s="23"/>
    </row>
    <row r="336" spans="1:17" x14ac:dyDescent="0.25">
      <c r="A336" s="19" t="s">
        <v>785</v>
      </c>
      <c r="B336" s="19" t="s">
        <v>653</v>
      </c>
      <c r="C336" s="19" t="s">
        <v>46</v>
      </c>
      <c r="D336" s="19" t="s">
        <v>786</v>
      </c>
      <c r="E336" s="19" t="s">
        <v>205</v>
      </c>
      <c r="F336" s="21" t="s">
        <v>1269</v>
      </c>
      <c r="G336" s="23"/>
      <c r="H336" s="21" t="s">
        <v>1269</v>
      </c>
      <c r="I336" s="23"/>
      <c r="J336" s="21" t="s">
        <v>1269</v>
      </c>
      <c r="K336" s="23"/>
      <c r="L336" s="21" t="s">
        <v>1269</v>
      </c>
      <c r="M336" s="23"/>
      <c r="N336" s="21" t="s">
        <v>1269</v>
      </c>
      <c r="O336" s="23"/>
      <c r="P336" s="21" t="s">
        <v>1269</v>
      </c>
      <c r="Q336" s="23"/>
    </row>
    <row r="337" spans="1:17" x14ac:dyDescent="0.25">
      <c r="A337" s="19" t="s">
        <v>787</v>
      </c>
      <c r="B337" s="19" t="s">
        <v>653</v>
      </c>
      <c r="C337" s="19" t="s">
        <v>46</v>
      </c>
      <c r="D337" s="19" t="s">
        <v>788</v>
      </c>
      <c r="E337" s="19" t="s">
        <v>705</v>
      </c>
      <c r="F337" s="21" t="s">
        <v>1269</v>
      </c>
      <c r="G337" s="23"/>
      <c r="H337" s="21" t="s">
        <v>1269</v>
      </c>
      <c r="I337" s="23"/>
      <c r="J337" s="21" t="s">
        <v>1269</v>
      </c>
      <c r="K337" s="23"/>
      <c r="L337" s="21" t="s">
        <v>1269</v>
      </c>
      <c r="M337" s="23"/>
      <c r="N337" s="21" t="s">
        <v>1269</v>
      </c>
      <c r="O337" s="23"/>
      <c r="P337" s="21" t="s">
        <v>1269</v>
      </c>
      <c r="Q337" s="23"/>
    </row>
    <row r="338" spans="1:17" x14ac:dyDescent="0.25">
      <c r="A338" s="19" t="s">
        <v>789</v>
      </c>
      <c r="B338" s="19" t="s">
        <v>653</v>
      </c>
      <c r="C338" s="19" t="s">
        <v>46</v>
      </c>
      <c r="D338" s="19" t="s">
        <v>790</v>
      </c>
      <c r="E338" s="19" t="s">
        <v>791</v>
      </c>
      <c r="F338" s="21" t="s">
        <v>1269</v>
      </c>
      <c r="G338" s="23"/>
      <c r="H338" s="21" t="s">
        <v>1269</v>
      </c>
      <c r="I338" s="23"/>
      <c r="J338" s="21" t="s">
        <v>1269</v>
      </c>
      <c r="K338" s="23"/>
      <c r="L338" s="21" t="s">
        <v>1269</v>
      </c>
      <c r="M338" s="23"/>
      <c r="N338" s="21" t="s">
        <v>1269</v>
      </c>
      <c r="O338" s="23"/>
      <c r="P338" s="21" t="s">
        <v>1269</v>
      </c>
      <c r="Q338" s="23"/>
    </row>
    <row r="339" spans="1:17" x14ac:dyDescent="0.25">
      <c r="A339" s="19" t="s">
        <v>792</v>
      </c>
      <c r="B339" s="19" t="s">
        <v>653</v>
      </c>
      <c r="C339" s="19" t="s">
        <v>46</v>
      </c>
      <c r="D339" s="19" t="s">
        <v>793</v>
      </c>
      <c r="E339" s="19" t="s">
        <v>794</v>
      </c>
      <c r="F339" s="21" t="s">
        <v>1269</v>
      </c>
      <c r="G339" s="23"/>
      <c r="H339" s="21" t="s">
        <v>1269</v>
      </c>
      <c r="I339" s="23"/>
      <c r="J339" s="21" t="s">
        <v>1269</v>
      </c>
      <c r="K339" s="23"/>
      <c r="L339" s="21" t="s">
        <v>1269</v>
      </c>
      <c r="M339" s="23"/>
      <c r="N339" s="21" t="s">
        <v>1269</v>
      </c>
      <c r="O339" s="23"/>
      <c r="P339" s="21" t="s">
        <v>1269</v>
      </c>
      <c r="Q339" s="23"/>
    </row>
    <row r="340" spans="1:17" x14ac:dyDescent="0.25">
      <c r="A340" s="19" t="s">
        <v>795</v>
      </c>
      <c r="B340" s="19" t="s">
        <v>653</v>
      </c>
      <c r="C340" s="19" t="s">
        <v>46</v>
      </c>
      <c r="D340" s="19" t="s">
        <v>796</v>
      </c>
      <c r="E340" s="19" t="s">
        <v>711</v>
      </c>
      <c r="F340" s="21" t="s">
        <v>1269</v>
      </c>
      <c r="G340" s="23"/>
      <c r="H340" s="21" t="s">
        <v>1269</v>
      </c>
      <c r="I340" s="23"/>
      <c r="J340" s="21" t="s">
        <v>1269</v>
      </c>
      <c r="K340" s="23"/>
      <c r="L340" s="21" t="s">
        <v>1269</v>
      </c>
      <c r="M340" s="23"/>
      <c r="N340" s="21" t="s">
        <v>1269</v>
      </c>
      <c r="O340" s="23"/>
      <c r="P340" s="21" t="s">
        <v>1269</v>
      </c>
      <c r="Q340" s="23"/>
    </row>
    <row r="341" spans="1:17" x14ac:dyDescent="0.25">
      <c r="A341" s="19" t="s">
        <v>797</v>
      </c>
      <c r="B341" s="19" t="s">
        <v>653</v>
      </c>
      <c r="C341" s="19" t="s">
        <v>46</v>
      </c>
      <c r="D341" s="19" t="s">
        <v>798</v>
      </c>
      <c r="E341" s="19" t="s">
        <v>799</v>
      </c>
      <c r="F341" s="21" t="s">
        <v>1269</v>
      </c>
      <c r="G341" s="23"/>
      <c r="H341" s="21" t="s">
        <v>1269</v>
      </c>
      <c r="I341" s="23"/>
      <c r="J341" s="21" t="s">
        <v>1269</v>
      </c>
      <c r="K341" s="23"/>
      <c r="L341" s="21" t="s">
        <v>1269</v>
      </c>
      <c r="M341" s="23"/>
      <c r="N341" s="21" t="s">
        <v>1269</v>
      </c>
      <c r="O341" s="23"/>
      <c r="P341" s="21" t="s">
        <v>1269</v>
      </c>
      <c r="Q341" s="23"/>
    </row>
    <row r="342" spans="1:17" x14ac:dyDescent="0.25">
      <c r="A342" s="19" t="s">
        <v>800</v>
      </c>
      <c r="B342" s="19" t="s">
        <v>653</v>
      </c>
      <c r="C342" s="19" t="s">
        <v>46</v>
      </c>
      <c r="D342" s="19" t="s">
        <v>801</v>
      </c>
      <c r="E342" s="19" t="s">
        <v>802</v>
      </c>
      <c r="F342" s="21" t="s">
        <v>1269</v>
      </c>
      <c r="G342" s="23"/>
      <c r="H342" s="21" t="s">
        <v>1269</v>
      </c>
      <c r="I342" s="23"/>
      <c r="J342" s="21" t="s">
        <v>1269</v>
      </c>
      <c r="K342" s="23"/>
      <c r="L342" s="21" t="s">
        <v>1269</v>
      </c>
      <c r="M342" s="23"/>
      <c r="N342" s="21" t="s">
        <v>1269</v>
      </c>
      <c r="O342" s="23"/>
      <c r="P342" s="21" t="s">
        <v>1269</v>
      </c>
      <c r="Q342" s="23"/>
    </row>
    <row r="343" spans="1:17" x14ac:dyDescent="0.25">
      <c r="A343" s="19" t="s">
        <v>804</v>
      </c>
      <c r="B343" s="19" t="s">
        <v>653</v>
      </c>
      <c r="C343" s="19" t="s">
        <v>146</v>
      </c>
      <c r="D343" s="19" t="s">
        <v>805</v>
      </c>
      <c r="E343" s="19" t="s">
        <v>659</v>
      </c>
      <c r="F343" s="21" t="s">
        <v>1269</v>
      </c>
      <c r="G343" s="23"/>
      <c r="H343" s="21" t="s">
        <v>1269</v>
      </c>
      <c r="I343" s="23"/>
      <c r="J343" s="21" t="s">
        <v>1269</v>
      </c>
      <c r="K343" s="23"/>
      <c r="L343" s="21" t="s">
        <v>1269</v>
      </c>
      <c r="M343" s="23"/>
      <c r="N343" s="21" t="s">
        <v>1269</v>
      </c>
      <c r="O343" s="23"/>
      <c r="P343" s="21" t="s">
        <v>1269</v>
      </c>
      <c r="Q343" s="23"/>
    </row>
    <row r="344" spans="1:17" x14ac:dyDescent="0.25">
      <c r="A344" s="19" t="s">
        <v>806</v>
      </c>
      <c r="B344" s="19" t="s">
        <v>653</v>
      </c>
      <c r="C344" s="19" t="s">
        <v>146</v>
      </c>
      <c r="D344" s="19" t="s">
        <v>807</v>
      </c>
      <c r="E344" s="19" t="s">
        <v>733</v>
      </c>
      <c r="F344" s="21" t="s">
        <v>1269</v>
      </c>
      <c r="G344" s="23"/>
      <c r="H344" s="21" t="s">
        <v>1269</v>
      </c>
      <c r="I344" s="23"/>
      <c r="J344" s="21" t="s">
        <v>1269</v>
      </c>
      <c r="K344" s="23"/>
      <c r="L344" s="21" t="s">
        <v>1269</v>
      </c>
      <c r="M344" s="23"/>
      <c r="N344" s="21" t="s">
        <v>1269</v>
      </c>
      <c r="O344" s="23"/>
      <c r="P344" s="21" t="s">
        <v>1269</v>
      </c>
      <c r="Q344" s="23"/>
    </row>
    <row r="345" spans="1:17" x14ac:dyDescent="0.25">
      <c r="A345" s="19" t="s">
        <v>808</v>
      </c>
      <c r="B345" s="19" t="s">
        <v>653</v>
      </c>
      <c r="C345" s="19" t="s">
        <v>146</v>
      </c>
      <c r="D345" s="19" t="s">
        <v>809</v>
      </c>
      <c r="E345" s="19" t="s">
        <v>66</v>
      </c>
      <c r="F345" s="21" t="s">
        <v>1269</v>
      </c>
      <c r="G345" s="23"/>
      <c r="H345" s="21" t="s">
        <v>1269</v>
      </c>
      <c r="I345" s="23"/>
      <c r="J345" s="21" t="s">
        <v>1269</v>
      </c>
      <c r="K345" s="23"/>
      <c r="L345" s="21" t="s">
        <v>1269</v>
      </c>
      <c r="M345" s="23"/>
      <c r="N345" s="21" t="s">
        <v>1269</v>
      </c>
      <c r="O345" s="23"/>
      <c r="P345" s="21" t="s">
        <v>1269</v>
      </c>
      <c r="Q345" s="23"/>
    </row>
    <row r="346" spans="1:17" x14ac:dyDescent="0.25">
      <c r="A346" s="19" t="s">
        <v>810</v>
      </c>
      <c r="B346" s="19" t="s">
        <v>653</v>
      </c>
      <c r="C346" s="19" t="s">
        <v>146</v>
      </c>
      <c r="D346" s="19" t="s">
        <v>811</v>
      </c>
      <c r="E346" s="19" t="s">
        <v>66</v>
      </c>
      <c r="F346" s="21" t="s">
        <v>1269</v>
      </c>
      <c r="G346" s="23"/>
      <c r="H346" s="21" t="s">
        <v>1269</v>
      </c>
      <c r="I346" s="23"/>
      <c r="J346" s="21" t="s">
        <v>1269</v>
      </c>
      <c r="K346" s="23"/>
      <c r="L346" s="21" t="s">
        <v>1269</v>
      </c>
      <c r="M346" s="23"/>
      <c r="N346" s="21" t="s">
        <v>1269</v>
      </c>
      <c r="O346" s="23"/>
      <c r="P346" s="21" t="s">
        <v>1269</v>
      </c>
      <c r="Q346" s="23"/>
    </row>
    <row r="347" spans="1:17" x14ac:dyDescent="0.25">
      <c r="A347" s="19" t="s">
        <v>812</v>
      </c>
      <c r="B347" s="19" t="s">
        <v>653</v>
      </c>
      <c r="C347" s="19" t="s">
        <v>146</v>
      </c>
      <c r="D347" s="19" t="s">
        <v>813</v>
      </c>
      <c r="E347" s="19" t="s">
        <v>662</v>
      </c>
      <c r="F347" s="21" t="s">
        <v>1269</v>
      </c>
      <c r="G347" s="23"/>
      <c r="H347" s="21" t="s">
        <v>1269</v>
      </c>
      <c r="I347" s="23"/>
      <c r="J347" s="21" t="s">
        <v>1269</v>
      </c>
      <c r="K347" s="23"/>
      <c r="L347" s="21" t="s">
        <v>1269</v>
      </c>
      <c r="M347" s="23"/>
      <c r="N347" s="21" t="s">
        <v>1269</v>
      </c>
      <c r="O347" s="23"/>
      <c r="P347" s="21" t="s">
        <v>1269</v>
      </c>
      <c r="Q347" s="23"/>
    </row>
    <row r="348" spans="1:17" x14ac:dyDescent="0.25">
      <c r="A348" s="19" t="s">
        <v>814</v>
      </c>
      <c r="B348" s="19" t="s">
        <v>653</v>
      </c>
      <c r="C348" s="19" t="s">
        <v>146</v>
      </c>
      <c r="D348" s="19" t="s">
        <v>815</v>
      </c>
      <c r="E348" s="19" t="s">
        <v>662</v>
      </c>
      <c r="F348" s="21" t="s">
        <v>1269</v>
      </c>
      <c r="G348" s="23"/>
      <c r="H348" s="21" t="s">
        <v>1269</v>
      </c>
      <c r="I348" s="23"/>
      <c r="J348" s="21" t="s">
        <v>1269</v>
      </c>
      <c r="K348" s="23"/>
      <c r="L348" s="21" t="s">
        <v>1269</v>
      </c>
      <c r="M348" s="23"/>
      <c r="N348" s="21" t="s">
        <v>1269</v>
      </c>
      <c r="O348" s="23"/>
      <c r="P348" s="21" t="s">
        <v>1269</v>
      </c>
      <c r="Q348" s="23"/>
    </row>
    <row r="349" spans="1:17" x14ac:dyDescent="0.25">
      <c r="A349" s="19" t="s">
        <v>816</v>
      </c>
      <c r="B349" s="19" t="s">
        <v>653</v>
      </c>
      <c r="C349" s="19" t="s">
        <v>146</v>
      </c>
      <c r="D349" s="19" t="s">
        <v>817</v>
      </c>
      <c r="E349" s="19" t="s">
        <v>662</v>
      </c>
      <c r="F349" s="21" t="s">
        <v>1269</v>
      </c>
      <c r="G349" s="23"/>
      <c r="H349" s="21" t="s">
        <v>1269</v>
      </c>
      <c r="I349" s="23"/>
      <c r="J349" s="21" t="s">
        <v>1269</v>
      </c>
      <c r="K349" s="23"/>
      <c r="L349" s="21" t="s">
        <v>1269</v>
      </c>
      <c r="M349" s="23"/>
      <c r="N349" s="21" t="s">
        <v>1269</v>
      </c>
      <c r="O349" s="23"/>
      <c r="P349" s="21" t="s">
        <v>1269</v>
      </c>
      <c r="Q349" s="23"/>
    </row>
    <row r="350" spans="1:17" x14ac:dyDescent="0.25">
      <c r="A350" s="19" t="s">
        <v>818</v>
      </c>
      <c r="B350" s="19" t="s">
        <v>653</v>
      </c>
      <c r="C350" s="19" t="s">
        <v>146</v>
      </c>
      <c r="D350" s="19" t="s">
        <v>819</v>
      </c>
      <c r="E350" s="19" t="s">
        <v>79</v>
      </c>
      <c r="F350" s="21" t="s">
        <v>1269</v>
      </c>
      <c r="G350" s="23"/>
      <c r="H350" s="21" t="s">
        <v>1269</v>
      </c>
      <c r="I350" s="23"/>
      <c r="J350" s="21" t="s">
        <v>1269</v>
      </c>
      <c r="K350" s="23"/>
      <c r="L350" s="21" t="s">
        <v>1269</v>
      </c>
      <c r="M350" s="23"/>
      <c r="N350" s="21" t="s">
        <v>1269</v>
      </c>
      <c r="O350" s="23"/>
      <c r="P350" s="21" t="s">
        <v>1269</v>
      </c>
      <c r="Q350" s="23"/>
    </row>
    <row r="351" spans="1:17" x14ac:dyDescent="0.25">
      <c r="A351" s="19" t="s">
        <v>820</v>
      </c>
      <c r="B351" s="19" t="s">
        <v>653</v>
      </c>
      <c r="C351" s="19" t="s">
        <v>146</v>
      </c>
      <c r="D351" s="19" t="s">
        <v>821</v>
      </c>
      <c r="E351" s="19" t="s">
        <v>667</v>
      </c>
      <c r="F351" s="21" t="s">
        <v>1269</v>
      </c>
      <c r="G351" s="23"/>
      <c r="H351" s="21" t="s">
        <v>1269</v>
      </c>
      <c r="I351" s="23"/>
      <c r="J351" s="21" t="s">
        <v>1269</v>
      </c>
      <c r="K351" s="23"/>
      <c r="L351" s="21" t="s">
        <v>1269</v>
      </c>
      <c r="M351" s="23"/>
      <c r="N351" s="21" t="s">
        <v>1269</v>
      </c>
      <c r="O351" s="23"/>
      <c r="P351" s="21" t="s">
        <v>1269</v>
      </c>
      <c r="Q351" s="23"/>
    </row>
    <row r="352" spans="1:17" x14ac:dyDescent="0.25">
      <c r="A352" s="19" t="s">
        <v>822</v>
      </c>
      <c r="B352" s="19" t="s">
        <v>653</v>
      </c>
      <c r="C352" s="19" t="s">
        <v>146</v>
      </c>
      <c r="D352" s="19" t="s">
        <v>823</v>
      </c>
      <c r="E352" s="19" t="s">
        <v>667</v>
      </c>
      <c r="F352" s="21" t="s">
        <v>1269</v>
      </c>
      <c r="G352" s="23"/>
      <c r="H352" s="21" t="s">
        <v>1269</v>
      </c>
      <c r="I352" s="23"/>
      <c r="J352" s="21" t="s">
        <v>1269</v>
      </c>
      <c r="K352" s="23"/>
      <c r="L352" s="21" t="s">
        <v>1269</v>
      </c>
      <c r="M352" s="23"/>
      <c r="N352" s="21" t="s">
        <v>1269</v>
      </c>
      <c r="O352" s="23"/>
      <c r="P352" s="21" t="s">
        <v>1269</v>
      </c>
      <c r="Q352" s="23"/>
    </row>
    <row r="353" spans="1:17" x14ac:dyDescent="0.25">
      <c r="A353" s="19" t="s">
        <v>824</v>
      </c>
      <c r="B353" s="19" t="s">
        <v>653</v>
      </c>
      <c r="C353" s="19" t="s">
        <v>146</v>
      </c>
      <c r="D353" s="19" t="s">
        <v>825</v>
      </c>
      <c r="E353" s="19" t="s">
        <v>86</v>
      </c>
      <c r="F353" s="21" t="s">
        <v>1269</v>
      </c>
      <c r="G353" s="23"/>
      <c r="H353" s="21" t="s">
        <v>1269</v>
      </c>
      <c r="I353" s="23"/>
      <c r="J353" s="21" t="s">
        <v>1269</v>
      </c>
      <c r="K353" s="23"/>
      <c r="L353" s="21" t="s">
        <v>1269</v>
      </c>
      <c r="M353" s="23"/>
      <c r="N353" s="21" t="s">
        <v>1269</v>
      </c>
      <c r="O353" s="23"/>
      <c r="P353" s="21" t="s">
        <v>1269</v>
      </c>
      <c r="Q353" s="23"/>
    </row>
    <row r="354" spans="1:17" x14ac:dyDescent="0.25">
      <c r="A354" s="19" t="s">
        <v>826</v>
      </c>
      <c r="B354" s="19" t="s">
        <v>653</v>
      </c>
      <c r="C354" s="19" t="s">
        <v>146</v>
      </c>
      <c r="D354" s="19" t="s">
        <v>827</v>
      </c>
      <c r="E354" s="19" t="s">
        <v>89</v>
      </c>
      <c r="F354" s="21" t="s">
        <v>1269</v>
      </c>
      <c r="G354" s="23"/>
      <c r="H354" s="21" t="s">
        <v>1269</v>
      </c>
      <c r="I354" s="23"/>
      <c r="J354" s="21" t="s">
        <v>1269</v>
      </c>
      <c r="K354" s="23"/>
      <c r="L354" s="21" t="s">
        <v>1269</v>
      </c>
      <c r="M354" s="23"/>
      <c r="N354" s="21" t="s">
        <v>1269</v>
      </c>
      <c r="O354" s="23"/>
      <c r="P354" s="21" t="s">
        <v>1269</v>
      </c>
      <c r="Q354" s="23"/>
    </row>
    <row r="355" spans="1:17" x14ac:dyDescent="0.25">
      <c r="A355" s="19" t="s">
        <v>828</v>
      </c>
      <c r="B355" s="19" t="s">
        <v>653</v>
      </c>
      <c r="C355" s="19" t="s">
        <v>146</v>
      </c>
      <c r="D355" s="19" t="s">
        <v>829</v>
      </c>
      <c r="E355" s="19" t="s">
        <v>89</v>
      </c>
      <c r="F355" s="21" t="s">
        <v>1269</v>
      </c>
      <c r="G355" s="23"/>
      <c r="H355" s="21" t="s">
        <v>1269</v>
      </c>
      <c r="I355" s="23"/>
      <c r="J355" s="21" t="s">
        <v>1269</v>
      </c>
      <c r="K355" s="23"/>
      <c r="L355" s="21" t="s">
        <v>1269</v>
      </c>
      <c r="M355" s="23"/>
      <c r="N355" s="21" t="s">
        <v>1269</v>
      </c>
      <c r="O355" s="23"/>
      <c r="P355" s="21" t="s">
        <v>1269</v>
      </c>
      <c r="Q355" s="23"/>
    </row>
    <row r="356" spans="1:17" x14ac:dyDescent="0.25">
      <c r="A356" s="19" t="s">
        <v>830</v>
      </c>
      <c r="B356" s="19" t="s">
        <v>653</v>
      </c>
      <c r="C356" s="19" t="s">
        <v>146</v>
      </c>
      <c r="D356" s="19" t="s">
        <v>831</v>
      </c>
      <c r="E356" s="19" t="s">
        <v>89</v>
      </c>
      <c r="F356" s="21" t="s">
        <v>1269</v>
      </c>
      <c r="G356" s="23"/>
      <c r="H356" s="21" t="s">
        <v>1269</v>
      </c>
      <c r="I356" s="23"/>
      <c r="J356" s="21" t="s">
        <v>1269</v>
      </c>
      <c r="K356" s="23"/>
      <c r="L356" s="21" t="s">
        <v>1269</v>
      </c>
      <c r="M356" s="23"/>
      <c r="N356" s="21" t="s">
        <v>1269</v>
      </c>
      <c r="O356" s="23"/>
      <c r="P356" s="21" t="s">
        <v>1269</v>
      </c>
      <c r="Q356" s="23"/>
    </row>
    <row r="357" spans="1:17" x14ac:dyDescent="0.25">
      <c r="A357" s="19" t="s">
        <v>832</v>
      </c>
      <c r="B357" s="19" t="s">
        <v>653</v>
      </c>
      <c r="C357" s="19" t="s">
        <v>146</v>
      </c>
      <c r="D357" s="19" t="s">
        <v>833</v>
      </c>
      <c r="E357" s="19" t="s">
        <v>674</v>
      </c>
      <c r="F357" s="21" t="s">
        <v>1269</v>
      </c>
      <c r="G357" s="23"/>
      <c r="H357" s="21" t="s">
        <v>1269</v>
      </c>
      <c r="I357" s="23"/>
      <c r="J357" s="21" t="s">
        <v>1269</v>
      </c>
      <c r="K357" s="23"/>
      <c r="L357" s="21" t="s">
        <v>1269</v>
      </c>
      <c r="M357" s="23"/>
      <c r="N357" s="21" t="s">
        <v>1269</v>
      </c>
      <c r="O357" s="23"/>
      <c r="P357" s="21" t="s">
        <v>1269</v>
      </c>
      <c r="Q357" s="23"/>
    </row>
    <row r="358" spans="1:17" x14ac:dyDescent="0.25">
      <c r="A358" s="19" t="s">
        <v>834</v>
      </c>
      <c r="B358" s="19" t="s">
        <v>653</v>
      </c>
      <c r="C358" s="19" t="s">
        <v>146</v>
      </c>
      <c r="D358" s="19" t="s">
        <v>835</v>
      </c>
      <c r="E358" s="19" t="s">
        <v>674</v>
      </c>
      <c r="F358" s="21" t="s">
        <v>1269</v>
      </c>
      <c r="G358" s="23"/>
      <c r="H358" s="21" t="s">
        <v>1269</v>
      </c>
      <c r="I358" s="23"/>
      <c r="J358" s="21" t="s">
        <v>1269</v>
      </c>
      <c r="K358" s="23"/>
      <c r="L358" s="21" t="s">
        <v>1269</v>
      </c>
      <c r="M358" s="23"/>
      <c r="N358" s="21" t="s">
        <v>1269</v>
      </c>
      <c r="O358" s="23"/>
      <c r="P358" s="21" t="s">
        <v>1269</v>
      </c>
      <c r="Q358" s="23"/>
    </row>
    <row r="359" spans="1:17" x14ac:dyDescent="0.25">
      <c r="A359" s="19" t="s">
        <v>836</v>
      </c>
      <c r="B359" s="19" t="s">
        <v>653</v>
      </c>
      <c r="C359" s="19" t="s">
        <v>146</v>
      </c>
      <c r="D359" s="19" t="s">
        <v>837</v>
      </c>
      <c r="E359" s="19" t="s">
        <v>764</v>
      </c>
      <c r="F359" s="21" t="s">
        <v>1269</v>
      </c>
      <c r="G359" s="23"/>
      <c r="H359" s="21" t="s">
        <v>1269</v>
      </c>
      <c r="I359" s="23"/>
      <c r="J359" s="21" t="s">
        <v>1269</v>
      </c>
      <c r="K359" s="23"/>
      <c r="L359" s="21" t="s">
        <v>1269</v>
      </c>
      <c r="M359" s="23"/>
      <c r="N359" s="21" t="s">
        <v>1269</v>
      </c>
      <c r="O359" s="23"/>
      <c r="P359" s="21" t="s">
        <v>1269</v>
      </c>
      <c r="Q359" s="23"/>
    </row>
    <row r="360" spans="1:17" x14ac:dyDescent="0.25">
      <c r="A360" s="19" t="s">
        <v>838</v>
      </c>
      <c r="B360" s="19" t="s">
        <v>653</v>
      </c>
      <c r="C360" s="19" t="s">
        <v>146</v>
      </c>
      <c r="D360" s="19" t="s">
        <v>839</v>
      </c>
      <c r="E360" s="19" t="s">
        <v>764</v>
      </c>
      <c r="F360" s="21" t="s">
        <v>1269</v>
      </c>
      <c r="G360" s="23"/>
      <c r="H360" s="21" t="s">
        <v>1269</v>
      </c>
      <c r="I360" s="23"/>
      <c r="J360" s="21" t="s">
        <v>1269</v>
      </c>
      <c r="K360" s="23"/>
      <c r="L360" s="21" t="s">
        <v>1269</v>
      </c>
      <c r="M360" s="23"/>
      <c r="N360" s="21" t="s">
        <v>1269</v>
      </c>
      <c r="O360" s="23"/>
      <c r="P360" s="21" t="s">
        <v>1269</v>
      </c>
      <c r="Q360" s="23"/>
    </row>
    <row r="361" spans="1:17" x14ac:dyDescent="0.25">
      <c r="A361" s="19" t="s">
        <v>840</v>
      </c>
      <c r="B361" s="19" t="s">
        <v>653</v>
      </c>
      <c r="C361" s="19" t="s">
        <v>146</v>
      </c>
      <c r="D361" s="19" t="s">
        <v>841</v>
      </c>
      <c r="E361" s="19" t="s">
        <v>679</v>
      </c>
      <c r="F361" s="21" t="s">
        <v>1269</v>
      </c>
      <c r="G361" s="23"/>
      <c r="H361" s="21" t="s">
        <v>1269</v>
      </c>
      <c r="I361" s="23"/>
      <c r="J361" s="21" t="s">
        <v>1269</v>
      </c>
      <c r="K361" s="23"/>
      <c r="L361" s="21" t="s">
        <v>1269</v>
      </c>
      <c r="M361" s="23"/>
      <c r="N361" s="21" t="s">
        <v>1269</v>
      </c>
      <c r="O361" s="23"/>
      <c r="P361" s="21" t="s">
        <v>1269</v>
      </c>
      <c r="Q361" s="23"/>
    </row>
    <row r="362" spans="1:17" x14ac:dyDescent="0.25">
      <c r="A362" s="19" t="s">
        <v>842</v>
      </c>
      <c r="B362" s="19" t="s">
        <v>653</v>
      </c>
      <c r="C362" s="19" t="s">
        <v>146</v>
      </c>
      <c r="D362" s="19" t="s">
        <v>843</v>
      </c>
      <c r="E362" s="19" t="s">
        <v>682</v>
      </c>
      <c r="F362" s="21" t="s">
        <v>1269</v>
      </c>
      <c r="G362" s="23"/>
      <c r="H362" s="21" t="s">
        <v>1269</v>
      </c>
      <c r="I362" s="23"/>
      <c r="J362" s="21" t="s">
        <v>1269</v>
      </c>
      <c r="K362" s="23"/>
      <c r="L362" s="21" t="s">
        <v>1269</v>
      </c>
      <c r="M362" s="23"/>
      <c r="N362" s="21" t="s">
        <v>1269</v>
      </c>
      <c r="O362" s="23"/>
      <c r="P362" s="21" t="s">
        <v>1269</v>
      </c>
      <c r="Q362" s="23"/>
    </row>
    <row r="363" spans="1:17" x14ac:dyDescent="0.25">
      <c r="A363" s="19" t="s">
        <v>844</v>
      </c>
      <c r="B363" s="19" t="s">
        <v>653</v>
      </c>
      <c r="C363" s="19" t="s">
        <v>146</v>
      </c>
      <c r="D363" s="19" t="s">
        <v>845</v>
      </c>
      <c r="E363" s="19" t="s">
        <v>113</v>
      </c>
      <c r="F363" s="21" t="s">
        <v>1269</v>
      </c>
      <c r="G363" s="23"/>
      <c r="H363" s="21" t="s">
        <v>1269</v>
      </c>
      <c r="I363" s="23"/>
      <c r="J363" s="21" t="s">
        <v>1269</v>
      </c>
      <c r="K363" s="23"/>
      <c r="L363" s="21" t="s">
        <v>1269</v>
      </c>
      <c r="M363" s="23"/>
      <c r="N363" s="21" t="s">
        <v>1269</v>
      </c>
      <c r="O363" s="23"/>
      <c r="P363" s="21" t="s">
        <v>1269</v>
      </c>
      <c r="Q363" s="23"/>
    </row>
    <row r="364" spans="1:17" x14ac:dyDescent="0.25">
      <c r="A364" s="19" t="s">
        <v>846</v>
      </c>
      <c r="B364" s="19" t="s">
        <v>653</v>
      </c>
      <c r="C364" s="19" t="s">
        <v>146</v>
      </c>
      <c r="D364" s="19" t="s">
        <v>847</v>
      </c>
      <c r="E364" s="19" t="s">
        <v>120</v>
      </c>
      <c r="F364" s="21" t="s">
        <v>1269</v>
      </c>
      <c r="G364" s="23"/>
      <c r="H364" s="21" t="s">
        <v>1269</v>
      </c>
      <c r="I364" s="23"/>
      <c r="J364" s="21" t="s">
        <v>1269</v>
      </c>
      <c r="K364" s="23"/>
      <c r="L364" s="21" t="s">
        <v>1269</v>
      </c>
      <c r="M364" s="23"/>
      <c r="N364" s="21" t="s">
        <v>1269</v>
      </c>
      <c r="O364" s="23"/>
      <c r="P364" s="21" t="s">
        <v>1269</v>
      </c>
      <c r="Q364" s="23"/>
    </row>
    <row r="365" spans="1:17" x14ac:dyDescent="0.25">
      <c r="A365" s="19" t="s">
        <v>848</v>
      </c>
      <c r="B365" s="19" t="s">
        <v>653</v>
      </c>
      <c r="C365" s="19" t="s">
        <v>146</v>
      </c>
      <c r="D365" s="19" t="s">
        <v>849</v>
      </c>
      <c r="E365" s="19" t="s">
        <v>120</v>
      </c>
      <c r="F365" s="21" t="s">
        <v>1269</v>
      </c>
      <c r="G365" s="23"/>
      <c r="H365" s="21" t="s">
        <v>1269</v>
      </c>
      <c r="I365" s="23"/>
      <c r="J365" s="21" t="s">
        <v>1269</v>
      </c>
      <c r="K365" s="23"/>
      <c r="L365" s="21" t="s">
        <v>1269</v>
      </c>
      <c r="M365" s="23"/>
      <c r="N365" s="21" t="s">
        <v>1269</v>
      </c>
      <c r="O365" s="23"/>
      <c r="P365" s="21" t="s">
        <v>1269</v>
      </c>
      <c r="Q365" s="23"/>
    </row>
    <row r="366" spans="1:17" x14ac:dyDescent="0.25">
      <c r="A366" s="19" t="s">
        <v>850</v>
      </c>
      <c r="B366" s="19" t="s">
        <v>653</v>
      </c>
      <c r="C366" s="19" t="s">
        <v>146</v>
      </c>
      <c r="D366" s="19" t="s">
        <v>851</v>
      </c>
      <c r="E366" s="19" t="s">
        <v>120</v>
      </c>
      <c r="F366" s="21" t="s">
        <v>1269</v>
      </c>
      <c r="G366" s="23"/>
      <c r="H366" s="21" t="s">
        <v>1269</v>
      </c>
      <c r="I366" s="23"/>
      <c r="J366" s="21" t="s">
        <v>1269</v>
      </c>
      <c r="K366" s="23"/>
      <c r="L366" s="21" t="s">
        <v>1269</v>
      </c>
      <c r="M366" s="23"/>
      <c r="N366" s="21" t="s">
        <v>1269</v>
      </c>
      <c r="O366" s="23"/>
      <c r="P366" s="21" t="s">
        <v>1269</v>
      </c>
      <c r="Q366" s="23"/>
    </row>
    <row r="367" spans="1:17" x14ac:dyDescent="0.25">
      <c r="A367" s="19" t="s">
        <v>852</v>
      </c>
      <c r="B367" s="19" t="s">
        <v>653</v>
      </c>
      <c r="C367" s="19" t="s">
        <v>146</v>
      </c>
      <c r="D367" s="19" t="s">
        <v>853</v>
      </c>
      <c r="E367" s="19" t="s">
        <v>700</v>
      </c>
      <c r="F367" s="21" t="s">
        <v>1269</v>
      </c>
      <c r="G367" s="23"/>
      <c r="H367" s="21" t="s">
        <v>1269</v>
      </c>
      <c r="I367" s="23"/>
      <c r="J367" s="21" t="s">
        <v>1269</v>
      </c>
      <c r="K367" s="23"/>
      <c r="L367" s="21" t="s">
        <v>1269</v>
      </c>
      <c r="M367" s="23"/>
      <c r="N367" s="21" t="s">
        <v>1269</v>
      </c>
      <c r="O367" s="23"/>
      <c r="P367" s="21" t="s">
        <v>1269</v>
      </c>
      <c r="Q367" s="23"/>
    </row>
    <row r="368" spans="1:17" x14ac:dyDescent="0.25">
      <c r="A368" s="19" t="s">
        <v>854</v>
      </c>
      <c r="B368" s="19" t="s">
        <v>653</v>
      </c>
      <c r="C368" s="19" t="s">
        <v>146</v>
      </c>
      <c r="D368" s="19" t="s">
        <v>855</v>
      </c>
      <c r="E368" s="19" t="s">
        <v>700</v>
      </c>
      <c r="F368" s="21" t="s">
        <v>1269</v>
      </c>
      <c r="G368" s="23"/>
      <c r="H368" s="21" t="s">
        <v>1269</v>
      </c>
      <c r="I368" s="23"/>
      <c r="J368" s="21" t="s">
        <v>1269</v>
      </c>
      <c r="K368" s="23"/>
      <c r="L368" s="21" t="s">
        <v>1269</v>
      </c>
      <c r="M368" s="23"/>
      <c r="N368" s="21" t="s">
        <v>1269</v>
      </c>
      <c r="O368" s="23"/>
      <c r="P368" s="21" t="s">
        <v>1269</v>
      </c>
      <c r="Q368" s="23"/>
    </row>
    <row r="369" spans="1:17" x14ac:dyDescent="0.25">
      <c r="A369" s="19" t="s">
        <v>856</v>
      </c>
      <c r="B369" s="19" t="s">
        <v>653</v>
      </c>
      <c r="C369" s="19" t="s">
        <v>146</v>
      </c>
      <c r="D369" s="19" t="s">
        <v>857</v>
      </c>
      <c r="E369" s="19" t="s">
        <v>700</v>
      </c>
      <c r="F369" s="21" t="s">
        <v>1269</v>
      </c>
      <c r="G369" s="23"/>
      <c r="H369" s="21" t="s">
        <v>1269</v>
      </c>
      <c r="I369" s="23"/>
      <c r="J369" s="21" t="s">
        <v>1269</v>
      </c>
      <c r="K369" s="23"/>
      <c r="L369" s="21" t="s">
        <v>1269</v>
      </c>
      <c r="M369" s="23"/>
      <c r="N369" s="21" t="s">
        <v>1269</v>
      </c>
      <c r="O369" s="23"/>
      <c r="P369" s="21" t="s">
        <v>1269</v>
      </c>
      <c r="Q369" s="23"/>
    </row>
    <row r="370" spans="1:17" x14ac:dyDescent="0.25">
      <c r="A370" s="19" t="s">
        <v>858</v>
      </c>
      <c r="B370" s="19" t="s">
        <v>653</v>
      </c>
      <c r="C370" s="19" t="s">
        <v>146</v>
      </c>
      <c r="D370" s="19" t="s">
        <v>859</v>
      </c>
      <c r="E370" s="19" t="s">
        <v>205</v>
      </c>
      <c r="F370" s="21" t="s">
        <v>1269</v>
      </c>
      <c r="G370" s="23"/>
      <c r="H370" s="21" t="s">
        <v>1269</v>
      </c>
      <c r="I370" s="23"/>
      <c r="J370" s="21" t="s">
        <v>1269</v>
      </c>
      <c r="K370" s="23"/>
      <c r="L370" s="21" t="s">
        <v>1269</v>
      </c>
      <c r="M370" s="23"/>
      <c r="N370" s="21" t="s">
        <v>1269</v>
      </c>
      <c r="O370" s="23"/>
      <c r="P370" s="21" t="s">
        <v>1269</v>
      </c>
      <c r="Q370" s="23"/>
    </row>
    <row r="371" spans="1:17" x14ac:dyDescent="0.25">
      <c r="A371" s="19" t="s">
        <v>860</v>
      </c>
      <c r="B371" s="19" t="s">
        <v>653</v>
      </c>
      <c r="C371" s="19" t="s">
        <v>146</v>
      </c>
      <c r="D371" s="19" t="s">
        <v>861</v>
      </c>
      <c r="E371" s="19" t="s">
        <v>705</v>
      </c>
      <c r="F371" s="21" t="s">
        <v>1269</v>
      </c>
      <c r="G371" s="23"/>
      <c r="H371" s="21" t="s">
        <v>1269</v>
      </c>
      <c r="I371" s="23"/>
      <c r="J371" s="21" t="s">
        <v>1269</v>
      </c>
      <c r="K371" s="23"/>
      <c r="L371" s="21" t="s">
        <v>1269</v>
      </c>
      <c r="M371" s="23"/>
      <c r="N371" s="21" t="s">
        <v>1269</v>
      </c>
      <c r="O371" s="23"/>
      <c r="P371" s="21" t="s">
        <v>1269</v>
      </c>
      <c r="Q371" s="23"/>
    </row>
    <row r="372" spans="1:17" x14ac:dyDescent="0.25">
      <c r="A372" s="19" t="s">
        <v>862</v>
      </c>
      <c r="B372" s="19" t="s">
        <v>653</v>
      </c>
      <c r="C372" s="19" t="s">
        <v>146</v>
      </c>
      <c r="D372" s="19" t="s">
        <v>863</v>
      </c>
      <c r="E372" s="19" t="s">
        <v>791</v>
      </c>
      <c r="F372" s="21" t="s">
        <v>1269</v>
      </c>
      <c r="G372" s="23"/>
      <c r="H372" s="21" t="s">
        <v>1269</v>
      </c>
      <c r="I372" s="23"/>
      <c r="J372" s="21" t="s">
        <v>1269</v>
      </c>
      <c r="K372" s="23"/>
      <c r="L372" s="21" t="s">
        <v>1269</v>
      </c>
      <c r="M372" s="23"/>
      <c r="N372" s="21" t="s">
        <v>1269</v>
      </c>
      <c r="O372" s="23"/>
      <c r="P372" s="21" t="s">
        <v>1269</v>
      </c>
      <c r="Q372" s="23"/>
    </row>
    <row r="373" spans="1:17" x14ac:dyDescent="0.25">
      <c r="A373" s="19" t="s">
        <v>864</v>
      </c>
      <c r="B373" s="19" t="s">
        <v>653</v>
      </c>
      <c r="C373" s="19" t="s">
        <v>146</v>
      </c>
      <c r="D373" s="19" t="s">
        <v>865</v>
      </c>
      <c r="E373" s="19" t="s">
        <v>794</v>
      </c>
      <c r="F373" s="21" t="s">
        <v>1269</v>
      </c>
      <c r="G373" s="23"/>
      <c r="H373" s="21" t="s">
        <v>1269</v>
      </c>
      <c r="I373" s="23"/>
      <c r="J373" s="21" t="s">
        <v>1269</v>
      </c>
      <c r="K373" s="23"/>
      <c r="L373" s="21" t="s">
        <v>1269</v>
      </c>
      <c r="M373" s="23"/>
      <c r="N373" s="21" t="s">
        <v>1269</v>
      </c>
      <c r="O373" s="23"/>
      <c r="P373" s="21" t="s">
        <v>1269</v>
      </c>
      <c r="Q373" s="23"/>
    </row>
    <row r="374" spans="1:17" x14ac:dyDescent="0.25">
      <c r="A374" s="19" t="s">
        <v>866</v>
      </c>
      <c r="B374" s="19" t="s">
        <v>653</v>
      </c>
      <c r="C374" s="19" t="s">
        <v>146</v>
      </c>
      <c r="D374" s="19" t="s">
        <v>867</v>
      </c>
      <c r="E374" s="19" t="s">
        <v>711</v>
      </c>
      <c r="F374" s="21" t="s">
        <v>1269</v>
      </c>
      <c r="G374" s="23"/>
      <c r="H374" s="21" t="s">
        <v>1269</v>
      </c>
      <c r="I374" s="23"/>
      <c r="J374" s="21" t="s">
        <v>1269</v>
      </c>
      <c r="K374" s="23"/>
      <c r="L374" s="21" t="s">
        <v>1269</v>
      </c>
      <c r="M374" s="23"/>
      <c r="N374" s="21" t="s">
        <v>1269</v>
      </c>
      <c r="O374" s="23"/>
      <c r="P374" s="21" t="s">
        <v>1269</v>
      </c>
      <c r="Q374" s="23"/>
    </row>
    <row r="375" spans="1:17" x14ac:dyDescent="0.25">
      <c r="A375" s="19" t="s">
        <v>868</v>
      </c>
      <c r="B375" s="19" t="s">
        <v>653</v>
      </c>
      <c r="C375" s="19" t="s">
        <v>146</v>
      </c>
      <c r="D375" s="19" t="s">
        <v>869</v>
      </c>
      <c r="E375" s="19" t="s">
        <v>725</v>
      </c>
      <c r="F375" s="21" t="s">
        <v>1269</v>
      </c>
      <c r="G375" s="23"/>
      <c r="H375" s="21" t="s">
        <v>1269</v>
      </c>
      <c r="I375" s="23"/>
      <c r="J375" s="21" t="s">
        <v>1269</v>
      </c>
      <c r="K375" s="23"/>
      <c r="L375" s="21" t="s">
        <v>1269</v>
      </c>
      <c r="M375" s="23"/>
      <c r="N375" s="21" t="s">
        <v>1269</v>
      </c>
      <c r="O375" s="23"/>
      <c r="P375" s="21" t="s">
        <v>1269</v>
      </c>
      <c r="Q375" s="23"/>
    </row>
    <row r="376" spans="1:17" x14ac:dyDescent="0.25">
      <c r="A376" s="19" t="s">
        <v>870</v>
      </c>
      <c r="B376" s="19" t="s">
        <v>653</v>
      </c>
      <c r="C376" s="19" t="s">
        <v>146</v>
      </c>
      <c r="D376" s="19" t="s">
        <v>871</v>
      </c>
      <c r="E376" s="19" t="s">
        <v>799</v>
      </c>
      <c r="F376" s="21" t="s">
        <v>1269</v>
      </c>
      <c r="G376" s="23"/>
      <c r="H376" s="21" t="s">
        <v>1269</v>
      </c>
      <c r="I376" s="23"/>
      <c r="J376" s="21" t="s">
        <v>1269</v>
      </c>
      <c r="K376" s="23"/>
      <c r="L376" s="21" t="s">
        <v>1269</v>
      </c>
      <c r="M376" s="23"/>
      <c r="N376" s="21" t="s">
        <v>1269</v>
      </c>
      <c r="O376" s="23"/>
      <c r="P376" s="21" t="s">
        <v>1269</v>
      </c>
      <c r="Q376" s="23"/>
    </row>
    <row r="377" spans="1:17" x14ac:dyDescent="0.25">
      <c r="A377" s="19" t="s">
        <v>872</v>
      </c>
      <c r="B377" s="19" t="s">
        <v>653</v>
      </c>
      <c r="C377" s="19" t="s">
        <v>221</v>
      </c>
      <c r="D377" s="19" t="s">
        <v>873</v>
      </c>
      <c r="E377" s="19" t="s">
        <v>659</v>
      </c>
      <c r="F377" s="21" t="s">
        <v>1269</v>
      </c>
      <c r="G377" s="23"/>
      <c r="H377" s="21" t="s">
        <v>1269</v>
      </c>
      <c r="I377" s="23"/>
      <c r="J377" s="21" t="s">
        <v>1269</v>
      </c>
      <c r="K377" s="23"/>
      <c r="L377" s="21" t="s">
        <v>1269</v>
      </c>
      <c r="M377" s="23"/>
      <c r="N377" s="21" t="s">
        <v>1269</v>
      </c>
      <c r="O377" s="23"/>
      <c r="P377" s="21" t="s">
        <v>1269</v>
      </c>
      <c r="Q377" s="23"/>
    </row>
    <row r="378" spans="1:17" x14ac:dyDescent="0.25">
      <c r="A378" s="19" t="s">
        <v>874</v>
      </c>
      <c r="B378" s="19" t="s">
        <v>653</v>
      </c>
      <c r="C378" s="19" t="s">
        <v>221</v>
      </c>
      <c r="D378" s="19" t="s">
        <v>875</v>
      </c>
      <c r="E378" s="19" t="s">
        <v>733</v>
      </c>
      <c r="F378" s="21" t="s">
        <v>1269</v>
      </c>
      <c r="G378" s="23"/>
      <c r="H378" s="21" t="s">
        <v>1269</v>
      </c>
      <c r="I378" s="23"/>
      <c r="J378" s="21" t="s">
        <v>1269</v>
      </c>
      <c r="K378" s="23"/>
      <c r="L378" s="21" t="s">
        <v>1269</v>
      </c>
      <c r="M378" s="23"/>
      <c r="N378" s="21" t="s">
        <v>1269</v>
      </c>
      <c r="O378" s="23"/>
      <c r="P378" s="21" t="s">
        <v>1269</v>
      </c>
      <c r="Q378" s="23"/>
    </row>
    <row r="379" spans="1:17" x14ac:dyDescent="0.25">
      <c r="A379" s="19" t="s">
        <v>876</v>
      </c>
      <c r="B379" s="19" t="s">
        <v>653</v>
      </c>
      <c r="C379" s="19" t="s">
        <v>221</v>
      </c>
      <c r="D379" s="19" t="s">
        <v>877</v>
      </c>
      <c r="E379" s="19" t="s">
        <v>66</v>
      </c>
      <c r="F379" s="21" t="s">
        <v>1269</v>
      </c>
      <c r="G379" s="23"/>
      <c r="H379" s="21" t="s">
        <v>1269</v>
      </c>
      <c r="I379" s="23"/>
      <c r="J379" s="21" t="s">
        <v>1269</v>
      </c>
      <c r="K379" s="23"/>
      <c r="L379" s="21" t="s">
        <v>1269</v>
      </c>
      <c r="M379" s="23"/>
      <c r="N379" s="21" t="s">
        <v>1269</v>
      </c>
      <c r="O379" s="23"/>
      <c r="P379" s="21" t="s">
        <v>1269</v>
      </c>
      <c r="Q379" s="23"/>
    </row>
    <row r="380" spans="1:17" x14ac:dyDescent="0.25">
      <c r="A380" s="19" t="s">
        <v>878</v>
      </c>
      <c r="B380" s="19" t="s">
        <v>653</v>
      </c>
      <c r="C380" s="19" t="s">
        <v>221</v>
      </c>
      <c r="D380" s="19" t="s">
        <v>879</v>
      </c>
      <c r="E380" s="19" t="s">
        <v>66</v>
      </c>
      <c r="F380" s="21" t="s">
        <v>1269</v>
      </c>
      <c r="G380" s="23"/>
      <c r="H380" s="21" t="s">
        <v>1269</v>
      </c>
      <c r="I380" s="23"/>
      <c r="J380" s="21" t="s">
        <v>1269</v>
      </c>
      <c r="K380" s="23"/>
      <c r="L380" s="21" t="s">
        <v>1269</v>
      </c>
      <c r="M380" s="23"/>
      <c r="N380" s="21" t="s">
        <v>1269</v>
      </c>
      <c r="O380" s="23"/>
      <c r="P380" s="21" t="s">
        <v>1269</v>
      </c>
      <c r="Q380" s="23"/>
    </row>
    <row r="381" spans="1:17" x14ac:dyDescent="0.25">
      <c r="A381" s="19" t="s">
        <v>880</v>
      </c>
      <c r="B381" s="19" t="s">
        <v>653</v>
      </c>
      <c r="C381" s="19" t="s">
        <v>221</v>
      </c>
      <c r="D381" s="19" t="s">
        <v>881</v>
      </c>
      <c r="E381" s="19" t="s">
        <v>662</v>
      </c>
      <c r="F381" s="21" t="s">
        <v>1269</v>
      </c>
      <c r="G381" s="23"/>
      <c r="H381" s="21" t="s">
        <v>1269</v>
      </c>
      <c r="I381" s="23"/>
      <c r="J381" s="21" t="s">
        <v>1269</v>
      </c>
      <c r="K381" s="23"/>
      <c r="L381" s="21" t="s">
        <v>1269</v>
      </c>
      <c r="M381" s="23"/>
      <c r="N381" s="21" t="s">
        <v>1269</v>
      </c>
      <c r="O381" s="23"/>
      <c r="P381" s="21" t="s">
        <v>1269</v>
      </c>
      <c r="Q381" s="23"/>
    </row>
    <row r="382" spans="1:17" x14ac:dyDescent="0.25">
      <c r="A382" s="19" t="s">
        <v>882</v>
      </c>
      <c r="B382" s="19" t="s">
        <v>653</v>
      </c>
      <c r="C382" s="19" t="s">
        <v>221</v>
      </c>
      <c r="D382" s="19" t="s">
        <v>883</v>
      </c>
      <c r="E382" s="19" t="s">
        <v>662</v>
      </c>
      <c r="F382" s="21" t="s">
        <v>1269</v>
      </c>
      <c r="G382" s="23"/>
      <c r="H382" s="21" t="s">
        <v>1269</v>
      </c>
      <c r="I382" s="23"/>
      <c r="J382" s="21" t="s">
        <v>1269</v>
      </c>
      <c r="K382" s="23"/>
      <c r="L382" s="21" t="s">
        <v>1269</v>
      </c>
      <c r="M382" s="23"/>
      <c r="N382" s="21" t="s">
        <v>1269</v>
      </c>
      <c r="O382" s="23"/>
      <c r="P382" s="21" t="s">
        <v>1269</v>
      </c>
      <c r="Q382" s="23"/>
    </row>
    <row r="383" spans="1:17" x14ac:dyDescent="0.25">
      <c r="A383" s="19" t="s">
        <v>884</v>
      </c>
      <c r="B383" s="19" t="s">
        <v>653</v>
      </c>
      <c r="C383" s="19" t="s">
        <v>221</v>
      </c>
      <c r="D383" s="19" t="s">
        <v>885</v>
      </c>
      <c r="E383" s="19" t="s">
        <v>662</v>
      </c>
      <c r="F383" s="21" t="s">
        <v>1269</v>
      </c>
      <c r="G383" s="23"/>
      <c r="H383" s="21" t="s">
        <v>1269</v>
      </c>
      <c r="I383" s="23"/>
      <c r="J383" s="21" t="s">
        <v>1269</v>
      </c>
      <c r="K383" s="23"/>
      <c r="L383" s="21" t="s">
        <v>1269</v>
      </c>
      <c r="M383" s="23"/>
      <c r="N383" s="21" t="s">
        <v>1269</v>
      </c>
      <c r="O383" s="23"/>
      <c r="P383" s="21" t="s">
        <v>1269</v>
      </c>
      <c r="Q383" s="23"/>
    </row>
    <row r="384" spans="1:17" x14ac:dyDescent="0.25">
      <c r="A384" s="19" t="s">
        <v>886</v>
      </c>
      <c r="B384" s="19" t="s">
        <v>653</v>
      </c>
      <c r="C384" s="19" t="s">
        <v>221</v>
      </c>
      <c r="D384" s="19" t="s">
        <v>887</v>
      </c>
      <c r="E384" s="19" t="s">
        <v>79</v>
      </c>
      <c r="F384" s="21" t="s">
        <v>1269</v>
      </c>
      <c r="G384" s="23"/>
      <c r="H384" s="21" t="s">
        <v>1269</v>
      </c>
      <c r="I384" s="23"/>
      <c r="J384" s="21" t="s">
        <v>1269</v>
      </c>
      <c r="K384" s="23"/>
      <c r="L384" s="21" t="s">
        <v>1269</v>
      </c>
      <c r="M384" s="23"/>
      <c r="N384" s="21" t="s">
        <v>1269</v>
      </c>
      <c r="O384" s="23"/>
      <c r="P384" s="21" t="s">
        <v>1269</v>
      </c>
      <c r="Q384" s="23"/>
    </row>
    <row r="385" spans="1:17" x14ac:dyDescent="0.25">
      <c r="A385" s="19" t="s">
        <v>888</v>
      </c>
      <c r="B385" s="19" t="s">
        <v>653</v>
      </c>
      <c r="C385" s="19" t="s">
        <v>221</v>
      </c>
      <c r="D385" s="19" t="s">
        <v>889</v>
      </c>
      <c r="E385" s="19" t="s">
        <v>667</v>
      </c>
      <c r="F385" s="21" t="s">
        <v>1269</v>
      </c>
      <c r="G385" s="23"/>
      <c r="H385" s="21" t="s">
        <v>1269</v>
      </c>
      <c r="I385" s="23"/>
      <c r="J385" s="21" t="s">
        <v>1269</v>
      </c>
      <c r="K385" s="23"/>
      <c r="L385" s="21" t="s">
        <v>1269</v>
      </c>
      <c r="M385" s="23"/>
      <c r="N385" s="21" t="s">
        <v>1269</v>
      </c>
      <c r="O385" s="23"/>
      <c r="P385" s="21" t="s">
        <v>1269</v>
      </c>
      <c r="Q385" s="23"/>
    </row>
    <row r="386" spans="1:17" x14ac:dyDescent="0.25">
      <c r="A386" s="19" t="s">
        <v>890</v>
      </c>
      <c r="B386" s="19" t="s">
        <v>653</v>
      </c>
      <c r="C386" s="19" t="s">
        <v>221</v>
      </c>
      <c r="D386" s="19" t="s">
        <v>891</v>
      </c>
      <c r="E386" s="19" t="s">
        <v>667</v>
      </c>
      <c r="F386" s="21" t="s">
        <v>1269</v>
      </c>
      <c r="G386" s="23"/>
      <c r="H386" s="21" t="s">
        <v>1269</v>
      </c>
      <c r="I386" s="23"/>
      <c r="J386" s="21" t="s">
        <v>1269</v>
      </c>
      <c r="K386" s="23"/>
      <c r="L386" s="21" t="s">
        <v>1269</v>
      </c>
      <c r="M386" s="23"/>
      <c r="N386" s="21" t="s">
        <v>1269</v>
      </c>
      <c r="O386" s="23"/>
      <c r="P386" s="21" t="s">
        <v>1269</v>
      </c>
      <c r="Q386" s="23"/>
    </row>
    <row r="387" spans="1:17" x14ac:dyDescent="0.25">
      <c r="A387" s="19" t="s">
        <v>892</v>
      </c>
      <c r="B387" s="19" t="s">
        <v>653</v>
      </c>
      <c r="C387" s="19" t="s">
        <v>221</v>
      </c>
      <c r="D387" s="19" t="s">
        <v>893</v>
      </c>
      <c r="E387" s="19" t="s">
        <v>86</v>
      </c>
      <c r="F387" s="21" t="s">
        <v>1269</v>
      </c>
      <c r="G387" s="23"/>
      <c r="H387" s="21" t="s">
        <v>1269</v>
      </c>
      <c r="I387" s="23"/>
      <c r="J387" s="21" t="s">
        <v>1269</v>
      </c>
      <c r="K387" s="23"/>
      <c r="L387" s="21" t="s">
        <v>1269</v>
      </c>
      <c r="M387" s="23"/>
      <c r="N387" s="21" t="s">
        <v>1269</v>
      </c>
      <c r="O387" s="23"/>
      <c r="P387" s="21" t="s">
        <v>1269</v>
      </c>
      <c r="Q387" s="23"/>
    </row>
    <row r="388" spans="1:17" x14ac:dyDescent="0.25">
      <c r="A388" s="19" t="s">
        <v>894</v>
      </c>
      <c r="B388" s="19" t="s">
        <v>653</v>
      </c>
      <c r="C388" s="19" t="s">
        <v>221</v>
      </c>
      <c r="D388" s="19" t="s">
        <v>895</v>
      </c>
      <c r="E388" s="19" t="s">
        <v>89</v>
      </c>
      <c r="F388" s="21" t="s">
        <v>1269</v>
      </c>
      <c r="G388" s="23"/>
      <c r="H388" s="21" t="s">
        <v>1269</v>
      </c>
      <c r="I388" s="23"/>
      <c r="J388" s="21" t="s">
        <v>1269</v>
      </c>
      <c r="K388" s="23"/>
      <c r="L388" s="21" t="s">
        <v>1269</v>
      </c>
      <c r="M388" s="23"/>
      <c r="N388" s="21" t="s">
        <v>1269</v>
      </c>
      <c r="O388" s="23"/>
      <c r="P388" s="21" t="s">
        <v>1269</v>
      </c>
      <c r="Q388" s="23"/>
    </row>
    <row r="389" spans="1:17" x14ac:dyDescent="0.25">
      <c r="A389" s="19" t="s">
        <v>896</v>
      </c>
      <c r="B389" s="19" t="s">
        <v>653</v>
      </c>
      <c r="C389" s="19" t="s">
        <v>221</v>
      </c>
      <c r="D389" s="19" t="s">
        <v>897</v>
      </c>
      <c r="E389" s="19" t="s">
        <v>89</v>
      </c>
      <c r="F389" s="21" t="s">
        <v>1269</v>
      </c>
      <c r="G389" s="23"/>
      <c r="H389" s="21" t="s">
        <v>1269</v>
      </c>
      <c r="I389" s="23"/>
      <c r="J389" s="21" t="s">
        <v>1269</v>
      </c>
      <c r="K389" s="23"/>
      <c r="L389" s="21" t="s">
        <v>1269</v>
      </c>
      <c r="M389" s="23"/>
      <c r="N389" s="21" t="s">
        <v>1269</v>
      </c>
      <c r="O389" s="23"/>
      <c r="P389" s="21" t="s">
        <v>1269</v>
      </c>
      <c r="Q389" s="23"/>
    </row>
    <row r="390" spans="1:17" x14ac:dyDescent="0.25">
      <c r="A390" s="19" t="s">
        <v>898</v>
      </c>
      <c r="B390" s="19" t="s">
        <v>653</v>
      </c>
      <c r="C390" s="19" t="s">
        <v>221</v>
      </c>
      <c r="D390" s="19" t="s">
        <v>899</v>
      </c>
      <c r="E390" s="19" t="s">
        <v>89</v>
      </c>
      <c r="F390" s="21" t="s">
        <v>1269</v>
      </c>
      <c r="G390" s="23"/>
      <c r="H390" s="21" t="s">
        <v>1269</v>
      </c>
      <c r="I390" s="23"/>
      <c r="J390" s="21" t="s">
        <v>1269</v>
      </c>
      <c r="K390" s="23"/>
      <c r="L390" s="21" t="s">
        <v>1269</v>
      </c>
      <c r="M390" s="23"/>
      <c r="N390" s="21" t="s">
        <v>1269</v>
      </c>
      <c r="O390" s="23"/>
      <c r="P390" s="21" t="s">
        <v>1269</v>
      </c>
      <c r="Q390" s="23"/>
    </row>
    <row r="391" spans="1:17" x14ac:dyDescent="0.25">
      <c r="A391" s="19" t="s">
        <v>900</v>
      </c>
      <c r="B391" s="19" t="s">
        <v>653</v>
      </c>
      <c r="C391" s="19" t="s">
        <v>221</v>
      </c>
      <c r="D391" s="19" t="s">
        <v>901</v>
      </c>
      <c r="E391" s="19" t="s">
        <v>674</v>
      </c>
      <c r="F391" s="21" t="s">
        <v>1269</v>
      </c>
      <c r="G391" s="23"/>
      <c r="H391" s="21" t="s">
        <v>1269</v>
      </c>
      <c r="I391" s="23"/>
      <c r="J391" s="21" t="s">
        <v>1269</v>
      </c>
      <c r="K391" s="23"/>
      <c r="L391" s="21" t="s">
        <v>1269</v>
      </c>
      <c r="M391" s="23"/>
      <c r="N391" s="21" t="s">
        <v>1269</v>
      </c>
      <c r="O391" s="23"/>
      <c r="P391" s="21" t="s">
        <v>1269</v>
      </c>
      <c r="Q391" s="23"/>
    </row>
    <row r="392" spans="1:17" x14ac:dyDescent="0.25">
      <c r="A392" s="19" t="s">
        <v>902</v>
      </c>
      <c r="B392" s="19" t="s">
        <v>653</v>
      </c>
      <c r="C392" s="19" t="s">
        <v>221</v>
      </c>
      <c r="D392" s="19" t="s">
        <v>903</v>
      </c>
      <c r="E392" s="19" t="s">
        <v>674</v>
      </c>
      <c r="F392" s="21" t="s">
        <v>1269</v>
      </c>
      <c r="G392" s="23"/>
      <c r="H392" s="21" t="s">
        <v>1269</v>
      </c>
      <c r="I392" s="23"/>
      <c r="J392" s="21" t="s">
        <v>1269</v>
      </c>
      <c r="K392" s="23"/>
      <c r="L392" s="21" t="s">
        <v>1269</v>
      </c>
      <c r="M392" s="23"/>
      <c r="N392" s="21" t="s">
        <v>1269</v>
      </c>
      <c r="O392" s="23"/>
      <c r="P392" s="21" t="s">
        <v>1269</v>
      </c>
      <c r="Q392" s="23"/>
    </row>
    <row r="393" spans="1:17" x14ac:dyDescent="0.25">
      <c r="A393" s="19" t="s">
        <v>904</v>
      </c>
      <c r="B393" s="19" t="s">
        <v>653</v>
      </c>
      <c r="C393" s="19" t="s">
        <v>221</v>
      </c>
      <c r="D393" s="19" t="s">
        <v>905</v>
      </c>
      <c r="E393" s="19" t="s">
        <v>764</v>
      </c>
      <c r="F393" s="21" t="s">
        <v>1269</v>
      </c>
      <c r="G393" s="23"/>
      <c r="H393" s="21" t="s">
        <v>1269</v>
      </c>
      <c r="I393" s="23"/>
      <c r="J393" s="21" t="s">
        <v>1269</v>
      </c>
      <c r="K393" s="23"/>
      <c r="L393" s="21" t="s">
        <v>1269</v>
      </c>
      <c r="M393" s="23"/>
      <c r="N393" s="21" t="s">
        <v>1269</v>
      </c>
      <c r="O393" s="23"/>
      <c r="P393" s="21" t="s">
        <v>1269</v>
      </c>
      <c r="Q393" s="23"/>
    </row>
    <row r="394" spans="1:17" x14ac:dyDescent="0.25">
      <c r="A394" s="19" t="s">
        <v>906</v>
      </c>
      <c r="B394" s="19" t="s">
        <v>653</v>
      </c>
      <c r="C394" s="19" t="s">
        <v>221</v>
      </c>
      <c r="D394" s="19" t="s">
        <v>907</v>
      </c>
      <c r="E394" s="19" t="s">
        <v>764</v>
      </c>
      <c r="F394" s="21" t="s">
        <v>1269</v>
      </c>
      <c r="G394" s="23"/>
      <c r="H394" s="21" t="s">
        <v>1269</v>
      </c>
      <c r="I394" s="23"/>
      <c r="J394" s="21" t="s">
        <v>1269</v>
      </c>
      <c r="K394" s="23"/>
      <c r="L394" s="21" t="s">
        <v>1269</v>
      </c>
      <c r="M394" s="23"/>
      <c r="N394" s="21" t="s">
        <v>1269</v>
      </c>
      <c r="O394" s="23"/>
      <c r="P394" s="21" t="s">
        <v>1269</v>
      </c>
      <c r="Q394" s="23"/>
    </row>
    <row r="395" spans="1:17" x14ac:dyDescent="0.25">
      <c r="A395" s="19" t="s">
        <v>908</v>
      </c>
      <c r="B395" s="19" t="s">
        <v>653</v>
      </c>
      <c r="C395" s="19" t="s">
        <v>221</v>
      </c>
      <c r="D395" s="19" t="s">
        <v>909</v>
      </c>
      <c r="E395" s="19" t="s">
        <v>679</v>
      </c>
      <c r="F395" s="21" t="s">
        <v>1269</v>
      </c>
      <c r="G395" s="23"/>
      <c r="H395" s="21" t="s">
        <v>1269</v>
      </c>
      <c r="I395" s="23"/>
      <c r="J395" s="21" t="s">
        <v>1269</v>
      </c>
      <c r="K395" s="23"/>
      <c r="L395" s="21" t="s">
        <v>1269</v>
      </c>
      <c r="M395" s="23"/>
      <c r="N395" s="21" t="s">
        <v>1269</v>
      </c>
      <c r="O395" s="23"/>
      <c r="P395" s="21" t="s">
        <v>1269</v>
      </c>
      <c r="Q395" s="23"/>
    </row>
    <row r="396" spans="1:17" x14ac:dyDescent="0.25">
      <c r="A396" s="19" t="s">
        <v>910</v>
      </c>
      <c r="B396" s="19" t="s">
        <v>653</v>
      </c>
      <c r="C396" s="19" t="s">
        <v>221</v>
      </c>
      <c r="D396" s="19" t="s">
        <v>911</v>
      </c>
      <c r="E396" s="19" t="s">
        <v>912</v>
      </c>
      <c r="F396" s="21" t="s">
        <v>1269</v>
      </c>
      <c r="G396" s="23"/>
      <c r="H396" s="21" t="s">
        <v>1269</v>
      </c>
      <c r="I396" s="23"/>
      <c r="J396" s="21" t="s">
        <v>1269</v>
      </c>
      <c r="K396" s="23"/>
      <c r="L396" s="21" t="s">
        <v>1269</v>
      </c>
      <c r="M396" s="23"/>
      <c r="N396" s="21" t="s">
        <v>1269</v>
      </c>
      <c r="O396" s="23"/>
      <c r="P396" s="21" t="s">
        <v>1269</v>
      </c>
      <c r="Q396" s="23"/>
    </row>
    <row r="397" spans="1:17" x14ac:dyDescent="0.25">
      <c r="A397" s="19" t="s">
        <v>913</v>
      </c>
      <c r="B397" s="19" t="s">
        <v>653</v>
      </c>
      <c r="C397" s="19" t="s">
        <v>221</v>
      </c>
      <c r="D397" s="19" t="s">
        <v>914</v>
      </c>
      <c r="E397" s="19" t="s">
        <v>113</v>
      </c>
      <c r="F397" s="21" t="s">
        <v>1269</v>
      </c>
      <c r="G397" s="23"/>
      <c r="H397" s="21" t="s">
        <v>1269</v>
      </c>
      <c r="I397" s="23"/>
      <c r="J397" s="21" t="s">
        <v>1269</v>
      </c>
      <c r="K397" s="23"/>
      <c r="L397" s="21" t="s">
        <v>1269</v>
      </c>
      <c r="M397" s="23"/>
      <c r="N397" s="21" t="s">
        <v>1269</v>
      </c>
      <c r="O397" s="23"/>
      <c r="P397" s="21" t="s">
        <v>1269</v>
      </c>
      <c r="Q397" s="23"/>
    </row>
    <row r="398" spans="1:17" x14ac:dyDescent="0.25">
      <c r="A398" s="19" t="s">
        <v>915</v>
      </c>
      <c r="B398" s="19" t="s">
        <v>653</v>
      </c>
      <c r="C398" s="19" t="s">
        <v>221</v>
      </c>
      <c r="D398" s="19" t="s">
        <v>916</v>
      </c>
      <c r="E398" s="19" t="s">
        <v>120</v>
      </c>
      <c r="F398" s="21" t="s">
        <v>1269</v>
      </c>
      <c r="G398" s="23"/>
      <c r="H398" s="21" t="s">
        <v>1269</v>
      </c>
      <c r="I398" s="23"/>
      <c r="J398" s="21" t="s">
        <v>1269</v>
      </c>
      <c r="K398" s="23"/>
      <c r="L398" s="21" t="s">
        <v>1269</v>
      </c>
      <c r="M398" s="23"/>
      <c r="N398" s="21" t="s">
        <v>1269</v>
      </c>
      <c r="O398" s="23"/>
      <c r="P398" s="21" t="s">
        <v>1269</v>
      </c>
      <c r="Q398" s="23"/>
    </row>
    <row r="399" spans="1:17" x14ac:dyDescent="0.25">
      <c r="A399" s="19" t="s">
        <v>917</v>
      </c>
      <c r="B399" s="19" t="s">
        <v>653</v>
      </c>
      <c r="C399" s="19" t="s">
        <v>221</v>
      </c>
      <c r="D399" s="19" t="s">
        <v>918</v>
      </c>
      <c r="E399" s="19" t="s">
        <v>120</v>
      </c>
      <c r="F399" s="21" t="s">
        <v>1269</v>
      </c>
      <c r="G399" s="23"/>
      <c r="H399" s="21" t="s">
        <v>1269</v>
      </c>
      <c r="I399" s="23"/>
      <c r="J399" s="21" t="s">
        <v>1269</v>
      </c>
      <c r="K399" s="23"/>
      <c r="L399" s="21" t="s">
        <v>1269</v>
      </c>
      <c r="M399" s="23"/>
      <c r="N399" s="21" t="s">
        <v>1269</v>
      </c>
      <c r="O399" s="23"/>
      <c r="P399" s="21" t="s">
        <v>1269</v>
      </c>
      <c r="Q399" s="23"/>
    </row>
    <row r="400" spans="1:17" x14ac:dyDescent="0.25">
      <c r="A400" s="19" t="s">
        <v>919</v>
      </c>
      <c r="B400" s="19" t="s">
        <v>653</v>
      </c>
      <c r="C400" s="19" t="s">
        <v>221</v>
      </c>
      <c r="D400" s="19" t="s">
        <v>920</v>
      </c>
      <c r="E400" s="19" t="s">
        <v>120</v>
      </c>
      <c r="F400" s="21" t="s">
        <v>1269</v>
      </c>
      <c r="G400" s="23"/>
      <c r="H400" s="21" t="s">
        <v>1269</v>
      </c>
      <c r="I400" s="23"/>
      <c r="J400" s="21" t="s">
        <v>1269</v>
      </c>
      <c r="K400" s="23"/>
      <c r="L400" s="21" t="s">
        <v>1269</v>
      </c>
      <c r="M400" s="23"/>
      <c r="N400" s="21" t="s">
        <v>1269</v>
      </c>
      <c r="O400" s="23"/>
      <c r="P400" s="21" t="s">
        <v>1269</v>
      </c>
      <c r="Q400" s="23"/>
    </row>
    <row r="401" spans="1:17" x14ac:dyDescent="0.25">
      <c r="A401" s="19" t="s">
        <v>921</v>
      </c>
      <c r="B401" s="19" t="s">
        <v>653</v>
      </c>
      <c r="C401" s="19" t="s">
        <v>221</v>
      </c>
      <c r="D401" s="19" t="s">
        <v>922</v>
      </c>
      <c r="E401" s="19" t="s">
        <v>700</v>
      </c>
      <c r="F401" s="21" t="s">
        <v>1269</v>
      </c>
      <c r="G401" s="23"/>
      <c r="H401" s="21" t="s">
        <v>1269</v>
      </c>
      <c r="I401" s="23"/>
      <c r="J401" s="21" t="s">
        <v>1269</v>
      </c>
      <c r="K401" s="23"/>
      <c r="L401" s="21" t="s">
        <v>1269</v>
      </c>
      <c r="M401" s="23"/>
      <c r="N401" s="21" t="s">
        <v>1269</v>
      </c>
      <c r="O401" s="23"/>
      <c r="P401" s="21" t="s">
        <v>1269</v>
      </c>
      <c r="Q401" s="23"/>
    </row>
    <row r="402" spans="1:17" x14ac:dyDescent="0.25">
      <c r="A402" s="19" t="s">
        <v>923</v>
      </c>
      <c r="B402" s="19" t="s">
        <v>653</v>
      </c>
      <c r="C402" s="19" t="s">
        <v>221</v>
      </c>
      <c r="D402" s="19" t="s">
        <v>924</v>
      </c>
      <c r="E402" s="19" t="s">
        <v>700</v>
      </c>
      <c r="F402" s="21" t="s">
        <v>1269</v>
      </c>
      <c r="G402" s="23"/>
      <c r="H402" s="21" t="s">
        <v>1269</v>
      </c>
      <c r="I402" s="23"/>
      <c r="J402" s="21" t="s">
        <v>1269</v>
      </c>
      <c r="K402" s="23"/>
      <c r="L402" s="21" t="s">
        <v>1269</v>
      </c>
      <c r="M402" s="23"/>
      <c r="N402" s="21" t="s">
        <v>1269</v>
      </c>
      <c r="O402" s="23"/>
      <c r="P402" s="21" t="s">
        <v>1269</v>
      </c>
      <c r="Q402" s="23"/>
    </row>
    <row r="403" spans="1:17" x14ac:dyDescent="0.25">
      <c r="A403" s="19" t="s">
        <v>925</v>
      </c>
      <c r="B403" s="19" t="s">
        <v>653</v>
      </c>
      <c r="C403" s="19" t="s">
        <v>221</v>
      </c>
      <c r="D403" s="19" t="s">
        <v>926</v>
      </c>
      <c r="E403" s="19" t="s">
        <v>700</v>
      </c>
      <c r="F403" s="21" t="s">
        <v>1269</v>
      </c>
      <c r="G403" s="23"/>
      <c r="H403" s="21" t="s">
        <v>1269</v>
      </c>
      <c r="I403" s="23"/>
      <c r="J403" s="21" t="s">
        <v>1269</v>
      </c>
      <c r="K403" s="23"/>
      <c r="L403" s="21" t="s">
        <v>1269</v>
      </c>
      <c r="M403" s="23"/>
      <c r="N403" s="21" t="s">
        <v>1269</v>
      </c>
      <c r="O403" s="23"/>
      <c r="P403" s="21" t="s">
        <v>1269</v>
      </c>
      <c r="Q403" s="23"/>
    </row>
    <row r="404" spans="1:17" x14ac:dyDescent="0.25">
      <c r="A404" s="19" t="s">
        <v>927</v>
      </c>
      <c r="B404" s="19" t="s">
        <v>653</v>
      </c>
      <c r="C404" s="19" t="s">
        <v>221</v>
      </c>
      <c r="D404" s="19" t="s">
        <v>928</v>
      </c>
      <c r="E404" s="19" t="s">
        <v>205</v>
      </c>
      <c r="F404" s="21" t="s">
        <v>1269</v>
      </c>
      <c r="G404" s="23"/>
      <c r="H404" s="21" t="s">
        <v>1269</v>
      </c>
      <c r="I404" s="23"/>
      <c r="J404" s="21" t="s">
        <v>1269</v>
      </c>
      <c r="K404" s="23"/>
      <c r="L404" s="21" t="s">
        <v>1269</v>
      </c>
      <c r="M404" s="23"/>
      <c r="N404" s="21" t="s">
        <v>1269</v>
      </c>
      <c r="O404" s="23"/>
      <c r="P404" s="21" t="s">
        <v>1269</v>
      </c>
      <c r="Q404" s="23"/>
    </row>
    <row r="405" spans="1:17" x14ac:dyDescent="0.25">
      <c r="A405" s="19" t="s">
        <v>929</v>
      </c>
      <c r="B405" s="19" t="s">
        <v>653</v>
      </c>
      <c r="C405" s="19" t="s">
        <v>221</v>
      </c>
      <c r="D405" s="19" t="s">
        <v>930</v>
      </c>
      <c r="E405" s="19" t="s">
        <v>705</v>
      </c>
      <c r="F405" s="21" t="s">
        <v>1269</v>
      </c>
      <c r="G405" s="23"/>
      <c r="H405" s="21" t="s">
        <v>1269</v>
      </c>
      <c r="I405" s="23"/>
      <c r="J405" s="21" t="s">
        <v>1269</v>
      </c>
      <c r="K405" s="23"/>
      <c r="L405" s="21" t="s">
        <v>1269</v>
      </c>
      <c r="M405" s="23"/>
      <c r="N405" s="21" t="s">
        <v>1269</v>
      </c>
      <c r="O405" s="23"/>
      <c r="P405" s="21" t="s">
        <v>1269</v>
      </c>
      <c r="Q405" s="23"/>
    </row>
    <row r="406" spans="1:17" x14ac:dyDescent="0.25">
      <c r="A406" s="19" t="s">
        <v>931</v>
      </c>
      <c r="B406" s="19" t="s">
        <v>653</v>
      </c>
      <c r="C406" s="19" t="s">
        <v>221</v>
      </c>
      <c r="D406" s="19" t="s">
        <v>932</v>
      </c>
      <c r="E406" s="19" t="s">
        <v>791</v>
      </c>
      <c r="F406" s="21" t="s">
        <v>1269</v>
      </c>
      <c r="G406" s="23"/>
      <c r="H406" s="21" t="s">
        <v>1269</v>
      </c>
      <c r="I406" s="23"/>
      <c r="J406" s="21" t="s">
        <v>1269</v>
      </c>
      <c r="K406" s="23"/>
      <c r="L406" s="21" t="s">
        <v>1269</v>
      </c>
      <c r="M406" s="23"/>
      <c r="N406" s="21" t="s">
        <v>1269</v>
      </c>
      <c r="O406" s="23"/>
      <c r="P406" s="21" t="s">
        <v>1269</v>
      </c>
      <c r="Q406" s="23"/>
    </row>
    <row r="407" spans="1:17" x14ac:dyDescent="0.25">
      <c r="A407" s="19" t="s">
        <v>933</v>
      </c>
      <c r="B407" s="19" t="s">
        <v>653</v>
      </c>
      <c r="C407" s="19" t="s">
        <v>221</v>
      </c>
      <c r="D407" s="19" t="s">
        <v>934</v>
      </c>
      <c r="E407" s="19" t="s">
        <v>794</v>
      </c>
      <c r="F407" s="21" t="s">
        <v>1269</v>
      </c>
      <c r="G407" s="23"/>
      <c r="H407" s="21" t="s">
        <v>1269</v>
      </c>
      <c r="I407" s="23"/>
      <c r="J407" s="21" t="s">
        <v>1269</v>
      </c>
      <c r="K407" s="23"/>
      <c r="L407" s="21" t="s">
        <v>1269</v>
      </c>
      <c r="M407" s="23"/>
      <c r="N407" s="21" t="s">
        <v>1269</v>
      </c>
      <c r="O407" s="23"/>
      <c r="P407" s="21" t="s">
        <v>1269</v>
      </c>
      <c r="Q407" s="23"/>
    </row>
    <row r="408" spans="1:17" x14ac:dyDescent="0.25">
      <c r="A408" s="19" t="s">
        <v>935</v>
      </c>
      <c r="B408" s="19" t="s">
        <v>653</v>
      </c>
      <c r="C408" s="19" t="s">
        <v>221</v>
      </c>
      <c r="D408" s="19" t="s">
        <v>936</v>
      </c>
      <c r="E408" s="19" t="s">
        <v>711</v>
      </c>
      <c r="F408" s="21" t="s">
        <v>1269</v>
      </c>
      <c r="G408" s="23"/>
      <c r="H408" s="21" t="s">
        <v>1269</v>
      </c>
      <c r="I408" s="23"/>
      <c r="J408" s="21" t="s">
        <v>1269</v>
      </c>
      <c r="K408" s="23"/>
      <c r="L408" s="21" t="s">
        <v>1269</v>
      </c>
      <c r="M408" s="23"/>
      <c r="N408" s="21" t="s">
        <v>1269</v>
      </c>
      <c r="O408" s="23"/>
      <c r="P408" s="21" t="s">
        <v>1269</v>
      </c>
      <c r="Q408" s="23"/>
    </row>
    <row r="409" spans="1:17" x14ac:dyDescent="0.25">
      <c r="A409" s="19" t="s">
        <v>937</v>
      </c>
      <c r="B409" s="19" t="s">
        <v>653</v>
      </c>
      <c r="C409" s="19" t="s">
        <v>221</v>
      </c>
      <c r="D409" s="19" t="s">
        <v>938</v>
      </c>
      <c r="E409" s="19" t="s">
        <v>725</v>
      </c>
      <c r="F409" s="21" t="s">
        <v>1269</v>
      </c>
      <c r="G409" s="23"/>
      <c r="H409" s="21" t="s">
        <v>1269</v>
      </c>
      <c r="I409" s="23"/>
      <c r="J409" s="21" t="s">
        <v>1269</v>
      </c>
      <c r="K409" s="23"/>
      <c r="L409" s="21" t="s">
        <v>1269</v>
      </c>
      <c r="M409" s="23"/>
      <c r="N409" s="21" t="s">
        <v>1269</v>
      </c>
      <c r="O409" s="23"/>
      <c r="P409" s="21" t="s">
        <v>1269</v>
      </c>
      <c r="Q409" s="23"/>
    </row>
    <row r="410" spans="1:17" x14ac:dyDescent="0.25">
      <c r="A410" s="19" t="s">
        <v>939</v>
      </c>
      <c r="B410" s="19" t="s">
        <v>653</v>
      </c>
      <c r="C410" s="19" t="s">
        <v>221</v>
      </c>
      <c r="D410" s="19" t="s">
        <v>940</v>
      </c>
      <c r="E410" s="19" t="s">
        <v>799</v>
      </c>
      <c r="F410" s="21" t="s">
        <v>1269</v>
      </c>
      <c r="G410" s="23"/>
      <c r="H410" s="21" t="s">
        <v>1269</v>
      </c>
      <c r="I410" s="23"/>
      <c r="J410" s="21" t="s">
        <v>1269</v>
      </c>
      <c r="K410" s="23"/>
      <c r="L410" s="21" t="s">
        <v>1269</v>
      </c>
      <c r="M410" s="23"/>
      <c r="N410" s="21" t="s">
        <v>1269</v>
      </c>
      <c r="O410" s="23"/>
      <c r="P410" s="21" t="s">
        <v>1269</v>
      </c>
      <c r="Q410" s="23"/>
    </row>
    <row r="411" spans="1:17" x14ac:dyDescent="0.25">
      <c r="A411" s="19" t="s">
        <v>941</v>
      </c>
      <c r="B411" s="19" t="s">
        <v>653</v>
      </c>
      <c r="C411" s="19" t="s">
        <v>293</v>
      </c>
      <c r="D411" s="19" t="s">
        <v>942</v>
      </c>
      <c r="E411" s="19" t="s">
        <v>659</v>
      </c>
      <c r="F411" s="21" t="s">
        <v>1269</v>
      </c>
      <c r="G411" s="23"/>
      <c r="H411" s="21" t="s">
        <v>1269</v>
      </c>
      <c r="I411" s="23"/>
      <c r="J411" s="21" t="s">
        <v>1269</v>
      </c>
      <c r="K411" s="23"/>
      <c r="L411" s="21" t="s">
        <v>1269</v>
      </c>
      <c r="M411" s="23"/>
      <c r="N411" s="21" t="s">
        <v>1269</v>
      </c>
      <c r="O411" s="23"/>
      <c r="P411" s="21" t="s">
        <v>1269</v>
      </c>
      <c r="Q411" s="23"/>
    </row>
    <row r="412" spans="1:17" x14ac:dyDescent="0.25">
      <c r="A412" s="19" t="s">
        <v>943</v>
      </c>
      <c r="B412" s="19" t="s">
        <v>653</v>
      </c>
      <c r="C412" s="19" t="s">
        <v>293</v>
      </c>
      <c r="D412" s="19" t="s">
        <v>944</v>
      </c>
      <c r="E412" s="19" t="s">
        <v>733</v>
      </c>
      <c r="F412" s="21" t="s">
        <v>1269</v>
      </c>
      <c r="G412" s="23"/>
      <c r="H412" s="21" t="s">
        <v>1269</v>
      </c>
      <c r="I412" s="23"/>
      <c r="J412" s="21" t="s">
        <v>1269</v>
      </c>
      <c r="K412" s="23"/>
      <c r="L412" s="21" t="s">
        <v>1269</v>
      </c>
      <c r="M412" s="23"/>
      <c r="N412" s="21" t="s">
        <v>1269</v>
      </c>
      <c r="O412" s="23"/>
      <c r="P412" s="21" t="s">
        <v>1269</v>
      </c>
      <c r="Q412" s="23"/>
    </row>
    <row r="413" spans="1:17" x14ac:dyDescent="0.25">
      <c r="A413" s="19" t="s">
        <v>945</v>
      </c>
      <c r="B413" s="19" t="s">
        <v>653</v>
      </c>
      <c r="C413" s="19" t="s">
        <v>293</v>
      </c>
      <c r="D413" s="19" t="s">
        <v>946</v>
      </c>
      <c r="E413" s="19" t="s">
        <v>66</v>
      </c>
      <c r="F413" s="21" t="s">
        <v>1269</v>
      </c>
      <c r="G413" s="23"/>
      <c r="H413" s="21" t="s">
        <v>1269</v>
      </c>
      <c r="I413" s="23"/>
      <c r="J413" s="21" t="s">
        <v>1269</v>
      </c>
      <c r="K413" s="23"/>
      <c r="L413" s="21" t="s">
        <v>1269</v>
      </c>
      <c r="M413" s="23"/>
      <c r="N413" s="21" t="s">
        <v>1269</v>
      </c>
      <c r="O413" s="23"/>
      <c r="P413" s="21" t="s">
        <v>1269</v>
      </c>
      <c r="Q413" s="23"/>
    </row>
    <row r="414" spans="1:17" x14ac:dyDescent="0.25">
      <c r="A414" s="19" t="s">
        <v>947</v>
      </c>
      <c r="B414" s="19" t="s">
        <v>653</v>
      </c>
      <c r="C414" s="19" t="s">
        <v>293</v>
      </c>
      <c r="D414" s="19" t="s">
        <v>948</v>
      </c>
      <c r="E414" s="19" t="s">
        <v>66</v>
      </c>
      <c r="F414" s="21" t="s">
        <v>1269</v>
      </c>
      <c r="G414" s="23"/>
      <c r="H414" s="21" t="s">
        <v>1269</v>
      </c>
      <c r="I414" s="23"/>
      <c r="J414" s="21" t="s">
        <v>1269</v>
      </c>
      <c r="K414" s="23"/>
      <c r="L414" s="21" t="s">
        <v>1269</v>
      </c>
      <c r="M414" s="23"/>
      <c r="N414" s="21" t="s">
        <v>1269</v>
      </c>
      <c r="O414" s="23"/>
      <c r="P414" s="21" t="s">
        <v>1269</v>
      </c>
      <c r="Q414" s="23"/>
    </row>
    <row r="415" spans="1:17" x14ac:dyDescent="0.25">
      <c r="A415" s="19" t="s">
        <v>949</v>
      </c>
      <c r="B415" s="19" t="s">
        <v>653</v>
      </c>
      <c r="C415" s="19" t="s">
        <v>293</v>
      </c>
      <c r="D415" s="19" t="s">
        <v>950</v>
      </c>
      <c r="E415" s="19" t="s">
        <v>662</v>
      </c>
      <c r="F415" s="21" t="s">
        <v>1269</v>
      </c>
      <c r="G415" s="23"/>
      <c r="H415" s="21" t="s">
        <v>1269</v>
      </c>
      <c r="I415" s="23"/>
      <c r="J415" s="21" t="s">
        <v>1269</v>
      </c>
      <c r="K415" s="23"/>
      <c r="L415" s="21" t="s">
        <v>1269</v>
      </c>
      <c r="M415" s="23"/>
      <c r="N415" s="21" t="s">
        <v>1269</v>
      </c>
      <c r="O415" s="23"/>
      <c r="P415" s="21" t="s">
        <v>1269</v>
      </c>
      <c r="Q415" s="23"/>
    </row>
    <row r="416" spans="1:17" x14ac:dyDescent="0.25">
      <c r="A416" s="19" t="s">
        <v>951</v>
      </c>
      <c r="B416" s="19" t="s">
        <v>653</v>
      </c>
      <c r="C416" s="19" t="s">
        <v>293</v>
      </c>
      <c r="D416" s="19" t="s">
        <v>952</v>
      </c>
      <c r="E416" s="19" t="s">
        <v>662</v>
      </c>
      <c r="F416" s="21" t="s">
        <v>1269</v>
      </c>
      <c r="G416" s="23"/>
      <c r="H416" s="21" t="s">
        <v>1269</v>
      </c>
      <c r="I416" s="23"/>
      <c r="J416" s="21" t="s">
        <v>1269</v>
      </c>
      <c r="K416" s="23"/>
      <c r="L416" s="21" t="s">
        <v>1269</v>
      </c>
      <c r="M416" s="23"/>
      <c r="N416" s="21" t="s">
        <v>1269</v>
      </c>
      <c r="O416" s="23"/>
      <c r="P416" s="21" t="s">
        <v>1269</v>
      </c>
      <c r="Q416" s="23"/>
    </row>
    <row r="417" spans="1:17" x14ac:dyDescent="0.25">
      <c r="A417" s="19" t="s">
        <v>953</v>
      </c>
      <c r="B417" s="19" t="s">
        <v>653</v>
      </c>
      <c r="C417" s="19" t="s">
        <v>293</v>
      </c>
      <c r="D417" s="19" t="s">
        <v>954</v>
      </c>
      <c r="E417" s="19" t="s">
        <v>662</v>
      </c>
      <c r="F417" s="21" t="s">
        <v>1269</v>
      </c>
      <c r="G417" s="23"/>
      <c r="H417" s="21" t="s">
        <v>1269</v>
      </c>
      <c r="I417" s="23"/>
      <c r="J417" s="21" t="s">
        <v>1269</v>
      </c>
      <c r="K417" s="23"/>
      <c r="L417" s="21" t="s">
        <v>1269</v>
      </c>
      <c r="M417" s="23"/>
      <c r="N417" s="21" t="s">
        <v>1269</v>
      </c>
      <c r="O417" s="23"/>
      <c r="P417" s="21" t="s">
        <v>1269</v>
      </c>
      <c r="Q417" s="23"/>
    </row>
    <row r="418" spans="1:17" x14ac:dyDescent="0.25">
      <c r="A418" s="19" t="s">
        <v>955</v>
      </c>
      <c r="B418" s="19" t="s">
        <v>653</v>
      </c>
      <c r="C418" s="19" t="s">
        <v>293</v>
      </c>
      <c r="D418" s="19" t="s">
        <v>956</v>
      </c>
      <c r="E418" s="19" t="s">
        <v>79</v>
      </c>
      <c r="F418" s="21" t="s">
        <v>1269</v>
      </c>
      <c r="G418" s="23"/>
      <c r="H418" s="21" t="s">
        <v>1269</v>
      </c>
      <c r="I418" s="23"/>
      <c r="J418" s="21" t="s">
        <v>1269</v>
      </c>
      <c r="K418" s="23"/>
      <c r="L418" s="21" t="s">
        <v>1269</v>
      </c>
      <c r="M418" s="23"/>
      <c r="N418" s="21" t="s">
        <v>1269</v>
      </c>
      <c r="O418" s="23"/>
      <c r="P418" s="21" t="s">
        <v>1269</v>
      </c>
      <c r="Q418" s="23"/>
    </row>
    <row r="419" spans="1:17" x14ac:dyDescent="0.25">
      <c r="A419" s="19" t="s">
        <v>957</v>
      </c>
      <c r="B419" s="19" t="s">
        <v>653</v>
      </c>
      <c r="C419" s="19" t="s">
        <v>293</v>
      </c>
      <c r="D419" s="19" t="s">
        <v>958</v>
      </c>
      <c r="E419" s="19" t="s">
        <v>667</v>
      </c>
      <c r="F419" s="21" t="s">
        <v>1269</v>
      </c>
      <c r="G419" s="23"/>
      <c r="H419" s="21" t="s">
        <v>1269</v>
      </c>
      <c r="I419" s="23"/>
      <c r="J419" s="21" t="s">
        <v>1269</v>
      </c>
      <c r="K419" s="23"/>
      <c r="L419" s="21" t="s">
        <v>1269</v>
      </c>
      <c r="M419" s="23"/>
      <c r="N419" s="21" t="s">
        <v>1269</v>
      </c>
      <c r="O419" s="23"/>
      <c r="P419" s="21" t="s">
        <v>1269</v>
      </c>
      <c r="Q419" s="23"/>
    </row>
    <row r="420" spans="1:17" x14ac:dyDescent="0.25">
      <c r="A420" s="19" t="s">
        <v>959</v>
      </c>
      <c r="B420" s="19" t="s">
        <v>653</v>
      </c>
      <c r="C420" s="19" t="s">
        <v>293</v>
      </c>
      <c r="D420" s="19" t="s">
        <v>960</v>
      </c>
      <c r="E420" s="19" t="s">
        <v>667</v>
      </c>
      <c r="F420" s="21" t="s">
        <v>1269</v>
      </c>
      <c r="G420" s="23"/>
      <c r="H420" s="21" t="s">
        <v>1269</v>
      </c>
      <c r="I420" s="23"/>
      <c r="J420" s="21" t="s">
        <v>1269</v>
      </c>
      <c r="K420" s="23"/>
      <c r="L420" s="21" t="s">
        <v>1269</v>
      </c>
      <c r="M420" s="23"/>
      <c r="N420" s="21" t="s">
        <v>1269</v>
      </c>
      <c r="O420" s="23"/>
      <c r="P420" s="21" t="s">
        <v>1269</v>
      </c>
      <c r="Q420" s="23"/>
    </row>
    <row r="421" spans="1:17" x14ac:dyDescent="0.25">
      <c r="A421" s="19" t="s">
        <v>961</v>
      </c>
      <c r="B421" s="19" t="s">
        <v>653</v>
      </c>
      <c r="C421" s="19" t="s">
        <v>293</v>
      </c>
      <c r="D421" s="19" t="s">
        <v>962</v>
      </c>
      <c r="E421" s="19" t="s">
        <v>86</v>
      </c>
      <c r="F421" s="21" t="s">
        <v>1269</v>
      </c>
      <c r="G421" s="23"/>
      <c r="H421" s="21" t="s">
        <v>1269</v>
      </c>
      <c r="I421" s="23"/>
      <c r="J421" s="21" t="s">
        <v>1269</v>
      </c>
      <c r="K421" s="23"/>
      <c r="L421" s="21" t="s">
        <v>1269</v>
      </c>
      <c r="M421" s="23"/>
      <c r="N421" s="21" t="s">
        <v>1269</v>
      </c>
      <c r="O421" s="23"/>
      <c r="P421" s="21" t="s">
        <v>1269</v>
      </c>
      <c r="Q421" s="23"/>
    </row>
    <row r="422" spans="1:17" x14ac:dyDescent="0.25">
      <c r="A422" s="19" t="s">
        <v>963</v>
      </c>
      <c r="B422" s="19" t="s">
        <v>653</v>
      </c>
      <c r="C422" s="19" t="s">
        <v>293</v>
      </c>
      <c r="D422" s="19" t="s">
        <v>964</v>
      </c>
      <c r="E422" s="19" t="s">
        <v>89</v>
      </c>
      <c r="F422" s="21" t="s">
        <v>1269</v>
      </c>
      <c r="G422" s="23"/>
      <c r="H422" s="21" t="s">
        <v>1269</v>
      </c>
      <c r="I422" s="23"/>
      <c r="J422" s="21" t="s">
        <v>1269</v>
      </c>
      <c r="K422" s="23"/>
      <c r="L422" s="21" t="s">
        <v>1269</v>
      </c>
      <c r="M422" s="23"/>
      <c r="N422" s="21" t="s">
        <v>1269</v>
      </c>
      <c r="O422" s="23"/>
      <c r="P422" s="21" t="s">
        <v>1269</v>
      </c>
      <c r="Q422" s="23"/>
    </row>
    <row r="423" spans="1:17" x14ac:dyDescent="0.25">
      <c r="A423" s="19" t="s">
        <v>965</v>
      </c>
      <c r="B423" s="19" t="s">
        <v>653</v>
      </c>
      <c r="C423" s="19" t="s">
        <v>293</v>
      </c>
      <c r="D423" s="19" t="s">
        <v>966</v>
      </c>
      <c r="E423" s="19" t="s">
        <v>89</v>
      </c>
      <c r="F423" s="21" t="s">
        <v>1269</v>
      </c>
      <c r="G423" s="23"/>
      <c r="H423" s="21" t="s">
        <v>1269</v>
      </c>
      <c r="I423" s="23"/>
      <c r="J423" s="21" t="s">
        <v>1269</v>
      </c>
      <c r="K423" s="23"/>
      <c r="L423" s="21" t="s">
        <v>1269</v>
      </c>
      <c r="M423" s="23"/>
      <c r="N423" s="21" t="s">
        <v>1269</v>
      </c>
      <c r="O423" s="23"/>
      <c r="P423" s="21" t="s">
        <v>1269</v>
      </c>
      <c r="Q423" s="23"/>
    </row>
    <row r="424" spans="1:17" x14ac:dyDescent="0.25">
      <c r="A424" s="19" t="s">
        <v>967</v>
      </c>
      <c r="B424" s="19" t="s">
        <v>653</v>
      </c>
      <c r="C424" s="19" t="s">
        <v>293</v>
      </c>
      <c r="D424" s="19" t="s">
        <v>968</v>
      </c>
      <c r="E424" s="19" t="s">
        <v>89</v>
      </c>
      <c r="F424" s="21" t="s">
        <v>1269</v>
      </c>
      <c r="G424" s="23"/>
      <c r="H424" s="21" t="s">
        <v>1269</v>
      </c>
      <c r="I424" s="23"/>
      <c r="J424" s="21" t="s">
        <v>1269</v>
      </c>
      <c r="K424" s="23"/>
      <c r="L424" s="21" t="s">
        <v>1269</v>
      </c>
      <c r="M424" s="23"/>
      <c r="N424" s="21" t="s">
        <v>1269</v>
      </c>
      <c r="O424" s="23"/>
      <c r="P424" s="21" t="s">
        <v>1269</v>
      </c>
      <c r="Q424" s="23"/>
    </row>
    <row r="425" spans="1:17" x14ac:dyDescent="0.25">
      <c r="A425" s="19" t="s">
        <v>969</v>
      </c>
      <c r="B425" s="19" t="s">
        <v>653</v>
      </c>
      <c r="C425" s="19" t="s">
        <v>293</v>
      </c>
      <c r="D425" s="19" t="s">
        <v>970</v>
      </c>
      <c r="E425" s="19" t="s">
        <v>674</v>
      </c>
      <c r="F425" s="21" t="s">
        <v>1269</v>
      </c>
      <c r="G425" s="23"/>
      <c r="H425" s="21" t="s">
        <v>1269</v>
      </c>
      <c r="I425" s="23"/>
      <c r="J425" s="21" t="s">
        <v>1269</v>
      </c>
      <c r="K425" s="23"/>
      <c r="L425" s="21" t="s">
        <v>1269</v>
      </c>
      <c r="M425" s="23"/>
      <c r="N425" s="21" t="s">
        <v>1269</v>
      </c>
      <c r="O425" s="23"/>
      <c r="P425" s="21" t="s">
        <v>1269</v>
      </c>
      <c r="Q425" s="23"/>
    </row>
    <row r="426" spans="1:17" x14ac:dyDescent="0.25">
      <c r="A426" s="19" t="s">
        <v>971</v>
      </c>
      <c r="B426" s="19" t="s">
        <v>653</v>
      </c>
      <c r="C426" s="19" t="s">
        <v>293</v>
      </c>
      <c r="D426" s="19" t="s">
        <v>972</v>
      </c>
      <c r="E426" s="19" t="s">
        <v>674</v>
      </c>
      <c r="F426" s="21" t="s">
        <v>1269</v>
      </c>
      <c r="G426" s="23"/>
      <c r="H426" s="21" t="s">
        <v>1269</v>
      </c>
      <c r="I426" s="23"/>
      <c r="J426" s="21" t="s">
        <v>1269</v>
      </c>
      <c r="K426" s="23"/>
      <c r="L426" s="21" t="s">
        <v>1269</v>
      </c>
      <c r="M426" s="23"/>
      <c r="N426" s="21" t="s">
        <v>1269</v>
      </c>
      <c r="O426" s="23"/>
      <c r="P426" s="21" t="s">
        <v>1269</v>
      </c>
      <c r="Q426" s="23"/>
    </row>
    <row r="427" spans="1:17" x14ac:dyDescent="0.25">
      <c r="A427" s="19" t="s">
        <v>973</v>
      </c>
      <c r="B427" s="19" t="s">
        <v>653</v>
      </c>
      <c r="C427" s="19" t="s">
        <v>293</v>
      </c>
      <c r="D427" s="19" t="s">
        <v>974</v>
      </c>
      <c r="E427" s="19" t="s">
        <v>764</v>
      </c>
      <c r="F427" s="21" t="s">
        <v>1269</v>
      </c>
      <c r="G427" s="23"/>
      <c r="H427" s="21" t="s">
        <v>1269</v>
      </c>
      <c r="I427" s="23"/>
      <c r="J427" s="21" t="s">
        <v>1269</v>
      </c>
      <c r="K427" s="23"/>
      <c r="L427" s="21" t="s">
        <v>1269</v>
      </c>
      <c r="M427" s="23"/>
      <c r="N427" s="21" t="s">
        <v>1269</v>
      </c>
      <c r="O427" s="23"/>
      <c r="P427" s="21" t="s">
        <v>1269</v>
      </c>
      <c r="Q427" s="23"/>
    </row>
    <row r="428" spans="1:17" x14ac:dyDescent="0.25">
      <c r="A428" s="19" t="s">
        <v>975</v>
      </c>
      <c r="B428" s="19" t="s">
        <v>653</v>
      </c>
      <c r="C428" s="19" t="s">
        <v>293</v>
      </c>
      <c r="D428" s="19" t="s">
        <v>976</v>
      </c>
      <c r="E428" s="19" t="s">
        <v>764</v>
      </c>
      <c r="F428" s="21" t="s">
        <v>1269</v>
      </c>
      <c r="G428" s="23"/>
      <c r="H428" s="21" t="s">
        <v>1269</v>
      </c>
      <c r="I428" s="23"/>
      <c r="J428" s="21" t="s">
        <v>1269</v>
      </c>
      <c r="K428" s="23"/>
      <c r="L428" s="21" t="s">
        <v>1269</v>
      </c>
      <c r="M428" s="23"/>
      <c r="N428" s="21" t="s">
        <v>1269</v>
      </c>
      <c r="O428" s="23"/>
      <c r="P428" s="21" t="s">
        <v>1269</v>
      </c>
      <c r="Q428" s="23"/>
    </row>
    <row r="429" spans="1:17" x14ac:dyDescent="0.25">
      <c r="A429" s="19" t="s">
        <v>977</v>
      </c>
      <c r="B429" s="19" t="s">
        <v>653</v>
      </c>
      <c r="C429" s="19" t="s">
        <v>293</v>
      </c>
      <c r="D429" s="19" t="s">
        <v>978</v>
      </c>
      <c r="E429" s="19" t="s">
        <v>679</v>
      </c>
      <c r="F429" s="21" t="s">
        <v>1269</v>
      </c>
      <c r="G429" s="23"/>
      <c r="H429" s="21" t="s">
        <v>1269</v>
      </c>
      <c r="I429" s="23"/>
      <c r="J429" s="21" t="s">
        <v>1269</v>
      </c>
      <c r="K429" s="23"/>
      <c r="L429" s="21" t="s">
        <v>1269</v>
      </c>
      <c r="M429" s="23"/>
      <c r="N429" s="21" t="s">
        <v>1269</v>
      </c>
      <c r="O429" s="23"/>
      <c r="P429" s="21" t="s">
        <v>1269</v>
      </c>
      <c r="Q429" s="23"/>
    </row>
    <row r="430" spans="1:17" x14ac:dyDescent="0.25">
      <c r="A430" s="19" t="s">
        <v>979</v>
      </c>
      <c r="B430" s="19" t="s">
        <v>653</v>
      </c>
      <c r="C430" s="19" t="s">
        <v>293</v>
      </c>
      <c r="D430" s="19" t="s">
        <v>980</v>
      </c>
      <c r="E430" s="19" t="s">
        <v>912</v>
      </c>
      <c r="F430" s="21" t="s">
        <v>1269</v>
      </c>
      <c r="G430" s="23"/>
      <c r="H430" s="21" t="s">
        <v>1269</v>
      </c>
      <c r="I430" s="23"/>
      <c r="J430" s="21" t="s">
        <v>1269</v>
      </c>
      <c r="K430" s="23"/>
      <c r="L430" s="21" t="s">
        <v>1269</v>
      </c>
      <c r="M430" s="23"/>
      <c r="N430" s="21" t="s">
        <v>1269</v>
      </c>
      <c r="O430" s="23"/>
      <c r="P430" s="21" t="s">
        <v>1269</v>
      </c>
      <c r="Q430" s="23"/>
    </row>
    <row r="431" spans="1:17" x14ac:dyDescent="0.25">
      <c r="A431" s="19" t="s">
        <v>981</v>
      </c>
      <c r="B431" s="19" t="s">
        <v>653</v>
      </c>
      <c r="C431" s="19" t="s">
        <v>293</v>
      </c>
      <c r="D431" s="19" t="s">
        <v>982</v>
      </c>
      <c r="E431" s="19" t="s">
        <v>113</v>
      </c>
      <c r="F431" s="21" t="s">
        <v>1269</v>
      </c>
      <c r="G431" s="23"/>
      <c r="H431" s="21" t="s">
        <v>1269</v>
      </c>
      <c r="I431" s="23"/>
      <c r="J431" s="21" t="s">
        <v>1269</v>
      </c>
      <c r="K431" s="23"/>
      <c r="L431" s="21" t="s">
        <v>1269</v>
      </c>
      <c r="M431" s="23"/>
      <c r="N431" s="21" t="s">
        <v>1269</v>
      </c>
      <c r="O431" s="23"/>
      <c r="P431" s="21" t="s">
        <v>1269</v>
      </c>
      <c r="Q431" s="23"/>
    </row>
    <row r="432" spans="1:17" x14ac:dyDescent="0.25">
      <c r="A432" s="19" t="s">
        <v>983</v>
      </c>
      <c r="B432" s="19" t="s">
        <v>653</v>
      </c>
      <c r="C432" s="19" t="s">
        <v>293</v>
      </c>
      <c r="D432" s="19" t="s">
        <v>984</v>
      </c>
      <c r="E432" s="19" t="s">
        <v>120</v>
      </c>
      <c r="F432" s="21" t="s">
        <v>1269</v>
      </c>
      <c r="G432" s="23"/>
      <c r="H432" s="21" t="s">
        <v>1269</v>
      </c>
      <c r="I432" s="23"/>
      <c r="J432" s="21" t="s">
        <v>1269</v>
      </c>
      <c r="K432" s="23"/>
      <c r="L432" s="21" t="s">
        <v>1269</v>
      </c>
      <c r="M432" s="23"/>
      <c r="N432" s="21" t="s">
        <v>1269</v>
      </c>
      <c r="O432" s="23"/>
      <c r="P432" s="21" t="s">
        <v>1269</v>
      </c>
      <c r="Q432" s="23"/>
    </row>
    <row r="433" spans="1:17" x14ac:dyDescent="0.25">
      <c r="A433" s="19" t="s">
        <v>985</v>
      </c>
      <c r="B433" s="19" t="s">
        <v>653</v>
      </c>
      <c r="C433" s="19" t="s">
        <v>293</v>
      </c>
      <c r="D433" s="19" t="s">
        <v>986</v>
      </c>
      <c r="E433" s="19" t="s">
        <v>120</v>
      </c>
      <c r="F433" s="21" t="s">
        <v>1269</v>
      </c>
      <c r="G433" s="23"/>
      <c r="H433" s="21" t="s">
        <v>1269</v>
      </c>
      <c r="I433" s="23"/>
      <c r="J433" s="21" t="s">
        <v>1269</v>
      </c>
      <c r="K433" s="23"/>
      <c r="L433" s="21" t="s">
        <v>1269</v>
      </c>
      <c r="M433" s="23"/>
      <c r="N433" s="21" t="s">
        <v>1269</v>
      </c>
      <c r="O433" s="23"/>
      <c r="P433" s="21" t="s">
        <v>1269</v>
      </c>
      <c r="Q433" s="23"/>
    </row>
    <row r="434" spans="1:17" x14ac:dyDescent="0.25">
      <c r="A434" s="19" t="s">
        <v>987</v>
      </c>
      <c r="B434" s="19" t="s">
        <v>653</v>
      </c>
      <c r="C434" s="19" t="s">
        <v>293</v>
      </c>
      <c r="D434" s="19" t="s">
        <v>988</v>
      </c>
      <c r="E434" s="19" t="s">
        <v>120</v>
      </c>
      <c r="F434" s="21" t="s">
        <v>1269</v>
      </c>
      <c r="G434" s="23"/>
      <c r="H434" s="21" t="s">
        <v>1269</v>
      </c>
      <c r="I434" s="23"/>
      <c r="J434" s="21" t="s">
        <v>1269</v>
      </c>
      <c r="K434" s="23"/>
      <c r="L434" s="21" t="s">
        <v>1269</v>
      </c>
      <c r="M434" s="23"/>
      <c r="N434" s="21" t="s">
        <v>1269</v>
      </c>
      <c r="O434" s="23"/>
      <c r="P434" s="21" t="s">
        <v>1269</v>
      </c>
      <c r="Q434" s="23"/>
    </row>
    <row r="435" spans="1:17" x14ac:dyDescent="0.25">
      <c r="A435" s="19" t="s">
        <v>989</v>
      </c>
      <c r="B435" s="19" t="s">
        <v>653</v>
      </c>
      <c r="C435" s="19" t="s">
        <v>293</v>
      </c>
      <c r="D435" s="19" t="s">
        <v>990</v>
      </c>
      <c r="E435" s="19" t="s">
        <v>700</v>
      </c>
      <c r="F435" s="21" t="s">
        <v>1269</v>
      </c>
      <c r="G435" s="23"/>
      <c r="H435" s="21" t="s">
        <v>1269</v>
      </c>
      <c r="I435" s="23"/>
      <c r="J435" s="21" t="s">
        <v>1269</v>
      </c>
      <c r="K435" s="23"/>
      <c r="L435" s="21" t="s">
        <v>1269</v>
      </c>
      <c r="M435" s="23"/>
      <c r="N435" s="21" t="s">
        <v>1269</v>
      </c>
      <c r="O435" s="23"/>
      <c r="P435" s="21" t="s">
        <v>1269</v>
      </c>
      <c r="Q435" s="23"/>
    </row>
    <row r="436" spans="1:17" x14ac:dyDescent="0.25">
      <c r="A436" s="19" t="s">
        <v>991</v>
      </c>
      <c r="B436" s="19" t="s">
        <v>653</v>
      </c>
      <c r="C436" s="19" t="s">
        <v>293</v>
      </c>
      <c r="D436" s="19" t="s">
        <v>992</v>
      </c>
      <c r="E436" s="19" t="s">
        <v>700</v>
      </c>
      <c r="F436" s="21" t="s">
        <v>1269</v>
      </c>
      <c r="G436" s="23"/>
      <c r="H436" s="21" t="s">
        <v>1269</v>
      </c>
      <c r="I436" s="23"/>
      <c r="J436" s="21" t="s">
        <v>1269</v>
      </c>
      <c r="K436" s="23"/>
      <c r="L436" s="21" t="s">
        <v>1269</v>
      </c>
      <c r="M436" s="23"/>
      <c r="N436" s="21" t="s">
        <v>1269</v>
      </c>
      <c r="O436" s="23"/>
      <c r="P436" s="21" t="s">
        <v>1269</v>
      </c>
      <c r="Q436" s="23"/>
    </row>
    <row r="437" spans="1:17" x14ac:dyDescent="0.25">
      <c r="A437" s="19" t="s">
        <v>993</v>
      </c>
      <c r="B437" s="19" t="s">
        <v>653</v>
      </c>
      <c r="C437" s="19" t="s">
        <v>293</v>
      </c>
      <c r="D437" s="19" t="s">
        <v>994</v>
      </c>
      <c r="E437" s="19" t="s">
        <v>700</v>
      </c>
      <c r="F437" s="21" t="s">
        <v>1269</v>
      </c>
      <c r="G437" s="23"/>
      <c r="H437" s="21" t="s">
        <v>1269</v>
      </c>
      <c r="I437" s="23"/>
      <c r="J437" s="21" t="s">
        <v>1269</v>
      </c>
      <c r="K437" s="23"/>
      <c r="L437" s="21" t="s">
        <v>1269</v>
      </c>
      <c r="M437" s="23"/>
      <c r="N437" s="21" t="s">
        <v>1269</v>
      </c>
      <c r="O437" s="23"/>
      <c r="P437" s="21" t="s">
        <v>1269</v>
      </c>
      <c r="Q437" s="23"/>
    </row>
    <row r="438" spans="1:17" x14ac:dyDescent="0.25">
      <c r="A438" s="19" t="s">
        <v>995</v>
      </c>
      <c r="B438" s="19" t="s">
        <v>653</v>
      </c>
      <c r="C438" s="19" t="s">
        <v>293</v>
      </c>
      <c r="D438" s="19" t="s">
        <v>996</v>
      </c>
      <c r="E438" s="19" t="s">
        <v>205</v>
      </c>
      <c r="F438" s="21" t="s">
        <v>1269</v>
      </c>
      <c r="G438" s="23"/>
      <c r="H438" s="21" t="s">
        <v>1269</v>
      </c>
      <c r="I438" s="23"/>
      <c r="J438" s="21" t="s">
        <v>1269</v>
      </c>
      <c r="K438" s="23"/>
      <c r="L438" s="21" t="s">
        <v>1269</v>
      </c>
      <c r="M438" s="23"/>
      <c r="N438" s="21" t="s">
        <v>1269</v>
      </c>
      <c r="O438" s="23"/>
      <c r="P438" s="21" t="s">
        <v>1269</v>
      </c>
      <c r="Q438" s="23"/>
    </row>
    <row r="439" spans="1:17" x14ac:dyDescent="0.25">
      <c r="A439" s="19" t="s">
        <v>997</v>
      </c>
      <c r="B439" s="19" t="s">
        <v>653</v>
      </c>
      <c r="C439" s="19" t="s">
        <v>293</v>
      </c>
      <c r="D439" s="19" t="s">
        <v>998</v>
      </c>
      <c r="E439" s="19" t="s">
        <v>705</v>
      </c>
      <c r="F439" s="21" t="s">
        <v>1269</v>
      </c>
      <c r="G439" s="23"/>
      <c r="H439" s="21" t="s">
        <v>1269</v>
      </c>
      <c r="I439" s="23"/>
      <c r="J439" s="21" t="s">
        <v>1269</v>
      </c>
      <c r="K439" s="23"/>
      <c r="L439" s="21" t="s">
        <v>1269</v>
      </c>
      <c r="M439" s="23"/>
      <c r="N439" s="21" t="s">
        <v>1269</v>
      </c>
      <c r="O439" s="23"/>
      <c r="P439" s="21" t="s">
        <v>1269</v>
      </c>
      <c r="Q439" s="23"/>
    </row>
    <row r="440" spans="1:17" x14ac:dyDescent="0.25">
      <c r="A440" s="19" t="s">
        <v>999</v>
      </c>
      <c r="B440" s="19" t="s">
        <v>653</v>
      </c>
      <c r="C440" s="19" t="s">
        <v>293</v>
      </c>
      <c r="D440" s="19" t="s">
        <v>1000</v>
      </c>
      <c r="E440" s="19" t="s">
        <v>791</v>
      </c>
      <c r="F440" s="21" t="s">
        <v>1269</v>
      </c>
      <c r="G440" s="23"/>
      <c r="H440" s="21" t="s">
        <v>1269</v>
      </c>
      <c r="I440" s="23"/>
      <c r="J440" s="21" t="s">
        <v>1269</v>
      </c>
      <c r="K440" s="23"/>
      <c r="L440" s="21" t="s">
        <v>1269</v>
      </c>
      <c r="M440" s="23"/>
      <c r="N440" s="21" t="s">
        <v>1269</v>
      </c>
      <c r="O440" s="23"/>
      <c r="P440" s="21" t="s">
        <v>1269</v>
      </c>
      <c r="Q440" s="23"/>
    </row>
    <row r="441" spans="1:17" x14ac:dyDescent="0.25">
      <c r="A441" s="19" t="s">
        <v>1001</v>
      </c>
      <c r="B441" s="19" t="s">
        <v>653</v>
      </c>
      <c r="C441" s="19" t="s">
        <v>293</v>
      </c>
      <c r="D441" s="19" t="s">
        <v>1002</v>
      </c>
      <c r="E441" s="19" t="s">
        <v>794</v>
      </c>
      <c r="F441" s="21" t="s">
        <v>1269</v>
      </c>
      <c r="G441" s="23"/>
      <c r="H441" s="21" t="s">
        <v>1269</v>
      </c>
      <c r="I441" s="23"/>
      <c r="J441" s="21" t="s">
        <v>1269</v>
      </c>
      <c r="K441" s="23"/>
      <c r="L441" s="21" t="s">
        <v>1269</v>
      </c>
      <c r="M441" s="23"/>
      <c r="N441" s="21" t="s">
        <v>1269</v>
      </c>
      <c r="O441" s="23"/>
      <c r="P441" s="21" t="s">
        <v>1269</v>
      </c>
      <c r="Q441" s="23"/>
    </row>
    <row r="442" spans="1:17" x14ac:dyDescent="0.25">
      <c r="A442" s="19" t="s">
        <v>1003</v>
      </c>
      <c r="B442" s="19" t="s">
        <v>653</v>
      </c>
      <c r="C442" s="19" t="s">
        <v>293</v>
      </c>
      <c r="D442" s="19" t="s">
        <v>1004</v>
      </c>
      <c r="E442" s="19" t="s">
        <v>711</v>
      </c>
      <c r="F442" s="21" t="s">
        <v>1269</v>
      </c>
      <c r="G442" s="23"/>
      <c r="H442" s="21" t="s">
        <v>1269</v>
      </c>
      <c r="I442" s="23"/>
      <c r="J442" s="21" t="s">
        <v>1269</v>
      </c>
      <c r="K442" s="23"/>
      <c r="L442" s="21" t="s">
        <v>1269</v>
      </c>
      <c r="M442" s="23"/>
      <c r="N442" s="21" t="s">
        <v>1269</v>
      </c>
      <c r="O442" s="23"/>
      <c r="P442" s="21" t="s">
        <v>1269</v>
      </c>
      <c r="Q442" s="23"/>
    </row>
    <row r="443" spans="1:17" x14ac:dyDescent="0.25">
      <c r="A443" s="19" t="s">
        <v>1005</v>
      </c>
      <c r="B443" s="19" t="s">
        <v>653</v>
      </c>
      <c r="C443" s="19" t="s">
        <v>293</v>
      </c>
      <c r="D443" s="19" t="s">
        <v>1006</v>
      </c>
      <c r="E443" s="19" t="s">
        <v>725</v>
      </c>
      <c r="F443" s="21" t="s">
        <v>1269</v>
      </c>
      <c r="G443" s="23"/>
      <c r="H443" s="21" t="s">
        <v>1269</v>
      </c>
      <c r="I443" s="23"/>
      <c r="J443" s="21" t="s">
        <v>1269</v>
      </c>
      <c r="K443" s="23"/>
      <c r="L443" s="21" t="s">
        <v>1269</v>
      </c>
      <c r="M443" s="23"/>
      <c r="N443" s="21" t="s">
        <v>1269</v>
      </c>
      <c r="O443" s="23"/>
      <c r="P443" s="21" t="s">
        <v>1269</v>
      </c>
      <c r="Q443" s="23"/>
    </row>
    <row r="444" spans="1:17" x14ac:dyDescent="0.25">
      <c r="A444" s="19" t="s">
        <v>1007</v>
      </c>
      <c r="B444" s="19" t="s">
        <v>653</v>
      </c>
      <c r="C444" s="19" t="s">
        <v>293</v>
      </c>
      <c r="D444" s="19" t="s">
        <v>1008</v>
      </c>
      <c r="E444" s="19" t="s">
        <v>799</v>
      </c>
      <c r="F444" s="21" t="s">
        <v>1269</v>
      </c>
      <c r="G444" s="23"/>
      <c r="H444" s="21" t="s">
        <v>1269</v>
      </c>
      <c r="I444" s="23"/>
      <c r="J444" s="21" t="s">
        <v>1269</v>
      </c>
      <c r="K444" s="23"/>
      <c r="L444" s="21" t="s">
        <v>1269</v>
      </c>
      <c r="M444" s="23"/>
      <c r="N444" s="21" t="s">
        <v>1269</v>
      </c>
      <c r="O444" s="23"/>
      <c r="P444" s="21" t="s">
        <v>1269</v>
      </c>
      <c r="Q444" s="23"/>
    </row>
    <row r="445" spans="1:17" x14ac:dyDescent="0.25">
      <c r="A445" s="19" t="s">
        <v>1009</v>
      </c>
      <c r="B445" s="19" t="s">
        <v>653</v>
      </c>
      <c r="C445" s="19" t="s">
        <v>366</v>
      </c>
      <c r="D445" s="19" t="s">
        <v>1010</v>
      </c>
      <c r="E445" s="19" t="s">
        <v>659</v>
      </c>
      <c r="F445" s="21" t="s">
        <v>1269</v>
      </c>
      <c r="G445" s="23"/>
      <c r="H445" s="21" t="s">
        <v>1269</v>
      </c>
      <c r="I445" s="23"/>
      <c r="J445" s="21" t="s">
        <v>1269</v>
      </c>
      <c r="K445" s="23"/>
      <c r="L445" s="21" t="s">
        <v>1269</v>
      </c>
      <c r="M445" s="23"/>
      <c r="N445" s="21" t="s">
        <v>1269</v>
      </c>
      <c r="O445" s="23"/>
      <c r="P445" s="21" t="s">
        <v>1269</v>
      </c>
      <c r="Q445" s="23"/>
    </row>
    <row r="446" spans="1:17" x14ac:dyDescent="0.25">
      <c r="A446" s="19" t="s">
        <v>1011</v>
      </c>
      <c r="B446" s="19" t="s">
        <v>653</v>
      </c>
      <c r="C446" s="19" t="s">
        <v>366</v>
      </c>
      <c r="D446" s="19" t="s">
        <v>1012</v>
      </c>
      <c r="E446" s="19" t="s">
        <v>733</v>
      </c>
      <c r="F446" s="21" t="s">
        <v>1269</v>
      </c>
      <c r="G446" s="23"/>
      <c r="H446" s="21" t="s">
        <v>1269</v>
      </c>
      <c r="I446" s="23"/>
      <c r="J446" s="21" t="s">
        <v>1269</v>
      </c>
      <c r="K446" s="23"/>
      <c r="L446" s="21" t="s">
        <v>1269</v>
      </c>
      <c r="M446" s="23"/>
      <c r="N446" s="21" t="s">
        <v>1269</v>
      </c>
      <c r="O446" s="23"/>
      <c r="P446" s="21" t="s">
        <v>1269</v>
      </c>
      <c r="Q446" s="23"/>
    </row>
    <row r="447" spans="1:17" x14ac:dyDescent="0.25">
      <c r="A447" s="19" t="s">
        <v>1013</v>
      </c>
      <c r="B447" s="19" t="s">
        <v>653</v>
      </c>
      <c r="C447" s="19" t="s">
        <v>366</v>
      </c>
      <c r="D447" s="19" t="s">
        <v>1014</v>
      </c>
      <c r="E447" s="19" t="s">
        <v>66</v>
      </c>
      <c r="F447" s="21" t="s">
        <v>1269</v>
      </c>
      <c r="G447" s="23"/>
      <c r="H447" s="21" t="s">
        <v>1269</v>
      </c>
      <c r="I447" s="23"/>
      <c r="J447" s="21" t="s">
        <v>1269</v>
      </c>
      <c r="K447" s="23"/>
      <c r="L447" s="21" t="s">
        <v>1269</v>
      </c>
      <c r="M447" s="23"/>
      <c r="N447" s="21" t="s">
        <v>1269</v>
      </c>
      <c r="O447" s="23"/>
      <c r="P447" s="21" t="s">
        <v>1269</v>
      </c>
      <c r="Q447" s="23"/>
    </row>
    <row r="448" spans="1:17" x14ac:dyDescent="0.25">
      <c r="A448" s="19" t="s">
        <v>1015</v>
      </c>
      <c r="B448" s="19" t="s">
        <v>653</v>
      </c>
      <c r="C448" s="19" t="s">
        <v>366</v>
      </c>
      <c r="D448" s="19" t="s">
        <v>1016</v>
      </c>
      <c r="E448" s="19" t="s">
        <v>66</v>
      </c>
      <c r="F448" s="21" t="s">
        <v>1269</v>
      </c>
      <c r="G448" s="23"/>
      <c r="H448" s="21" t="s">
        <v>1269</v>
      </c>
      <c r="I448" s="23"/>
      <c r="J448" s="21" t="s">
        <v>1269</v>
      </c>
      <c r="K448" s="23"/>
      <c r="L448" s="21" t="s">
        <v>1269</v>
      </c>
      <c r="M448" s="23"/>
      <c r="N448" s="21" t="s">
        <v>1269</v>
      </c>
      <c r="O448" s="23"/>
      <c r="P448" s="21" t="s">
        <v>1269</v>
      </c>
      <c r="Q448" s="23"/>
    </row>
    <row r="449" spans="1:17" x14ac:dyDescent="0.25">
      <c r="A449" s="19" t="s">
        <v>1017</v>
      </c>
      <c r="B449" s="19" t="s">
        <v>653</v>
      </c>
      <c r="C449" s="19" t="s">
        <v>366</v>
      </c>
      <c r="D449" s="19" t="s">
        <v>1018</v>
      </c>
      <c r="E449" s="19" t="s">
        <v>662</v>
      </c>
      <c r="F449" s="21" t="s">
        <v>1269</v>
      </c>
      <c r="G449" s="23"/>
      <c r="H449" s="21" t="s">
        <v>1269</v>
      </c>
      <c r="I449" s="23"/>
      <c r="J449" s="21" t="s">
        <v>1269</v>
      </c>
      <c r="K449" s="23"/>
      <c r="L449" s="21" t="s">
        <v>1269</v>
      </c>
      <c r="M449" s="23"/>
      <c r="N449" s="21" t="s">
        <v>1269</v>
      </c>
      <c r="O449" s="23"/>
      <c r="P449" s="21" t="s">
        <v>1269</v>
      </c>
      <c r="Q449" s="23"/>
    </row>
    <row r="450" spans="1:17" x14ac:dyDescent="0.25">
      <c r="A450" s="19" t="s">
        <v>1019</v>
      </c>
      <c r="B450" s="19" t="s">
        <v>653</v>
      </c>
      <c r="C450" s="19" t="s">
        <v>366</v>
      </c>
      <c r="D450" s="19" t="s">
        <v>1020</v>
      </c>
      <c r="E450" s="19" t="s">
        <v>662</v>
      </c>
      <c r="F450" s="21" t="s">
        <v>1269</v>
      </c>
      <c r="G450" s="23"/>
      <c r="H450" s="21" t="s">
        <v>1269</v>
      </c>
      <c r="I450" s="23"/>
      <c r="J450" s="21" t="s">
        <v>1269</v>
      </c>
      <c r="K450" s="23"/>
      <c r="L450" s="21" t="s">
        <v>1269</v>
      </c>
      <c r="M450" s="23"/>
      <c r="N450" s="21" t="s">
        <v>1269</v>
      </c>
      <c r="O450" s="23"/>
      <c r="P450" s="21" t="s">
        <v>1269</v>
      </c>
      <c r="Q450" s="23"/>
    </row>
    <row r="451" spans="1:17" x14ac:dyDescent="0.25">
      <c r="A451" s="19" t="s">
        <v>1021</v>
      </c>
      <c r="B451" s="19" t="s">
        <v>653</v>
      </c>
      <c r="C451" s="19" t="s">
        <v>366</v>
      </c>
      <c r="D451" s="19" t="s">
        <v>1022</v>
      </c>
      <c r="E451" s="19" t="s">
        <v>662</v>
      </c>
      <c r="F451" s="21" t="s">
        <v>1269</v>
      </c>
      <c r="G451" s="23"/>
      <c r="H451" s="21" t="s">
        <v>1269</v>
      </c>
      <c r="I451" s="23"/>
      <c r="J451" s="21" t="s">
        <v>1269</v>
      </c>
      <c r="K451" s="23"/>
      <c r="L451" s="21" t="s">
        <v>1269</v>
      </c>
      <c r="M451" s="23"/>
      <c r="N451" s="21" t="s">
        <v>1269</v>
      </c>
      <c r="O451" s="23"/>
      <c r="P451" s="21" t="s">
        <v>1269</v>
      </c>
      <c r="Q451" s="23"/>
    </row>
    <row r="452" spans="1:17" x14ac:dyDescent="0.25">
      <c r="A452" s="19" t="s">
        <v>1023</v>
      </c>
      <c r="B452" s="19" t="s">
        <v>653</v>
      </c>
      <c r="C452" s="19" t="s">
        <v>366</v>
      </c>
      <c r="D452" s="19" t="s">
        <v>1024</v>
      </c>
      <c r="E452" s="19" t="s">
        <v>79</v>
      </c>
      <c r="F452" s="21" t="s">
        <v>1269</v>
      </c>
      <c r="G452" s="23"/>
      <c r="H452" s="21" t="s">
        <v>1269</v>
      </c>
      <c r="I452" s="23"/>
      <c r="J452" s="21" t="s">
        <v>1269</v>
      </c>
      <c r="K452" s="23"/>
      <c r="L452" s="21" t="s">
        <v>1269</v>
      </c>
      <c r="M452" s="23"/>
      <c r="N452" s="21" t="s">
        <v>1269</v>
      </c>
      <c r="O452" s="23"/>
      <c r="P452" s="21" t="s">
        <v>1269</v>
      </c>
      <c r="Q452" s="23"/>
    </row>
    <row r="453" spans="1:17" x14ac:dyDescent="0.25">
      <c r="A453" s="19" t="s">
        <v>1025</v>
      </c>
      <c r="B453" s="19" t="s">
        <v>653</v>
      </c>
      <c r="C453" s="19" t="s">
        <v>366</v>
      </c>
      <c r="D453" s="19" t="s">
        <v>1026</v>
      </c>
      <c r="E453" s="19" t="s">
        <v>667</v>
      </c>
      <c r="F453" s="21" t="s">
        <v>1269</v>
      </c>
      <c r="G453" s="23"/>
      <c r="H453" s="21" t="s">
        <v>1269</v>
      </c>
      <c r="I453" s="23"/>
      <c r="J453" s="21" t="s">
        <v>1269</v>
      </c>
      <c r="K453" s="23"/>
      <c r="L453" s="21" t="s">
        <v>1269</v>
      </c>
      <c r="M453" s="23"/>
      <c r="N453" s="21" t="s">
        <v>1269</v>
      </c>
      <c r="O453" s="23"/>
      <c r="P453" s="21" t="s">
        <v>1269</v>
      </c>
      <c r="Q453" s="23"/>
    </row>
    <row r="454" spans="1:17" x14ac:dyDescent="0.25">
      <c r="A454" s="19" t="s">
        <v>1027</v>
      </c>
      <c r="B454" s="19" t="s">
        <v>653</v>
      </c>
      <c r="C454" s="19" t="s">
        <v>366</v>
      </c>
      <c r="D454" s="19" t="s">
        <v>1028</v>
      </c>
      <c r="E454" s="19" t="s">
        <v>667</v>
      </c>
      <c r="F454" s="21" t="s">
        <v>1269</v>
      </c>
      <c r="G454" s="23"/>
      <c r="H454" s="21" t="s">
        <v>1269</v>
      </c>
      <c r="I454" s="23"/>
      <c r="J454" s="21" t="s">
        <v>1269</v>
      </c>
      <c r="K454" s="23"/>
      <c r="L454" s="21" t="s">
        <v>1269</v>
      </c>
      <c r="M454" s="23"/>
      <c r="N454" s="21" t="s">
        <v>1269</v>
      </c>
      <c r="O454" s="23"/>
      <c r="P454" s="21" t="s">
        <v>1269</v>
      </c>
      <c r="Q454" s="23"/>
    </row>
    <row r="455" spans="1:17" x14ac:dyDescent="0.25">
      <c r="A455" s="19" t="s">
        <v>1029</v>
      </c>
      <c r="B455" s="19" t="s">
        <v>653</v>
      </c>
      <c r="C455" s="19" t="s">
        <v>366</v>
      </c>
      <c r="D455" s="19" t="s">
        <v>1030</v>
      </c>
      <c r="E455" s="19" t="s">
        <v>86</v>
      </c>
      <c r="F455" s="21" t="s">
        <v>1269</v>
      </c>
      <c r="G455" s="23"/>
      <c r="H455" s="21" t="s">
        <v>1269</v>
      </c>
      <c r="I455" s="23"/>
      <c r="J455" s="21" t="s">
        <v>1269</v>
      </c>
      <c r="K455" s="23"/>
      <c r="L455" s="21" t="s">
        <v>1269</v>
      </c>
      <c r="M455" s="23"/>
      <c r="N455" s="21" t="s">
        <v>1269</v>
      </c>
      <c r="O455" s="23"/>
      <c r="P455" s="21" t="s">
        <v>1269</v>
      </c>
      <c r="Q455" s="23"/>
    </row>
    <row r="456" spans="1:17" x14ac:dyDescent="0.25">
      <c r="A456" s="19" t="s">
        <v>1031</v>
      </c>
      <c r="B456" s="19" t="s">
        <v>653</v>
      </c>
      <c r="C456" s="19" t="s">
        <v>366</v>
      </c>
      <c r="D456" s="19" t="s">
        <v>1032</v>
      </c>
      <c r="E456" s="19" t="s">
        <v>89</v>
      </c>
      <c r="F456" s="21" t="s">
        <v>1269</v>
      </c>
      <c r="G456" s="23"/>
      <c r="H456" s="21" t="s">
        <v>1269</v>
      </c>
      <c r="I456" s="23"/>
      <c r="J456" s="21" t="s">
        <v>1269</v>
      </c>
      <c r="K456" s="23"/>
      <c r="L456" s="21" t="s">
        <v>1269</v>
      </c>
      <c r="M456" s="23"/>
      <c r="N456" s="21" t="s">
        <v>1269</v>
      </c>
      <c r="O456" s="23"/>
      <c r="P456" s="21" t="s">
        <v>1269</v>
      </c>
      <c r="Q456" s="23"/>
    </row>
    <row r="457" spans="1:17" x14ac:dyDescent="0.25">
      <c r="A457" s="19" t="s">
        <v>1033</v>
      </c>
      <c r="B457" s="19" t="s">
        <v>653</v>
      </c>
      <c r="C457" s="19" t="s">
        <v>366</v>
      </c>
      <c r="D457" s="19" t="s">
        <v>1034</v>
      </c>
      <c r="E457" s="19" t="s">
        <v>89</v>
      </c>
      <c r="F457" s="21" t="s">
        <v>1269</v>
      </c>
      <c r="G457" s="23"/>
      <c r="H457" s="21" t="s">
        <v>1269</v>
      </c>
      <c r="I457" s="23"/>
      <c r="J457" s="21" t="s">
        <v>1269</v>
      </c>
      <c r="K457" s="23"/>
      <c r="L457" s="21" t="s">
        <v>1269</v>
      </c>
      <c r="M457" s="23"/>
      <c r="N457" s="21" t="s">
        <v>1269</v>
      </c>
      <c r="O457" s="23"/>
      <c r="P457" s="21" t="s">
        <v>1269</v>
      </c>
      <c r="Q457" s="23"/>
    </row>
    <row r="458" spans="1:17" x14ac:dyDescent="0.25">
      <c r="A458" s="19" t="s">
        <v>1035</v>
      </c>
      <c r="B458" s="19" t="s">
        <v>653</v>
      </c>
      <c r="C458" s="19" t="s">
        <v>366</v>
      </c>
      <c r="D458" s="19" t="s">
        <v>1036</v>
      </c>
      <c r="E458" s="19" t="s">
        <v>89</v>
      </c>
      <c r="F458" s="21" t="s">
        <v>1269</v>
      </c>
      <c r="G458" s="23"/>
      <c r="H458" s="21" t="s">
        <v>1269</v>
      </c>
      <c r="I458" s="23"/>
      <c r="J458" s="21" t="s">
        <v>1269</v>
      </c>
      <c r="K458" s="23"/>
      <c r="L458" s="21" t="s">
        <v>1269</v>
      </c>
      <c r="M458" s="23"/>
      <c r="N458" s="21" t="s">
        <v>1269</v>
      </c>
      <c r="O458" s="23"/>
      <c r="P458" s="21" t="s">
        <v>1269</v>
      </c>
      <c r="Q458" s="23"/>
    </row>
    <row r="459" spans="1:17" x14ac:dyDescent="0.25">
      <c r="A459" s="19" t="s">
        <v>1037</v>
      </c>
      <c r="B459" s="19" t="s">
        <v>653</v>
      </c>
      <c r="C459" s="19" t="s">
        <v>366</v>
      </c>
      <c r="D459" s="19" t="s">
        <v>1038</v>
      </c>
      <c r="E459" s="19" t="s">
        <v>674</v>
      </c>
      <c r="F459" s="21" t="s">
        <v>1269</v>
      </c>
      <c r="G459" s="23"/>
      <c r="H459" s="21" t="s">
        <v>1269</v>
      </c>
      <c r="I459" s="23"/>
      <c r="J459" s="21" t="s">
        <v>1269</v>
      </c>
      <c r="K459" s="23"/>
      <c r="L459" s="21" t="s">
        <v>1269</v>
      </c>
      <c r="M459" s="23"/>
      <c r="N459" s="21" t="s">
        <v>1269</v>
      </c>
      <c r="O459" s="23"/>
      <c r="P459" s="21" t="s">
        <v>1269</v>
      </c>
      <c r="Q459" s="23"/>
    </row>
    <row r="460" spans="1:17" x14ac:dyDescent="0.25">
      <c r="A460" s="19" t="s">
        <v>1039</v>
      </c>
      <c r="B460" s="19" t="s">
        <v>653</v>
      </c>
      <c r="C460" s="19" t="s">
        <v>366</v>
      </c>
      <c r="D460" s="19" t="s">
        <v>1040</v>
      </c>
      <c r="E460" s="19" t="s">
        <v>674</v>
      </c>
      <c r="F460" s="21" t="s">
        <v>1269</v>
      </c>
      <c r="G460" s="23"/>
      <c r="H460" s="21" t="s">
        <v>1269</v>
      </c>
      <c r="I460" s="23"/>
      <c r="J460" s="21" t="s">
        <v>1269</v>
      </c>
      <c r="K460" s="23"/>
      <c r="L460" s="21" t="s">
        <v>1269</v>
      </c>
      <c r="M460" s="23"/>
      <c r="N460" s="21" t="s">
        <v>1269</v>
      </c>
      <c r="O460" s="23"/>
      <c r="P460" s="21" t="s">
        <v>1269</v>
      </c>
      <c r="Q460" s="23"/>
    </row>
    <row r="461" spans="1:17" x14ac:dyDescent="0.25">
      <c r="A461" s="19" t="s">
        <v>1041</v>
      </c>
      <c r="B461" s="19" t="s">
        <v>653</v>
      </c>
      <c r="C461" s="19" t="s">
        <v>366</v>
      </c>
      <c r="D461" s="19" t="s">
        <v>1042</v>
      </c>
      <c r="E461" s="19" t="s">
        <v>764</v>
      </c>
      <c r="F461" s="21" t="s">
        <v>1269</v>
      </c>
      <c r="G461" s="23"/>
      <c r="H461" s="21" t="s">
        <v>1269</v>
      </c>
      <c r="I461" s="23"/>
      <c r="J461" s="21" t="s">
        <v>1269</v>
      </c>
      <c r="K461" s="23"/>
      <c r="L461" s="21" t="s">
        <v>1269</v>
      </c>
      <c r="M461" s="23"/>
      <c r="N461" s="21" t="s">
        <v>1269</v>
      </c>
      <c r="O461" s="23"/>
      <c r="P461" s="21" t="s">
        <v>1269</v>
      </c>
      <c r="Q461" s="23"/>
    </row>
    <row r="462" spans="1:17" x14ac:dyDescent="0.25">
      <c r="A462" s="19" t="s">
        <v>1043</v>
      </c>
      <c r="B462" s="19" t="s">
        <v>653</v>
      </c>
      <c r="C462" s="19" t="s">
        <v>366</v>
      </c>
      <c r="D462" s="19" t="s">
        <v>1044</v>
      </c>
      <c r="E462" s="19" t="s">
        <v>764</v>
      </c>
      <c r="F462" s="21" t="s">
        <v>1269</v>
      </c>
      <c r="G462" s="23"/>
      <c r="H462" s="21" t="s">
        <v>1269</v>
      </c>
      <c r="I462" s="23"/>
      <c r="J462" s="21" t="s">
        <v>1269</v>
      </c>
      <c r="K462" s="23"/>
      <c r="L462" s="21" t="s">
        <v>1269</v>
      </c>
      <c r="M462" s="23"/>
      <c r="N462" s="21" t="s">
        <v>1269</v>
      </c>
      <c r="O462" s="23"/>
      <c r="P462" s="21" t="s">
        <v>1269</v>
      </c>
      <c r="Q462" s="23"/>
    </row>
    <row r="463" spans="1:17" x14ac:dyDescent="0.25">
      <c r="A463" s="19" t="s">
        <v>1045</v>
      </c>
      <c r="B463" s="19" t="s">
        <v>653</v>
      </c>
      <c r="C463" s="19" t="s">
        <v>366</v>
      </c>
      <c r="D463" s="19" t="s">
        <v>1046</v>
      </c>
      <c r="E463" s="19" t="s">
        <v>679</v>
      </c>
      <c r="F463" s="21" t="s">
        <v>1269</v>
      </c>
      <c r="G463" s="23"/>
      <c r="H463" s="21" t="s">
        <v>1269</v>
      </c>
      <c r="I463" s="23"/>
      <c r="J463" s="21" t="s">
        <v>1269</v>
      </c>
      <c r="K463" s="23"/>
      <c r="L463" s="21" t="s">
        <v>1269</v>
      </c>
      <c r="M463" s="23"/>
      <c r="N463" s="21" t="s">
        <v>1269</v>
      </c>
      <c r="O463" s="23"/>
      <c r="P463" s="21" t="s">
        <v>1269</v>
      </c>
      <c r="Q463" s="23"/>
    </row>
    <row r="464" spans="1:17" x14ac:dyDescent="0.25">
      <c r="A464" s="19" t="s">
        <v>1047</v>
      </c>
      <c r="B464" s="19" t="s">
        <v>653</v>
      </c>
      <c r="C464" s="19" t="s">
        <v>366</v>
      </c>
      <c r="D464" s="19" t="s">
        <v>1048</v>
      </c>
      <c r="E464" s="19" t="s">
        <v>912</v>
      </c>
      <c r="F464" s="21" t="s">
        <v>1269</v>
      </c>
      <c r="G464" s="23"/>
      <c r="H464" s="21" t="s">
        <v>1269</v>
      </c>
      <c r="I464" s="23"/>
      <c r="J464" s="21" t="s">
        <v>1269</v>
      </c>
      <c r="K464" s="23"/>
      <c r="L464" s="21" t="s">
        <v>1269</v>
      </c>
      <c r="M464" s="23"/>
      <c r="N464" s="21" t="s">
        <v>1269</v>
      </c>
      <c r="O464" s="23"/>
      <c r="P464" s="21" t="s">
        <v>1269</v>
      </c>
      <c r="Q464" s="23"/>
    </row>
    <row r="465" spans="1:17" x14ac:dyDescent="0.25">
      <c r="A465" s="19" t="s">
        <v>1049</v>
      </c>
      <c r="B465" s="19" t="s">
        <v>653</v>
      </c>
      <c r="C465" s="19" t="s">
        <v>366</v>
      </c>
      <c r="D465" s="19" t="s">
        <v>1050</v>
      </c>
      <c r="E465" s="19" t="s">
        <v>113</v>
      </c>
      <c r="F465" s="21" t="s">
        <v>1269</v>
      </c>
      <c r="G465" s="23"/>
      <c r="H465" s="21" t="s">
        <v>1269</v>
      </c>
      <c r="I465" s="23"/>
      <c r="J465" s="21" t="s">
        <v>1269</v>
      </c>
      <c r="K465" s="23"/>
      <c r="L465" s="21" t="s">
        <v>1269</v>
      </c>
      <c r="M465" s="23"/>
      <c r="N465" s="21" t="s">
        <v>1269</v>
      </c>
      <c r="O465" s="23"/>
      <c r="P465" s="21" t="s">
        <v>1269</v>
      </c>
      <c r="Q465" s="23"/>
    </row>
    <row r="466" spans="1:17" x14ac:dyDescent="0.25">
      <c r="A466" s="19" t="s">
        <v>1051</v>
      </c>
      <c r="B466" s="19" t="s">
        <v>653</v>
      </c>
      <c r="C466" s="19" t="s">
        <v>366</v>
      </c>
      <c r="D466" s="19" t="s">
        <v>1052</v>
      </c>
      <c r="E466" s="19" t="s">
        <v>120</v>
      </c>
      <c r="F466" s="21" t="s">
        <v>1269</v>
      </c>
      <c r="G466" s="23"/>
      <c r="H466" s="21" t="s">
        <v>1269</v>
      </c>
      <c r="I466" s="23"/>
      <c r="J466" s="21" t="s">
        <v>1269</v>
      </c>
      <c r="K466" s="23"/>
      <c r="L466" s="21" t="s">
        <v>1269</v>
      </c>
      <c r="M466" s="23"/>
      <c r="N466" s="21" t="s">
        <v>1269</v>
      </c>
      <c r="O466" s="23"/>
      <c r="P466" s="21" t="s">
        <v>1269</v>
      </c>
      <c r="Q466" s="23"/>
    </row>
    <row r="467" spans="1:17" x14ac:dyDescent="0.25">
      <c r="A467" s="19" t="s">
        <v>1053</v>
      </c>
      <c r="B467" s="19" t="s">
        <v>653</v>
      </c>
      <c r="C467" s="19" t="s">
        <v>366</v>
      </c>
      <c r="D467" s="19" t="s">
        <v>1054</v>
      </c>
      <c r="E467" s="19" t="s">
        <v>120</v>
      </c>
      <c r="F467" s="21" t="s">
        <v>1269</v>
      </c>
      <c r="G467" s="23"/>
      <c r="H467" s="21" t="s">
        <v>1269</v>
      </c>
      <c r="I467" s="23"/>
      <c r="J467" s="21" t="s">
        <v>1269</v>
      </c>
      <c r="K467" s="23"/>
      <c r="L467" s="21" t="s">
        <v>1269</v>
      </c>
      <c r="M467" s="23"/>
      <c r="N467" s="21" t="s">
        <v>1269</v>
      </c>
      <c r="O467" s="23"/>
      <c r="P467" s="21" t="s">
        <v>1269</v>
      </c>
      <c r="Q467" s="23"/>
    </row>
    <row r="468" spans="1:17" x14ac:dyDescent="0.25">
      <c r="A468" s="19" t="s">
        <v>1055</v>
      </c>
      <c r="B468" s="19" t="s">
        <v>653</v>
      </c>
      <c r="C468" s="19" t="s">
        <v>366</v>
      </c>
      <c r="D468" s="19" t="s">
        <v>1056</v>
      </c>
      <c r="E468" s="19" t="s">
        <v>120</v>
      </c>
      <c r="F468" s="21" t="s">
        <v>1269</v>
      </c>
      <c r="G468" s="23"/>
      <c r="H468" s="21" t="s">
        <v>1269</v>
      </c>
      <c r="I468" s="23"/>
      <c r="J468" s="21" t="s">
        <v>1269</v>
      </c>
      <c r="K468" s="23"/>
      <c r="L468" s="21" t="s">
        <v>1269</v>
      </c>
      <c r="M468" s="23"/>
      <c r="N468" s="21" t="s">
        <v>1269</v>
      </c>
      <c r="O468" s="23"/>
      <c r="P468" s="21" t="s">
        <v>1269</v>
      </c>
      <c r="Q468" s="23"/>
    </row>
    <row r="469" spans="1:17" x14ac:dyDescent="0.25">
      <c r="A469" s="19" t="s">
        <v>1057</v>
      </c>
      <c r="B469" s="19" t="s">
        <v>653</v>
      </c>
      <c r="C469" s="19" t="s">
        <v>366</v>
      </c>
      <c r="D469" s="19" t="s">
        <v>1058</v>
      </c>
      <c r="E469" s="19" t="s">
        <v>700</v>
      </c>
      <c r="F469" s="21" t="s">
        <v>1269</v>
      </c>
      <c r="G469" s="23"/>
      <c r="H469" s="21" t="s">
        <v>1269</v>
      </c>
      <c r="I469" s="23"/>
      <c r="J469" s="21" t="s">
        <v>1269</v>
      </c>
      <c r="K469" s="23"/>
      <c r="L469" s="21" t="s">
        <v>1269</v>
      </c>
      <c r="M469" s="23"/>
      <c r="N469" s="21" t="s">
        <v>1269</v>
      </c>
      <c r="O469" s="23"/>
      <c r="P469" s="21" t="s">
        <v>1269</v>
      </c>
      <c r="Q469" s="23"/>
    </row>
    <row r="470" spans="1:17" x14ac:dyDescent="0.25">
      <c r="A470" s="19" t="s">
        <v>1059</v>
      </c>
      <c r="B470" s="19" t="s">
        <v>653</v>
      </c>
      <c r="C470" s="19" t="s">
        <v>366</v>
      </c>
      <c r="D470" s="19" t="s">
        <v>1060</v>
      </c>
      <c r="E470" s="19" t="s">
        <v>700</v>
      </c>
      <c r="F470" s="21" t="s">
        <v>1269</v>
      </c>
      <c r="G470" s="23"/>
      <c r="H470" s="21" t="s">
        <v>1269</v>
      </c>
      <c r="I470" s="23"/>
      <c r="J470" s="21" t="s">
        <v>1269</v>
      </c>
      <c r="K470" s="23"/>
      <c r="L470" s="21" t="s">
        <v>1269</v>
      </c>
      <c r="M470" s="23"/>
      <c r="N470" s="21" t="s">
        <v>1269</v>
      </c>
      <c r="O470" s="23"/>
      <c r="P470" s="21" t="s">
        <v>1269</v>
      </c>
      <c r="Q470" s="23"/>
    </row>
    <row r="471" spans="1:17" x14ac:dyDescent="0.25">
      <c r="A471" s="19" t="s">
        <v>1061</v>
      </c>
      <c r="B471" s="19" t="s">
        <v>653</v>
      </c>
      <c r="C471" s="19" t="s">
        <v>366</v>
      </c>
      <c r="D471" s="19" t="s">
        <v>1062</v>
      </c>
      <c r="E471" s="19" t="s">
        <v>700</v>
      </c>
      <c r="F471" s="21" t="s">
        <v>1269</v>
      </c>
      <c r="G471" s="23"/>
      <c r="H471" s="21" t="s">
        <v>1269</v>
      </c>
      <c r="I471" s="23"/>
      <c r="J471" s="21" t="s">
        <v>1269</v>
      </c>
      <c r="K471" s="23"/>
      <c r="L471" s="21" t="s">
        <v>1269</v>
      </c>
      <c r="M471" s="23"/>
      <c r="N471" s="21" t="s">
        <v>1269</v>
      </c>
      <c r="O471" s="23"/>
      <c r="P471" s="21" t="s">
        <v>1269</v>
      </c>
      <c r="Q471" s="23"/>
    </row>
    <row r="472" spans="1:17" x14ac:dyDescent="0.25">
      <c r="A472" s="19" t="s">
        <v>1063</v>
      </c>
      <c r="B472" s="19" t="s">
        <v>653</v>
      </c>
      <c r="C472" s="19" t="s">
        <v>366</v>
      </c>
      <c r="D472" s="19" t="s">
        <v>1064</v>
      </c>
      <c r="E472" s="19" t="s">
        <v>205</v>
      </c>
      <c r="F472" s="21" t="s">
        <v>1269</v>
      </c>
      <c r="G472" s="23"/>
      <c r="H472" s="21" t="s">
        <v>1269</v>
      </c>
      <c r="I472" s="23"/>
      <c r="J472" s="21" t="s">
        <v>1269</v>
      </c>
      <c r="K472" s="23"/>
      <c r="L472" s="21" t="s">
        <v>1269</v>
      </c>
      <c r="M472" s="23"/>
      <c r="N472" s="21" t="s">
        <v>1269</v>
      </c>
      <c r="O472" s="23"/>
      <c r="P472" s="21" t="s">
        <v>1269</v>
      </c>
      <c r="Q472" s="23"/>
    </row>
    <row r="473" spans="1:17" x14ac:dyDescent="0.25">
      <c r="A473" s="19" t="s">
        <v>1065</v>
      </c>
      <c r="B473" s="19" t="s">
        <v>653</v>
      </c>
      <c r="C473" s="19" t="s">
        <v>366</v>
      </c>
      <c r="D473" s="19" t="s">
        <v>1066</v>
      </c>
      <c r="E473" s="19" t="s">
        <v>705</v>
      </c>
      <c r="F473" s="21" t="s">
        <v>1269</v>
      </c>
      <c r="G473" s="23"/>
      <c r="H473" s="21" t="s">
        <v>1269</v>
      </c>
      <c r="I473" s="23"/>
      <c r="J473" s="21" t="s">
        <v>1269</v>
      </c>
      <c r="K473" s="23"/>
      <c r="L473" s="21" t="s">
        <v>1269</v>
      </c>
      <c r="M473" s="23"/>
      <c r="N473" s="21" t="s">
        <v>1269</v>
      </c>
      <c r="O473" s="23"/>
      <c r="P473" s="21" t="s">
        <v>1269</v>
      </c>
      <c r="Q473" s="23"/>
    </row>
    <row r="474" spans="1:17" x14ac:dyDescent="0.25">
      <c r="A474" s="19" t="s">
        <v>1067</v>
      </c>
      <c r="B474" s="19" t="s">
        <v>653</v>
      </c>
      <c r="C474" s="19" t="s">
        <v>366</v>
      </c>
      <c r="D474" s="19" t="s">
        <v>1068</v>
      </c>
      <c r="E474" s="19" t="s">
        <v>791</v>
      </c>
      <c r="F474" s="21" t="s">
        <v>1269</v>
      </c>
      <c r="G474" s="23"/>
      <c r="H474" s="21" t="s">
        <v>1269</v>
      </c>
      <c r="I474" s="23"/>
      <c r="J474" s="21" t="s">
        <v>1269</v>
      </c>
      <c r="K474" s="23"/>
      <c r="L474" s="21" t="s">
        <v>1269</v>
      </c>
      <c r="M474" s="23"/>
      <c r="N474" s="21" t="s">
        <v>1269</v>
      </c>
      <c r="O474" s="23"/>
      <c r="P474" s="21" t="s">
        <v>1269</v>
      </c>
      <c r="Q474" s="23"/>
    </row>
    <row r="475" spans="1:17" x14ac:dyDescent="0.25">
      <c r="A475" s="19" t="s">
        <v>1069</v>
      </c>
      <c r="B475" s="19" t="s">
        <v>653</v>
      </c>
      <c r="C475" s="19" t="s">
        <v>366</v>
      </c>
      <c r="D475" s="19" t="s">
        <v>1070</v>
      </c>
      <c r="E475" s="19" t="s">
        <v>794</v>
      </c>
      <c r="F475" s="21" t="s">
        <v>1269</v>
      </c>
      <c r="G475" s="23"/>
      <c r="H475" s="21" t="s">
        <v>1269</v>
      </c>
      <c r="I475" s="23"/>
      <c r="J475" s="21" t="s">
        <v>1269</v>
      </c>
      <c r="K475" s="23"/>
      <c r="L475" s="21" t="s">
        <v>1269</v>
      </c>
      <c r="M475" s="23"/>
      <c r="N475" s="21" t="s">
        <v>1269</v>
      </c>
      <c r="O475" s="23"/>
      <c r="P475" s="21" t="s">
        <v>1269</v>
      </c>
      <c r="Q475" s="23"/>
    </row>
    <row r="476" spans="1:17" x14ac:dyDescent="0.25">
      <c r="A476" s="19" t="s">
        <v>1071</v>
      </c>
      <c r="B476" s="19" t="s">
        <v>653</v>
      </c>
      <c r="C476" s="19" t="s">
        <v>366</v>
      </c>
      <c r="D476" s="19" t="s">
        <v>1072</v>
      </c>
      <c r="E476" s="19" t="s">
        <v>711</v>
      </c>
      <c r="F476" s="21" t="s">
        <v>1269</v>
      </c>
      <c r="G476" s="23"/>
      <c r="H476" s="21" t="s">
        <v>1269</v>
      </c>
      <c r="I476" s="23"/>
      <c r="J476" s="21" t="s">
        <v>1269</v>
      </c>
      <c r="K476" s="23"/>
      <c r="L476" s="21" t="s">
        <v>1269</v>
      </c>
      <c r="M476" s="23"/>
      <c r="N476" s="21" t="s">
        <v>1269</v>
      </c>
      <c r="O476" s="23"/>
      <c r="P476" s="21" t="s">
        <v>1269</v>
      </c>
      <c r="Q476" s="23"/>
    </row>
    <row r="477" spans="1:17" x14ac:dyDescent="0.25">
      <c r="A477" s="19" t="s">
        <v>1073</v>
      </c>
      <c r="B477" s="19" t="s">
        <v>653</v>
      </c>
      <c r="C477" s="19" t="s">
        <v>366</v>
      </c>
      <c r="D477" s="19" t="s">
        <v>1074</v>
      </c>
      <c r="E477" s="19" t="s">
        <v>725</v>
      </c>
      <c r="F477" s="21" t="s">
        <v>1269</v>
      </c>
      <c r="G477" s="23"/>
      <c r="H477" s="21" t="s">
        <v>1269</v>
      </c>
      <c r="I477" s="23"/>
      <c r="J477" s="21" t="s">
        <v>1269</v>
      </c>
      <c r="K477" s="23"/>
      <c r="L477" s="21" t="s">
        <v>1269</v>
      </c>
      <c r="M477" s="23"/>
      <c r="N477" s="21" t="s">
        <v>1269</v>
      </c>
      <c r="O477" s="23"/>
      <c r="P477" s="21" t="s">
        <v>1269</v>
      </c>
      <c r="Q477" s="23"/>
    </row>
    <row r="478" spans="1:17" x14ac:dyDescent="0.25">
      <c r="A478" s="19" t="s">
        <v>1075</v>
      </c>
      <c r="B478" s="19" t="s">
        <v>653</v>
      </c>
      <c r="C478" s="19" t="s">
        <v>366</v>
      </c>
      <c r="D478" s="19" t="s">
        <v>1076</v>
      </c>
      <c r="E478" s="19" t="s">
        <v>799</v>
      </c>
      <c r="F478" s="21" t="s">
        <v>1269</v>
      </c>
      <c r="G478" s="23"/>
      <c r="H478" s="21" t="s">
        <v>1269</v>
      </c>
      <c r="I478" s="23"/>
      <c r="J478" s="21" t="s">
        <v>1269</v>
      </c>
      <c r="K478" s="23"/>
      <c r="L478" s="21" t="s">
        <v>1269</v>
      </c>
      <c r="M478" s="23"/>
      <c r="N478" s="21" t="s">
        <v>1269</v>
      </c>
      <c r="O478" s="23"/>
      <c r="P478" s="21" t="s">
        <v>1269</v>
      </c>
      <c r="Q478" s="23"/>
    </row>
    <row r="479" spans="1:17" x14ac:dyDescent="0.25">
      <c r="A479" s="19" t="s">
        <v>1077</v>
      </c>
      <c r="B479" s="19" t="s">
        <v>653</v>
      </c>
      <c r="C479" s="19" t="s">
        <v>437</v>
      </c>
      <c r="D479" s="19" t="s">
        <v>1078</v>
      </c>
      <c r="E479" s="19" t="s">
        <v>659</v>
      </c>
      <c r="F479" s="21" t="s">
        <v>1269</v>
      </c>
      <c r="G479" s="23"/>
      <c r="H479" s="21" t="s">
        <v>1269</v>
      </c>
      <c r="I479" s="23"/>
      <c r="J479" s="21" t="s">
        <v>1269</v>
      </c>
      <c r="K479" s="23"/>
      <c r="L479" s="21" t="s">
        <v>1269</v>
      </c>
      <c r="M479" s="23"/>
      <c r="N479" s="21" t="s">
        <v>1269</v>
      </c>
      <c r="O479" s="23"/>
      <c r="P479" s="21" t="s">
        <v>1269</v>
      </c>
      <c r="Q479" s="23"/>
    </row>
    <row r="480" spans="1:17" x14ac:dyDescent="0.25">
      <c r="A480" s="19" t="s">
        <v>1079</v>
      </c>
      <c r="B480" s="19" t="s">
        <v>653</v>
      </c>
      <c r="C480" s="19" t="s">
        <v>437</v>
      </c>
      <c r="D480" s="19" t="s">
        <v>1080</v>
      </c>
      <c r="E480" s="19" t="s">
        <v>733</v>
      </c>
      <c r="F480" s="21" t="s">
        <v>1269</v>
      </c>
      <c r="G480" s="23"/>
      <c r="H480" s="21" t="s">
        <v>1269</v>
      </c>
      <c r="I480" s="23"/>
      <c r="J480" s="21" t="s">
        <v>1269</v>
      </c>
      <c r="K480" s="23"/>
      <c r="L480" s="21" t="s">
        <v>1269</v>
      </c>
      <c r="M480" s="23"/>
      <c r="N480" s="21" t="s">
        <v>1269</v>
      </c>
      <c r="O480" s="23"/>
      <c r="P480" s="21" t="s">
        <v>1269</v>
      </c>
      <c r="Q480" s="23"/>
    </row>
    <row r="481" spans="1:17" x14ac:dyDescent="0.25">
      <c r="A481" s="19" t="s">
        <v>1081</v>
      </c>
      <c r="B481" s="19" t="s">
        <v>653</v>
      </c>
      <c r="C481" s="19" t="s">
        <v>437</v>
      </c>
      <c r="D481" s="19" t="s">
        <v>1082</v>
      </c>
      <c r="E481" s="19" t="s">
        <v>662</v>
      </c>
      <c r="F481" s="21" t="s">
        <v>1269</v>
      </c>
      <c r="G481" s="23"/>
      <c r="H481" s="21" t="s">
        <v>1269</v>
      </c>
      <c r="I481" s="23"/>
      <c r="J481" s="21" t="s">
        <v>1269</v>
      </c>
      <c r="K481" s="23"/>
      <c r="L481" s="21" t="s">
        <v>1269</v>
      </c>
      <c r="M481" s="23"/>
      <c r="N481" s="21" t="s">
        <v>1269</v>
      </c>
      <c r="O481" s="23"/>
      <c r="P481" s="21" t="s">
        <v>1269</v>
      </c>
      <c r="Q481" s="23"/>
    </row>
    <row r="482" spans="1:17" x14ac:dyDescent="0.25">
      <c r="A482" s="19" t="s">
        <v>1083</v>
      </c>
      <c r="B482" s="19" t="s">
        <v>653</v>
      </c>
      <c r="C482" s="19" t="s">
        <v>437</v>
      </c>
      <c r="D482" s="19" t="s">
        <v>1084</v>
      </c>
      <c r="E482" s="19" t="s">
        <v>662</v>
      </c>
      <c r="F482" s="21" t="s">
        <v>1269</v>
      </c>
      <c r="G482" s="23"/>
      <c r="H482" s="21" t="s">
        <v>1269</v>
      </c>
      <c r="I482" s="23"/>
      <c r="J482" s="21" t="s">
        <v>1269</v>
      </c>
      <c r="K482" s="23"/>
      <c r="L482" s="21" t="s">
        <v>1269</v>
      </c>
      <c r="M482" s="23"/>
      <c r="N482" s="21" t="s">
        <v>1269</v>
      </c>
      <c r="O482" s="23"/>
      <c r="P482" s="21" t="s">
        <v>1269</v>
      </c>
      <c r="Q482" s="23"/>
    </row>
    <row r="483" spans="1:17" x14ac:dyDescent="0.25">
      <c r="A483" s="19" t="s">
        <v>1085</v>
      </c>
      <c r="B483" s="19" t="s">
        <v>653</v>
      </c>
      <c r="C483" s="19" t="s">
        <v>437</v>
      </c>
      <c r="D483" s="19" t="s">
        <v>1086</v>
      </c>
      <c r="E483" s="19" t="s">
        <v>662</v>
      </c>
      <c r="F483" s="21" t="s">
        <v>1269</v>
      </c>
      <c r="G483" s="23"/>
      <c r="H483" s="21" t="s">
        <v>1269</v>
      </c>
      <c r="I483" s="23"/>
      <c r="J483" s="21" t="s">
        <v>1269</v>
      </c>
      <c r="K483" s="23"/>
      <c r="L483" s="21" t="s">
        <v>1269</v>
      </c>
      <c r="M483" s="23"/>
      <c r="N483" s="21" t="s">
        <v>1269</v>
      </c>
      <c r="O483" s="23"/>
      <c r="P483" s="21" t="s">
        <v>1269</v>
      </c>
      <c r="Q483" s="23"/>
    </row>
    <row r="484" spans="1:17" x14ac:dyDescent="0.25">
      <c r="A484" s="19" t="s">
        <v>1087</v>
      </c>
      <c r="B484" s="19" t="s">
        <v>653</v>
      </c>
      <c r="C484" s="19" t="s">
        <v>437</v>
      </c>
      <c r="D484" s="19" t="s">
        <v>1088</v>
      </c>
      <c r="E484" s="19" t="s">
        <v>667</v>
      </c>
      <c r="F484" s="21" t="s">
        <v>1269</v>
      </c>
      <c r="G484" s="23"/>
      <c r="H484" s="21" t="s">
        <v>1269</v>
      </c>
      <c r="I484" s="23"/>
      <c r="J484" s="21" t="s">
        <v>1269</v>
      </c>
      <c r="K484" s="23"/>
      <c r="L484" s="21" t="s">
        <v>1269</v>
      </c>
      <c r="M484" s="23"/>
      <c r="N484" s="21" t="s">
        <v>1269</v>
      </c>
      <c r="O484" s="23"/>
      <c r="P484" s="21" t="s">
        <v>1269</v>
      </c>
      <c r="Q484" s="23"/>
    </row>
    <row r="485" spans="1:17" x14ac:dyDescent="0.25">
      <c r="A485" s="19" t="s">
        <v>1090</v>
      </c>
      <c r="B485" s="19" t="s">
        <v>653</v>
      </c>
      <c r="C485" s="19" t="s">
        <v>437</v>
      </c>
      <c r="D485" s="19" t="s">
        <v>1091</v>
      </c>
      <c r="E485" s="19" t="s">
        <v>667</v>
      </c>
      <c r="F485" s="21" t="s">
        <v>1269</v>
      </c>
      <c r="G485" s="23"/>
      <c r="H485" s="21" t="s">
        <v>1269</v>
      </c>
      <c r="I485" s="23"/>
      <c r="J485" s="21" t="s">
        <v>1269</v>
      </c>
      <c r="K485" s="23"/>
      <c r="L485" s="21" t="s">
        <v>1269</v>
      </c>
      <c r="M485" s="23"/>
      <c r="N485" s="21" t="s">
        <v>1269</v>
      </c>
      <c r="O485" s="23"/>
      <c r="P485" s="21" t="s">
        <v>1269</v>
      </c>
      <c r="Q485" s="23"/>
    </row>
    <row r="486" spans="1:17" x14ac:dyDescent="0.25">
      <c r="A486" s="19" t="s">
        <v>1092</v>
      </c>
      <c r="B486" s="19" t="s">
        <v>653</v>
      </c>
      <c r="C486" s="19" t="s">
        <v>437</v>
      </c>
      <c r="D486" s="19" t="s">
        <v>1093</v>
      </c>
      <c r="E486" s="19" t="s">
        <v>674</v>
      </c>
      <c r="F486" s="21" t="s">
        <v>1269</v>
      </c>
      <c r="G486" s="23"/>
      <c r="H486" s="21" t="s">
        <v>1269</v>
      </c>
      <c r="I486" s="23"/>
      <c r="J486" s="21" t="s">
        <v>1269</v>
      </c>
      <c r="K486" s="23"/>
      <c r="L486" s="21" t="s">
        <v>1269</v>
      </c>
      <c r="M486" s="23"/>
      <c r="N486" s="21" t="s">
        <v>1269</v>
      </c>
      <c r="O486" s="23"/>
      <c r="P486" s="21" t="s">
        <v>1269</v>
      </c>
      <c r="Q486" s="23"/>
    </row>
    <row r="487" spans="1:17" x14ac:dyDescent="0.25">
      <c r="A487" s="19" t="s">
        <v>1094</v>
      </c>
      <c r="B487" s="19" t="s">
        <v>653</v>
      </c>
      <c r="C487" s="19" t="s">
        <v>437</v>
      </c>
      <c r="D487" s="19" t="s">
        <v>1095</v>
      </c>
      <c r="E487" s="19" t="s">
        <v>674</v>
      </c>
      <c r="F487" s="21" t="s">
        <v>1269</v>
      </c>
      <c r="G487" s="23"/>
      <c r="H487" s="21" t="s">
        <v>1269</v>
      </c>
      <c r="I487" s="23"/>
      <c r="J487" s="21" t="s">
        <v>1269</v>
      </c>
      <c r="K487" s="23"/>
      <c r="L487" s="21" t="s">
        <v>1269</v>
      </c>
      <c r="M487" s="23"/>
      <c r="N487" s="21" t="s">
        <v>1269</v>
      </c>
      <c r="O487" s="23"/>
      <c r="P487" s="21" t="s">
        <v>1269</v>
      </c>
      <c r="Q487" s="23"/>
    </row>
    <row r="488" spans="1:17" x14ac:dyDescent="0.25">
      <c r="A488" s="19" t="s">
        <v>1096</v>
      </c>
      <c r="B488" s="19" t="s">
        <v>653</v>
      </c>
      <c r="C488" s="19" t="s">
        <v>437</v>
      </c>
      <c r="D488" s="19" t="s">
        <v>1097</v>
      </c>
      <c r="E488" s="19" t="s">
        <v>912</v>
      </c>
      <c r="F488" s="21" t="s">
        <v>1269</v>
      </c>
      <c r="G488" s="23"/>
      <c r="H488" s="21" t="s">
        <v>1269</v>
      </c>
      <c r="I488" s="23"/>
      <c r="J488" s="21" t="s">
        <v>1269</v>
      </c>
      <c r="K488" s="23"/>
      <c r="L488" s="21" t="s">
        <v>1269</v>
      </c>
      <c r="M488" s="23"/>
      <c r="N488" s="21" t="s">
        <v>1269</v>
      </c>
      <c r="O488" s="23"/>
      <c r="P488" s="21" t="s">
        <v>1269</v>
      </c>
      <c r="Q488" s="23"/>
    </row>
    <row r="489" spans="1:17" x14ac:dyDescent="0.25">
      <c r="A489" s="19" t="s">
        <v>1098</v>
      </c>
      <c r="B489" s="19" t="s">
        <v>653</v>
      </c>
      <c r="C489" s="19" t="s">
        <v>437</v>
      </c>
      <c r="D489" s="19" t="s">
        <v>1099</v>
      </c>
      <c r="E489" s="19" t="s">
        <v>1100</v>
      </c>
      <c r="F489" s="21" t="s">
        <v>1269</v>
      </c>
      <c r="G489" s="23"/>
      <c r="H489" s="21" t="s">
        <v>1269</v>
      </c>
      <c r="I489" s="23"/>
      <c r="J489" s="21" t="s">
        <v>1269</v>
      </c>
      <c r="K489" s="23"/>
      <c r="L489" s="21" t="s">
        <v>1269</v>
      </c>
      <c r="M489" s="23"/>
      <c r="N489" s="21" t="s">
        <v>1269</v>
      </c>
      <c r="O489" s="23"/>
      <c r="P489" s="21" t="s">
        <v>1269</v>
      </c>
      <c r="Q489" s="23"/>
    </row>
    <row r="490" spans="1:17" x14ac:dyDescent="0.25">
      <c r="A490" s="19" t="s">
        <v>1101</v>
      </c>
      <c r="B490" s="19" t="s">
        <v>653</v>
      </c>
      <c r="C490" s="19" t="s">
        <v>437</v>
      </c>
      <c r="D490" s="19" t="s">
        <v>1102</v>
      </c>
      <c r="E490" s="19" t="s">
        <v>1103</v>
      </c>
      <c r="F490" s="21" t="s">
        <v>1269</v>
      </c>
      <c r="G490" s="23"/>
      <c r="H490" s="21" t="s">
        <v>1269</v>
      </c>
      <c r="I490" s="23"/>
      <c r="J490" s="21" t="s">
        <v>1269</v>
      </c>
      <c r="K490" s="23"/>
      <c r="L490" s="21" t="s">
        <v>1269</v>
      </c>
      <c r="M490" s="23"/>
      <c r="N490" s="21" t="s">
        <v>1269</v>
      </c>
      <c r="O490" s="23"/>
      <c r="P490" s="21" t="s">
        <v>1269</v>
      </c>
      <c r="Q490" s="23"/>
    </row>
    <row r="491" spans="1:17" x14ac:dyDescent="0.25">
      <c r="A491" s="19" t="s">
        <v>1104</v>
      </c>
      <c r="B491" s="19" t="s">
        <v>653</v>
      </c>
      <c r="C491" s="19" t="s">
        <v>437</v>
      </c>
      <c r="D491" s="19" t="s">
        <v>1105</v>
      </c>
      <c r="E491" s="19" t="s">
        <v>1103</v>
      </c>
      <c r="F491" s="21" t="s">
        <v>1269</v>
      </c>
      <c r="G491" s="23"/>
      <c r="H491" s="21" t="s">
        <v>1269</v>
      </c>
      <c r="I491" s="23"/>
      <c r="J491" s="21" t="s">
        <v>1269</v>
      </c>
      <c r="K491" s="23"/>
      <c r="L491" s="21" t="s">
        <v>1269</v>
      </c>
      <c r="M491" s="23"/>
      <c r="N491" s="21" t="s">
        <v>1269</v>
      </c>
      <c r="O491" s="23"/>
      <c r="P491" s="21" t="s">
        <v>1269</v>
      </c>
      <c r="Q491" s="23"/>
    </row>
    <row r="492" spans="1:17" x14ac:dyDescent="0.25">
      <c r="A492" s="19" t="s">
        <v>1106</v>
      </c>
      <c r="B492" s="19" t="s">
        <v>653</v>
      </c>
      <c r="C492" s="19" t="s">
        <v>437</v>
      </c>
      <c r="D492" s="19" t="s">
        <v>1107</v>
      </c>
      <c r="E492" s="19" t="s">
        <v>113</v>
      </c>
      <c r="F492" s="21" t="s">
        <v>1269</v>
      </c>
      <c r="G492" s="23"/>
      <c r="H492" s="21" t="s">
        <v>1269</v>
      </c>
      <c r="I492" s="23"/>
      <c r="J492" s="21" t="s">
        <v>1269</v>
      </c>
      <c r="K492" s="23"/>
      <c r="L492" s="21" t="s">
        <v>1269</v>
      </c>
      <c r="M492" s="23"/>
      <c r="N492" s="21" t="s">
        <v>1269</v>
      </c>
      <c r="O492" s="23"/>
      <c r="P492" s="21" t="s">
        <v>1269</v>
      </c>
      <c r="Q492" s="23"/>
    </row>
    <row r="493" spans="1:17" x14ac:dyDescent="0.25">
      <c r="A493" s="19" t="s">
        <v>1108</v>
      </c>
      <c r="B493" s="19" t="s">
        <v>653</v>
      </c>
      <c r="C493" s="19" t="s">
        <v>437</v>
      </c>
      <c r="D493" s="19" t="s">
        <v>1109</v>
      </c>
      <c r="E493" s="19" t="s">
        <v>120</v>
      </c>
      <c r="F493" s="21" t="s">
        <v>1269</v>
      </c>
      <c r="G493" s="23"/>
      <c r="H493" s="21" t="s">
        <v>1269</v>
      </c>
      <c r="I493" s="23"/>
      <c r="J493" s="21" t="s">
        <v>1269</v>
      </c>
      <c r="K493" s="23"/>
      <c r="L493" s="21" t="s">
        <v>1269</v>
      </c>
      <c r="M493" s="23"/>
      <c r="N493" s="21" t="s">
        <v>1269</v>
      </c>
      <c r="O493" s="23"/>
      <c r="P493" s="21" t="s">
        <v>1269</v>
      </c>
      <c r="Q493" s="23"/>
    </row>
    <row r="494" spans="1:17" x14ac:dyDescent="0.25">
      <c r="A494" s="19" t="s">
        <v>1110</v>
      </c>
      <c r="B494" s="19" t="s">
        <v>653</v>
      </c>
      <c r="C494" s="19" t="s">
        <v>437</v>
      </c>
      <c r="D494" s="19" t="s">
        <v>1111</v>
      </c>
      <c r="E494" s="19" t="s">
        <v>120</v>
      </c>
      <c r="F494" s="21" t="s">
        <v>1269</v>
      </c>
      <c r="G494" s="23"/>
      <c r="H494" s="21" t="s">
        <v>1269</v>
      </c>
      <c r="I494" s="23"/>
      <c r="J494" s="21" t="s">
        <v>1269</v>
      </c>
      <c r="K494" s="23"/>
      <c r="L494" s="21" t="s">
        <v>1269</v>
      </c>
      <c r="M494" s="23"/>
      <c r="N494" s="21" t="s">
        <v>1269</v>
      </c>
      <c r="O494" s="23"/>
      <c r="P494" s="21" t="s">
        <v>1269</v>
      </c>
      <c r="Q494" s="23"/>
    </row>
    <row r="495" spans="1:17" x14ac:dyDescent="0.25">
      <c r="A495" s="19" t="s">
        <v>1112</v>
      </c>
      <c r="B495" s="19" t="s">
        <v>653</v>
      </c>
      <c r="C495" s="19" t="s">
        <v>437</v>
      </c>
      <c r="D495" s="19" t="s">
        <v>1113</v>
      </c>
      <c r="E495" s="19" t="s">
        <v>120</v>
      </c>
      <c r="F495" s="21" t="s">
        <v>1269</v>
      </c>
      <c r="G495" s="23"/>
      <c r="H495" s="21" t="s">
        <v>1269</v>
      </c>
      <c r="I495" s="23"/>
      <c r="J495" s="21" t="s">
        <v>1269</v>
      </c>
      <c r="K495" s="23"/>
      <c r="L495" s="21" t="s">
        <v>1269</v>
      </c>
      <c r="M495" s="23"/>
      <c r="N495" s="21" t="s">
        <v>1269</v>
      </c>
      <c r="O495" s="23"/>
      <c r="P495" s="21" t="s">
        <v>1269</v>
      </c>
      <c r="Q495" s="23"/>
    </row>
    <row r="496" spans="1:17" x14ac:dyDescent="0.25">
      <c r="A496" s="19" t="s">
        <v>1114</v>
      </c>
      <c r="B496" s="19" t="s">
        <v>653</v>
      </c>
      <c r="C496" s="19" t="s">
        <v>437</v>
      </c>
      <c r="D496" s="19" t="s">
        <v>1115</v>
      </c>
      <c r="E496" s="19" t="s">
        <v>205</v>
      </c>
      <c r="F496" s="21" t="s">
        <v>1269</v>
      </c>
      <c r="G496" s="23"/>
      <c r="H496" s="21" t="s">
        <v>1269</v>
      </c>
      <c r="I496" s="23"/>
      <c r="J496" s="21" t="s">
        <v>1269</v>
      </c>
      <c r="K496" s="23"/>
      <c r="L496" s="21" t="s">
        <v>1269</v>
      </c>
      <c r="M496" s="23"/>
      <c r="N496" s="21" t="s">
        <v>1269</v>
      </c>
      <c r="O496" s="23"/>
      <c r="P496" s="21" t="s">
        <v>1269</v>
      </c>
      <c r="Q496" s="23"/>
    </row>
    <row r="497" spans="1:17" x14ac:dyDescent="0.25">
      <c r="A497" s="19" t="s">
        <v>1116</v>
      </c>
      <c r="B497" s="19" t="s">
        <v>653</v>
      </c>
      <c r="C497" s="19" t="s">
        <v>437</v>
      </c>
      <c r="D497" s="19" t="s">
        <v>1117</v>
      </c>
      <c r="E497" s="19" t="s">
        <v>131</v>
      </c>
      <c r="F497" s="21" t="s">
        <v>1269</v>
      </c>
      <c r="G497" s="23"/>
      <c r="H497" s="21" t="s">
        <v>1269</v>
      </c>
      <c r="I497" s="23"/>
      <c r="J497" s="21" t="s">
        <v>1269</v>
      </c>
      <c r="K497" s="23"/>
      <c r="L497" s="21" t="s">
        <v>1269</v>
      </c>
      <c r="M497" s="23"/>
      <c r="N497" s="21" t="s">
        <v>1269</v>
      </c>
      <c r="O497" s="23"/>
      <c r="P497" s="21" t="s">
        <v>1269</v>
      </c>
      <c r="Q497" s="23"/>
    </row>
    <row r="498" spans="1:17" x14ac:dyDescent="0.25">
      <c r="A498" s="19" t="s">
        <v>1118</v>
      </c>
      <c r="B498" s="19" t="s">
        <v>653</v>
      </c>
      <c r="C498" s="19" t="s">
        <v>437</v>
      </c>
      <c r="D498" s="19" t="s">
        <v>1119</v>
      </c>
      <c r="E498" s="19" t="s">
        <v>791</v>
      </c>
      <c r="F498" s="21" t="s">
        <v>1269</v>
      </c>
      <c r="G498" s="23"/>
      <c r="H498" s="21" t="s">
        <v>1269</v>
      </c>
      <c r="I498" s="23"/>
      <c r="J498" s="21" t="s">
        <v>1269</v>
      </c>
      <c r="K498" s="23"/>
      <c r="L498" s="21" t="s">
        <v>1269</v>
      </c>
      <c r="M498" s="23"/>
      <c r="N498" s="21" t="s">
        <v>1269</v>
      </c>
      <c r="O498" s="23"/>
      <c r="P498" s="21" t="s">
        <v>1269</v>
      </c>
      <c r="Q498" s="23"/>
    </row>
    <row r="499" spans="1:17" x14ac:dyDescent="0.25">
      <c r="A499" s="19" t="s">
        <v>1120</v>
      </c>
      <c r="B499" s="19" t="s">
        <v>653</v>
      </c>
      <c r="C499" s="19" t="s">
        <v>437</v>
      </c>
      <c r="D499" s="19" t="s">
        <v>1121</v>
      </c>
      <c r="E499" s="19" t="s">
        <v>711</v>
      </c>
      <c r="F499" s="21" t="s">
        <v>1269</v>
      </c>
      <c r="G499" s="23"/>
      <c r="H499" s="21" t="s">
        <v>1269</v>
      </c>
      <c r="I499" s="23"/>
      <c r="J499" s="21" t="s">
        <v>1269</v>
      </c>
      <c r="K499" s="23"/>
      <c r="L499" s="21" t="s">
        <v>1269</v>
      </c>
      <c r="M499" s="23"/>
      <c r="N499" s="21" t="s">
        <v>1269</v>
      </c>
      <c r="O499" s="23"/>
      <c r="P499" s="21" t="s">
        <v>1269</v>
      </c>
      <c r="Q499" s="23"/>
    </row>
    <row r="500" spans="1:17" x14ac:dyDescent="0.25">
      <c r="A500" s="19" t="s">
        <v>1122</v>
      </c>
      <c r="B500" s="19" t="s">
        <v>653</v>
      </c>
      <c r="C500" s="19" t="s">
        <v>437</v>
      </c>
      <c r="D500" s="19" t="s">
        <v>1123</v>
      </c>
      <c r="E500" s="19" t="s">
        <v>1124</v>
      </c>
      <c r="F500" s="21" t="s">
        <v>1269</v>
      </c>
      <c r="G500" s="23"/>
      <c r="H500" s="21" t="s">
        <v>1269</v>
      </c>
      <c r="I500" s="23"/>
      <c r="J500" s="21" t="s">
        <v>1269</v>
      </c>
      <c r="K500" s="23"/>
      <c r="L500" s="21" t="s">
        <v>1269</v>
      </c>
      <c r="M500" s="23"/>
      <c r="N500" s="21" t="s">
        <v>1269</v>
      </c>
      <c r="O500" s="23"/>
      <c r="P500" s="21" t="s">
        <v>1269</v>
      </c>
      <c r="Q500" s="23"/>
    </row>
    <row r="501" spans="1:17" x14ac:dyDescent="0.25">
      <c r="A501" s="19" t="s">
        <v>1125</v>
      </c>
      <c r="B501" s="19" t="s">
        <v>653</v>
      </c>
      <c r="C501" s="19" t="s">
        <v>437</v>
      </c>
      <c r="D501" s="19" t="s">
        <v>1126</v>
      </c>
      <c r="E501" s="19" t="s">
        <v>1124</v>
      </c>
      <c r="F501" s="21" t="s">
        <v>1269</v>
      </c>
      <c r="G501" s="23"/>
      <c r="H501" s="21" t="s">
        <v>1269</v>
      </c>
      <c r="I501" s="23"/>
      <c r="J501" s="21" t="s">
        <v>1269</v>
      </c>
      <c r="K501" s="23"/>
      <c r="L501" s="21" t="s">
        <v>1269</v>
      </c>
      <c r="M501" s="23"/>
      <c r="N501" s="21" t="s">
        <v>1269</v>
      </c>
      <c r="O501" s="23"/>
      <c r="P501" s="21" t="s">
        <v>1269</v>
      </c>
      <c r="Q501" s="23"/>
    </row>
    <row r="502" spans="1:17" x14ac:dyDescent="0.25">
      <c r="A502" s="19" t="s">
        <v>1127</v>
      </c>
      <c r="B502" s="19" t="s">
        <v>653</v>
      </c>
      <c r="C502" s="19" t="s">
        <v>437</v>
      </c>
      <c r="D502" s="19" t="s">
        <v>1128</v>
      </c>
      <c r="E502" s="19" t="s">
        <v>725</v>
      </c>
      <c r="F502" s="21" t="s">
        <v>1269</v>
      </c>
      <c r="G502" s="23"/>
      <c r="H502" s="21" t="s">
        <v>1269</v>
      </c>
      <c r="I502" s="23"/>
      <c r="J502" s="21" t="s">
        <v>1269</v>
      </c>
      <c r="K502" s="23"/>
      <c r="L502" s="21" t="s">
        <v>1269</v>
      </c>
      <c r="M502" s="23"/>
      <c r="N502" s="21" t="s">
        <v>1269</v>
      </c>
      <c r="O502" s="23"/>
      <c r="P502" s="21" t="s">
        <v>1269</v>
      </c>
      <c r="Q502" s="23"/>
    </row>
    <row r="503" spans="1:17" x14ac:dyDescent="0.25">
      <c r="A503" s="19" t="s">
        <v>1129</v>
      </c>
      <c r="B503" s="19" t="s">
        <v>653</v>
      </c>
      <c r="C503" s="19" t="s">
        <v>437</v>
      </c>
      <c r="D503" s="19" t="s">
        <v>1130</v>
      </c>
      <c r="E503" s="19" t="s">
        <v>1131</v>
      </c>
      <c r="F503" s="21" t="s">
        <v>1269</v>
      </c>
      <c r="G503" s="23"/>
      <c r="H503" s="21" t="s">
        <v>1269</v>
      </c>
      <c r="I503" s="23"/>
      <c r="J503" s="21" t="s">
        <v>1269</v>
      </c>
      <c r="K503" s="23"/>
      <c r="L503" s="21" t="s">
        <v>1269</v>
      </c>
      <c r="M503" s="23"/>
      <c r="N503" s="21" t="s">
        <v>1269</v>
      </c>
      <c r="O503" s="23"/>
      <c r="P503" s="21" t="s">
        <v>1269</v>
      </c>
      <c r="Q503" s="23"/>
    </row>
    <row r="504" spans="1:17" x14ac:dyDescent="0.25">
      <c r="A504" s="19" t="s">
        <v>1132</v>
      </c>
      <c r="B504" s="19" t="s">
        <v>653</v>
      </c>
      <c r="C504" s="19" t="s">
        <v>437</v>
      </c>
      <c r="D504" s="19" t="s">
        <v>1133</v>
      </c>
      <c r="E504" s="19" t="s">
        <v>1134</v>
      </c>
      <c r="F504" s="21" t="s">
        <v>1269</v>
      </c>
      <c r="G504" s="23"/>
      <c r="H504" s="21" t="s">
        <v>1269</v>
      </c>
      <c r="I504" s="23"/>
      <c r="J504" s="21" t="s">
        <v>1269</v>
      </c>
      <c r="K504" s="23"/>
      <c r="L504" s="21" t="s">
        <v>1269</v>
      </c>
      <c r="M504" s="23"/>
      <c r="N504" s="21" t="s">
        <v>1269</v>
      </c>
      <c r="O504" s="23"/>
      <c r="P504" s="21" t="s">
        <v>1269</v>
      </c>
      <c r="Q504" s="23"/>
    </row>
    <row r="505" spans="1:17" x14ac:dyDescent="0.25">
      <c r="A505" s="19" t="s">
        <v>1135</v>
      </c>
      <c r="B505" s="19" t="s">
        <v>653</v>
      </c>
      <c r="C505" s="19" t="s">
        <v>511</v>
      </c>
      <c r="D505" s="19" t="s">
        <v>1136</v>
      </c>
      <c r="E505" s="19" t="s">
        <v>659</v>
      </c>
      <c r="F505" s="21" t="s">
        <v>1269</v>
      </c>
      <c r="G505" s="23"/>
      <c r="H505" s="21" t="s">
        <v>1269</v>
      </c>
      <c r="I505" s="23"/>
      <c r="J505" s="21" t="s">
        <v>1269</v>
      </c>
      <c r="K505" s="23"/>
      <c r="L505" s="21" t="s">
        <v>1269</v>
      </c>
      <c r="M505" s="23"/>
      <c r="N505" s="21" t="s">
        <v>1269</v>
      </c>
      <c r="O505" s="23"/>
      <c r="P505" s="21" t="s">
        <v>1269</v>
      </c>
      <c r="Q505" s="23"/>
    </row>
    <row r="506" spans="1:17" x14ac:dyDescent="0.25">
      <c r="A506" s="19" t="s">
        <v>1137</v>
      </c>
      <c r="B506" s="19" t="s">
        <v>653</v>
      </c>
      <c r="C506" s="19" t="s">
        <v>511</v>
      </c>
      <c r="D506" s="19" t="s">
        <v>1138</v>
      </c>
      <c r="E506" s="19" t="s">
        <v>733</v>
      </c>
      <c r="F506" s="21" t="s">
        <v>1269</v>
      </c>
      <c r="G506" s="23"/>
      <c r="H506" s="21" t="s">
        <v>1269</v>
      </c>
      <c r="I506" s="23"/>
      <c r="J506" s="21" t="s">
        <v>1269</v>
      </c>
      <c r="K506" s="23"/>
      <c r="L506" s="21" t="s">
        <v>1269</v>
      </c>
      <c r="M506" s="23"/>
      <c r="N506" s="21" t="s">
        <v>1269</v>
      </c>
      <c r="O506" s="23"/>
      <c r="P506" s="21" t="s">
        <v>1269</v>
      </c>
      <c r="Q506" s="23"/>
    </row>
    <row r="507" spans="1:17" x14ac:dyDescent="0.25">
      <c r="A507" s="19" t="s">
        <v>1139</v>
      </c>
      <c r="B507" s="19" t="s">
        <v>653</v>
      </c>
      <c r="C507" s="19" t="s">
        <v>511</v>
      </c>
      <c r="D507" s="19" t="s">
        <v>1140</v>
      </c>
      <c r="E507" s="19" t="s">
        <v>1141</v>
      </c>
      <c r="F507" s="21" t="s">
        <v>1269</v>
      </c>
      <c r="G507" s="23"/>
      <c r="H507" s="21" t="s">
        <v>1269</v>
      </c>
      <c r="I507" s="23"/>
      <c r="J507" s="21" t="s">
        <v>1269</v>
      </c>
      <c r="K507" s="23"/>
      <c r="L507" s="21" t="s">
        <v>1269</v>
      </c>
      <c r="M507" s="23"/>
      <c r="N507" s="21" t="s">
        <v>1269</v>
      </c>
      <c r="O507" s="23"/>
      <c r="P507" s="21" t="s">
        <v>1269</v>
      </c>
      <c r="Q507" s="23"/>
    </row>
    <row r="508" spans="1:17" x14ac:dyDescent="0.25">
      <c r="A508" s="19" t="s">
        <v>1142</v>
      </c>
      <c r="B508" s="19" t="s">
        <v>653</v>
      </c>
      <c r="C508" s="19" t="s">
        <v>511</v>
      </c>
      <c r="D508" s="19" t="s">
        <v>1143</v>
      </c>
      <c r="E508" s="19" t="s">
        <v>1144</v>
      </c>
      <c r="F508" s="21" t="s">
        <v>1269</v>
      </c>
      <c r="G508" s="23"/>
      <c r="H508" s="21" t="s">
        <v>1269</v>
      </c>
      <c r="I508" s="23"/>
      <c r="J508" s="21" t="s">
        <v>1269</v>
      </c>
      <c r="K508" s="23"/>
      <c r="L508" s="21" t="s">
        <v>1269</v>
      </c>
      <c r="M508" s="23"/>
      <c r="N508" s="21" t="s">
        <v>1269</v>
      </c>
      <c r="O508" s="23"/>
      <c r="P508" s="21" t="s">
        <v>1269</v>
      </c>
      <c r="Q508" s="23"/>
    </row>
    <row r="509" spans="1:17" x14ac:dyDescent="0.25">
      <c r="A509" s="19" t="s">
        <v>1145</v>
      </c>
      <c r="B509" s="19" t="s">
        <v>653</v>
      </c>
      <c r="C509" s="19" t="s">
        <v>511</v>
      </c>
      <c r="D509" s="19" t="s">
        <v>1146</v>
      </c>
      <c r="E509" s="19" t="s">
        <v>662</v>
      </c>
      <c r="F509" s="21" t="s">
        <v>1269</v>
      </c>
      <c r="G509" s="23"/>
      <c r="H509" s="21" t="s">
        <v>1269</v>
      </c>
      <c r="I509" s="23"/>
      <c r="J509" s="21" t="s">
        <v>1269</v>
      </c>
      <c r="K509" s="23"/>
      <c r="L509" s="21" t="s">
        <v>1269</v>
      </c>
      <c r="M509" s="23"/>
      <c r="N509" s="21" t="s">
        <v>1269</v>
      </c>
      <c r="O509" s="23"/>
      <c r="P509" s="21" t="s">
        <v>1269</v>
      </c>
      <c r="Q509" s="23"/>
    </row>
    <row r="510" spans="1:17" x14ac:dyDescent="0.25">
      <c r="A510" s="19" t="s">
        <v>1147</v>
      </c>
      <c r="B510" s="19" t="s">
        <v>653</v>
      </c>
      <c r="C510" s="19" t="s">
        <v>511</v>
      </c>
      <c r="D510" s="19" t="s">
        <v>1148</v>
      </c>
      <c r="E510" s="19" t="s">
        <v>662</v>
      </c>
      <c r="F510" s="21" t="s">
        <v>1269</v>
      </c>
      <c r="G510" s="23"/>
      <c r="H510" s="21" t="s">
        <v>1269</v>
      </c>
      <c r="I510" s="23"/>
      <c r="J510" s="21" t="s">
        <v>1269</v>
      </c>
      <c r="K510" s="23"/>
      <c r="L510" s="21" t="s">
        <v>1269</v>
      </c>
      <c r="M510" s="23"/>
      <c r="N510" s="21" t="s">
        <v>1269</v>
      </c>
      <c r="O510" s="23"/>
      <c r="P510" s="21" t="s">
        <v>1269</v>
      </c>
      <c r="Q510" s="23"/>
    </row>
    <row r="511" spans="1:17" x14ac:dyDescent="0.25">
      <c r="A511" s="19" t="s">
        <v>1149</v>
      </c>
      <c r="B511" s="19" t="s">
        <v>653</v>
      </c>
      <c r="C511" s="19" t="s">
        <v>511</v>
      </c>
      <c r="D511" s="19" t="s">
        <v>1150</v>
      </c>
      <c r="E511" s="19" t="s">
        <v>662</v>
      </c>
      <c r="F511" s="21" t="s">
        <v>1269</v>
      </c>
      <c r="G511" s="23"/>
      <c r="H511" s="21" t="s">
        <v>1269</v>
      </c>
      <c r="I511" s="23"/>
      <c r="J511" s="21" t="s">
        <v>1269</v>
      </c>
      <c r="K511" s="23"/>
      <c r="L511" s="21" t="s">
        <v>1269</v>
      </c>
      <c r="M511" s="23"/>
      <c r="N511" s="21" t="s">
        <v>1269</v>
      </c>
      <c r="O511" s="23"/>
      <c r="P511" s="21" t="s">
        <v>1269</v>
      </c>
      <c r="Q511" s="23"/>
    </row>
    <row r="512" spans="1:17" x14ac:dyDescent="0.25">
      <c r="A512" s="19" t="s">
        <v>1151</v>
      </c>
      <c r="B512" s="19" t="s">
        <v>653</v>
      </c>
      <c r="C512" s="19" t="s">
        <v>511</v>
      </c>
      <c r="D512" s="19" t="s">
        <v>1152</v>
      </c>
      <c r="E512" s="19" t="s">
        <v>674</v>
      </c>
      <c r="F512" s="21" t="s">
        <v>1269</v>
      </c>
      <c r="G512" s="23"/>
      <c r="H512" s="21" t="s">
        <v>1269</v>
      </c>
      <c r="I512" s="23"/>
      <c r="J512" s="21" t="s">
        <v>1269</v>
      </c>
      <c r="K512" s="23"/>
      <c r="L512" s="21" t="s">
        <v>1269</v>
      </c>
      <c r="M512" s="23"/>
      <c r="N512" s="21" t="s">
        <v>1269</v>
      </c>
      <c r="O512" s="23"/>
      <c r="P512" s="21" t="s">
        <v>1269</v>
      </c>
      <c r="Q512" s="23"/>
    </row>
    <row r="513" spans="1:17" x14ac:dyDescent="0.25">
      <c r="A513" s="19" t="s">
        <v>1153</v>
      </c>
      <c r="B513" s="19" t="s">
        <v>653</v>
      </c>
      <c r="C513" s="19" t="s">
        <v>511</v>
      </c>
      <c r="D513" s="19" t="s">
        <v>1154</v>
      </c>
      <c r="E513" s="19" t="s">
        <v>912</v>
      </c>
      <c r="F513" s="21" t="s">
        <v>1269</v>
      </c>
      <c r="G513" s="23"/>
      <c r="H513" s="21" t="s">
        <v>1269</v>
      </c>
      <c r="I513" s="23"/>
      <c r="J513" s="21" t="s">
        <v>1269</v>
      </c>
      <c r="K513" s="23"/>
      <c r="L513" s="21" t="s">
        <v>1269</v>
      </c>
      <c r="M513" s="23"/>
      <c r="N513" s="21" t="s">
        <v>1269</v>
      </c>
      <c r="O513" s="23"/>
      <c r="P513" s="21" t="s">
        <v>1269</v>
      </c>
      <c r="Q513" s="23"/>
    </row>
    <row r="514" spans="1:17" x14ac:dyDescent="0.25">
      <c r="A514" s="19" t="s">
        <v>1155</v>
      </c>
      <c r="B514" s="19" t="s">
        <v>653</v>
      </c>
      <c r="C514" s="19" t="s">
        <v>511</v>
      </c>
      <c r="D514" s="19" t="s">
        <v>1156</v>
      </c>
      <c r="E514" s="19" t="s">
        <v>1100</v>
      </c>
      <c r="F514" s="21" t="s">
        <v>1269</v>
      </c>
      <c r="G514" s="23"/>
      <c r="H514" s="21" t="s">
        <v>1269</v>
      </c>
      <c r="I514" s="23"/>
      <c r="J514" s="21" t="s">
        <v>1269</v>
      </c>
      <c r="K514" s="23"/>
      <c r="L514" s="21" t="s">
        <v>1269</v>
      </c>
      <c r="M514" s="23"/>
      <c r="N514" s="21" t="s">
        <v>1269</v>
      </c>
      <c r="O514" s="23"/>
      <c r="P514" s="21" t="s">
        <v>1269</v>
      </c>
      <c r="Q514" s="23"/>
    </row>
    <row r="515" spans="1:17" x14ac:dyDescent="0.25">
      <c r="A515" s="19" t="s">
        <v>1157</v>
      </c>
      <c r="B515" s="19" t="s">
        <v>653</v>
      </c>
      <c r="C515" s="19" t="s">
        <v>511</v>
      </c>
      <c r="D515" s="19" t="s">
        <v>1158</v>
      </c>
      <c r="E515" s="19" t="s">
        <v>1103</v>
      </c>
      <c r="F515" s="21" t="s">
        <v>1269</v>
      </c>
      <c r="G515" s="23"/>
      <c r="H515" s="21" t="s">
        <v>1269</v>
      </c>
      <c r="I515" s="23"/>
      <c r="J515" s="21" t="s">
        <v>1269</v>
      </c>
      <c r="K515" s="23"/>
      <c r="L515" s="21" t="s">
        <v>1269</v>
      </c>
      <c r="M515" s="23"/>
      <c r="N515" s="21" t="s">
        <v>1269</v>
      </c>
      <c r="O515" s="23"/>
      <c r="P515" s="21" t="s">
        <v>1269</v>
      </c>
      <c r="Q515" s="23"/>
    </row>
    <row r="516" spans="1:17" x14ac:dyDescent="0.25">
      <c r="A516" s="19" t="s">
        <v>1159</v>
      </c>
      <c r="B516" s="19" t="s">
        <v>653</v>
      </c>
      <c r="C516" s="19" t="s">
        <v>511</v>
      </c>
      <c r="D516" s="19" t="s">
        <v>1160</v>
      </c>
      <c r="E516" s="19" t="s">
        <v>1103</v>
      </c>
      <c r="F516" s="21" t="s">
        <v>1269</v>
      </c>
      <c r="G516" s="23"/>
      <c r="H516" s="21" t="s">
        <v>1269</v>
      </c>
      <c r="I516" s="23"/>
      <c r="J516" s="21" t="s">
        <v>1269</v>
      </c>
      <c r="K516" s="23"/>
      <c r="L516" s="21" t="s">
        <v>1269</v>
      </c>
      <c r="M516" s="23"/>
      <c r="N516" s="21" t="s">
        <v>1269</v>
      </c>
      <c r="O516" s="23"/>
      <c r="P516" s="21" t="s">
        <v>1269</v>
      </c>
      <c r="Q516" s="23"/>
    </row>
    <row r="517" spans="1:17" x14ac:dyDescent="0.25">
      <c r="A517" s="19" t="s">
        <v>1161</v>
      </c>
      <c r="B517" s="19" t="s">
        <v>653</v>
      </c>
      <c r="C517" s="19" t="s">
        <v>511</v>
      </c>
      <c r="D517" s="19" t="s">
        <v>1162</v>
      </c>
      <c r="E517" s="19" t="s">
        <v>113</v>
      </c>
      <c r="F517" s="21" t="s">
        <v>1269</v>
      </c>
      <c r="G517" s="23"/>
      <c r="H517" s="21" t="s">
        <v>1269</v>
      </c>
      <c r="I517" s="23"/>
      <c r="J517" s="21" t="s">
        <v>1269</v>
      </c>
      <c r="K517" s="23"/>
      <c r="L517" s="21" t="s">
        <v>1269</v>
      </c>
      <c r="M517" s="23"/>
      <c r="N517" s="21" t="s">
        <v>1269</v>
      </c>
      <c r="O517" s="23"/>
      <c r="P517" s="21" t="s">
        <v>1269</v>
      </c>
      <c r="Q517" s="23"/>
    </row>
    <row r="518" spans="1:17" x14ac:dyDescent="0.25">
      <c r="A518" s="19" t="s">
        <v>1163</v>
      </c>
      <c r="B518" s="19" t="s">
        <v>653</v>
      </c>
      <c r="C518" s="19" t="s">
        <v>511</v>
      </c>
      <c r="D518" s="19" t="s">
        <v>1164</v>
      </c>
      <c r="E518" s="19" t="s">
        <v>120</v>
      </c>
      <c r="F518" s="21" t="s">
        <v>1269</v>
      </c>
      <c r="G518" s="23"/>
      <c r="H518" s="21" t="s">
        <v>1269</v>
      </c>
      <c r="I518" s="23"/>
      <c r="J518" s="21" t="s">
        <v>1269</v>
      </c>
      <c r="K518" s="23"/>
      <c r="L518" s="21" t="s">
        <v>1269</v>
      </c>
      <c r="M518" s="23"/>
      <c r="N518" s="21" t="s">
        <v>1269</v>
      </c>
      <c r="O518" s="23"/>
      <c r="P518" s="21" t="s">
        <v>1269</v>
      </c>
      <c r="Q518" s="23"/>
    </row>
    <row r="519" spans="1:17" x14ac:dyDescent="0.25">
      <c r="A519" s="19" t="s">
        <v>1165</v>
      </c>
      <c r="B519" s="19" t="s">
        <v>653</v>
      </c>
      <c r="C519" s="19" t="s">
        <v>511</v>
      </c>
      <c r="D519" s="19" t="s">
        <v>1166</v>
      </c>
      <c r="E519" s="19" t="s">
        <v>120</v>
      </c>
      <c r="F519" s="21" t="s">
        <v>1269</v>
      </c>
      <c r="G519" s="23"/>
      <c r="H519" s="21" t="s">
        <v>1269</v>
      </c>
      <c r="I519" s="23"/>
      <c r="J519" s="21" t="s">
        <v>1269</v>
      </c>
      <c r="K519" s="23"/>
      <c r="L519" s="21" t="s">
        <v>1269</v>
      </c>
      <c r="M519" s="23"/>
      <c r="N519" s="21" t="s">
        <v>1269</v>
      </c>
      <c r="O519" s="23"/>
      <c r="P519" s="21" t="s">
        <v>1269</v>
      </c>
      <c r="Q519" s="23"/>
    </row>
    <row r="520" spans="1:17" x14ac:dyDescent="0.25">
      <c r="A520" s="19" t="s">
        <v>1167</v>
      </c>
      <c r="B520" s="19" t="s">
        <v>653</v>
      </c>
      <c r="C520" s="19" t="s">
        <v>511</v>
      </c>
      <c r="D520" s="19" t="s">
        <v>1168</v>
      </c>
      <c r="E520" s="19" t="s">
        <v>205</v>
      </c>
      <c r="F520" s="21" t="s">
        <v>1269</v>
      </c>
      <c r="G520" s="23"/>
      <c r="H520" s="21" t="s">
        <v>1269</v>
      </c>
      <c r="I520" s="23"/>
      <c r="J520" s="21" t="s">
        <v>1269</v>
      </c>
      <c r="K520" s="23"/>
      <c r="L520" s="21" t="s">
        <v>1269</v>
      </c>
      <c r="M520" s="23"/>
      <c r="N520" s="21" t="s">
        <v>1269</v>
      </c>
      <c r="O520" s="23"/>
      <c r="P520" s="21" t="s">
        <v>1269</v>
      </c>
      <c r="Q520" s="23"/>
    </row>
    <row r="521" spans="1:17" x14ac:dyDescent="0.25">
      <c r="A521" s="19" t="s">
        <v>1169</v>
      </c>
      <c r="B521" s="19" t="s">
        <v>653</v>
      </c>
      <c r="C521" s="19" t="s">
        <v>511</v>
      </c>
      <c r="D521" s="19" t="s">
        <v>1170</v>
      </c>
      <c r="E521" s="19" t="s">
        <v>205</v>
      </c>
      <c r="F521" s="21" t="s">
        <v>1269</v>
      </c>
      <c r="G521" s="23"/>
      <c r="H521" s="21" t="s">
        <v>1269</v>
      </c>
      <c r="I521" s="23"/>
      <c r="J521" s="21" t="s">
        <v>1269</v>
      </c>
      <c r="K521" s="23"/>
      <c r="L521" s="21" t="s">
        <v>1269</v>
      </c>
      <c r="M521" s="23"/>
      <c r="N521" s="21" t="s">
        <v>1269</v>
      </c>
      <c r="O521" s="23"/>
      <c r="P521" s="21" t="s">
        <v>1269</v>
      </c>
      <c r="Q521" s="23"/>
    </row>
    <row r="522" spans="1:17" x14ac:dyDescent="0.25">
      <c r="A522" s="19" t="s">
        <v>1171</v>
      </c>
      <c r="B522" s="19" t="s">
        <v>653</v>
      </c>
      <c r="C522" s="19" t="s">
        <v>511</v>
      </c>
      <c r="D522" s="19" t="s">
        <v>1172</v>
      </c>
      <c r="E522" s="19" t="s">
        <v>131</v>
      </c>
      <c r="F522" s="21" t="s">
        <v>1269</v>
      </c>
      <c r="G522" s="23"/>
      <c r="H522" s="21" t="s">
        <v>1269</v>
      </c>
      <c r="I522" s="23"/>
      <c r="J522" s="21" t="s">
        <v>1269</v>
      </c>
      <c r="K522" s="23"/>
      <c r="L522" s="21" t="s">
        <v>1269</v>
      </c>
      <c r="M522" s="23"/>
      <c r="N522" s="21" t="s">
        <v>1269</v>
      </c>
      <c r="O522" s="23"/>
      <c r="P522" s="21" t="s">
        <v>1269</v>
      </c>
      <c r="Q522" s="23"/>
    </row>
    <row r="523" spans="1:17" x14ac:dyDescent="0.25">
      <c r="A523" s="19" t="s">
        <v>1174</v>
      </c>
      <c r="B523" s="19" t="s">
        <v>653</v>
      </c>
      <c r="C523" s="19" t="s">
        <v>511</v>
      </c>
      <c r="D523" s="19" t="s">
        <v>1175</v>
      </c>
      <c r="E523" s="19" t="s">
        <v>791</v>
      </c>
      <c r="F523" s="21" t="s">
        <v>1269</v>
      </c>
      <c r="G523" s="23"/>
      <c r="H523" s="21" t="s">
        <v>1269</v>
      </c>
      <c r="I523" s="23"/>
      <c r="J523" s="21" t="s">
        <v>1269</v>
      </c>
      <c r="K523" s="23"/>
      <c r="L523" s="21" t="s">
        <v>1269</v>
      </c>
      <c r="M523" s="23"/>
      <c r="N523" s="21" t="s">
        <v>1269</v>
      </c>
      <c r="O523" s="23"/>
      <c r="P523" s="21" t="s">
        <v>1269</v>
      </c>
      <c r="Q523" s="23"/>
    </row>
    <row r="524" spans="1:17" x14ac:dyDescent="0.25">
      <c r="A524" s="19" t="s">
        <v>1176</v>
      </c>
      <c r="B524" s="19" t="s">
        <v>653</v>
      </c>
      <c r="C524" s="19" t="s">
        <v>511</v>
      </c>
      <c r="D524" s="19" t="s">
        <v>1177</v>
      </c>
      <c r="E524" s="19" t="s">
        <v>711</v>
      </c>
      <c r="F524" s="21" t="s">
        <v>1269</v>
      </c>
      <c r="G524" s="23"/>
      <c r="H524" s="21" t="s">
        <v>1269</v>
      </c>
      <c r="I524" s="23"/>
      <c r="J524" s="21" t="s">
        <v>1269</v>
      </c>
      <c r="K524" s="23"/>
      <c r="L524" s="21" t="s">
        <v>1269</v>
      </c>
      <c r="M524" s="23"/>
      <c r="N524" s="21" t="s">
        <v>1269</v>
      </c>
      <c r="O524" s="23"/>
      <c r="P524" s="21" t="s">
        <v>1269</v>
      </c>
      <c r="Q524" s="23"/>
    </row>
    <row r="525" spans="1:17" x14ac:dyDescent="0.25">
      <c r="A525" s="19" t="s">
        <v>1178</v>
      </c>
      <c r="B525" s="19" t="s">
        <v>653</v>
      </c>
      <c r="C525" s="19" t="s">
        <v>511</v>
      </c>
      <c r="D525" s="19" t="s">
        <v>1179</v>
      </c>
      <c r="E525" s="19" t="s">
        <v>1124</v>
      </c>
      <c r="F525" s="21" t="s">
        <v>1269</v>
      </c>
      <c r="G525" s="23"/>
      <c r="H525" s="21" t="s">
        <v>1269</v>
      </c>
      <c r="I525" s="23"/>
      <c r="J525" s="21" t="s">
        <v>1269</v>
      </c>
      <c r="K525" s="23"/>
      <c r="L525" s="21" t="s">
        <v>1269</v>
      </c>
      <c r="M525" s="23"/>
      <c r="N525" s="21" t="s">
        <v>1269</v>
      </c>
      <c r="O525" s="23"/>
      <c r="P525" s="21" t="s">
        <v>1269</v>
      </c>
      <c r="Q525" s="23"/>
    </row>
    <row r="526" spans="1:17" x14ac:dyDescent="0.25">
      <c r="A526" s="19" t="s">
        <v>1180</v>
      </c>
      <c r="B526" s="19" t="s">
        <v>653</v>
      </c>
      <c r="C526" s="19" t="s">
        <v>511</v>
      </c>
      <c r="D526" s="19" t="s">
        <v>1181</v>
      </c>
      <c r="E526" s="19" t="s">
        <v>1124</v>
      </c>
      <c r="F526" s="21" t="s">
        <v>1269</v>
      </c>
      <c r="G526" s="23"/>
      <c r="H526" s="21" t="s">
        <v>1269</v>
      </c>
      <c r="I526" s="23"/>
      <c r="J526" s="21" t="s">
        <v>1269</v>
      </c>
      <c r="K526" s="23"/>
      <c r="L526" s="21" t="s">
        <v>1269</v>
      </c>
      <c r="M526" s="23"/>
      <c r="N526" s="21" t="s">
        <v>1269</v>
      </c>
      <c r="O526" s="23"/>
      <c r="P526" s="21" t="s">
        <v>1269</v>
      </c>
      <c r="Q526" s="23"/>
    </row>
    <row r="527" spans="1:17" x14ac:dyDescent="0.25">
      <c r="A527" s="19" t="s">
        <v>1182</v>
      </c>
      <c r="B527" s="19" t="s">
        <v>653</v>
      </c>
      <c r="C527" s="19" t="s">
        <v>511</v>
      </c>
      <c r="D527" s="19" t="s">
        <v>1183</v>
      </c>
      <c r="E527" s="19" t="s">
        <v>725</v>
      </c>
      <c r="F527" s="21" t="s">
        <v>1269</v>
      </c>
      <c r="G527" s="23"/>
      <c r="H527" s="21" t="s">
        <v>1269</v>
      </c>
      <c r="I527" s="23"/>
      <c r="J527" s="21" t="s">
        <v>1269</v>
      </c>
      <c r="K527" s="23"/>
      <c r="L527" s="21" t="s">
        <v>1269</v>
      </c>
      <c r="M527" s="23"/>
      <c r="N527" s="21" t="s">
        <v>1269</v>
      </c>
      <c r="O527" s="23"/>
      <c r="P527" s="21" t="s">
        <v>1269</v>
      </c>
      <c r="Q527" s="23"/>
    </row>
    <row r="528" spans="1:17" x14ac:dyDescent="0.25">
      <c r="A528" s="19" t="s">
        <v>1184</v>
      </c>
      <c r="B528" s="19" t="s">
        <v>653</v>
      </c>
      <c r="C528" s="19" t="s">
        <v>511</v>
      </c>
      <c r="D528" s="19" t="s">
        <v>1185</v>
      </c>
      <c r="E528" s="19" t="s">
        <v>1131</v>
      </c>
      <c r="F528" s="21" t="s">
        <v>1269</v>
      </c>
      <c r="G528" s="23"/>
      <c r="H528" s="21" t="s">
        <v>1269</v>
      </c>
      <c r="I528" s="23"/>
      <c r="J528" s="21" t="s">
        <v>1269</v>
      </c>
      <c r="K528" s="23"/>
      <c r="L528" s="21" t="s">
        <v>1269</v>
      </c>
      <c r="M528" s="23"/>
      <c r="N528" s="21" t="s">
        <v>1269</v>
      </c>
      <c r="O528" s="23"/>
      <c r="P528" s="21" t="s">
        <v>1269</v>
      </c>
      <c r="Q528" s="23"/>
    </row>
    <row r="529" spans="1:17" x14ac:dyDescent="0.25">
      <c r="A529" s="19" t="s">
        <v>1186</v>
      </c>
      <c r="B529" s="19" t="s">
        <v>653</v>
      </c>
      <c r="C529" s="19" t="s">
        <v>511</v>
      </c>
      <c r="D529" s="19" t="s">
        <v>1187</v>
      </c>
      <c r="E529" s="19" t="s">
        <v>1134</v>
      </c>
      <c r="F529" s="21" t="s">
        <v>1269</v>
      </c>
      <c r="G529" s="23"/>
      <c r="H529" s="21" t="s">
        <v>1269</v>
      </c>
      <c r="I529" s="23"/>
      <c r="J529" s="21" t="s">
        <v>1269</v>
      </c>
      <c r="K529" s="23"/>
      <c r="L529" s="21" t="s">
        <v>1269</v>
      </c>
      <c r="M529" s="23"/>
      <c r="N529" s="21" t="s">
        <v>1269</v>
      </c>
      <c r="O529" s="23"/>
      <c r="P529" s="21" t="s">
        <v>1269</v>
      </c>
      <c r="Q529" s="23"/>
    </row>
    <row r="530" spans="1:17" x14ac:dyDescent="0.25">
      <c r="A530" s="19" t="s">
        <v>1188</v>
      </c>
      <c r="B530" s="19" t="s">
        <v>653</v>
      </c>
      <c r="C530" s="19" t="s">
        <v>582</v>
      </c>
      <c r="D530" s="19" t="s">
        <v>1189</v>
      </c>
      <c r="E530" s="19" t="s">
        <v>659</v>
      </c>
      <c r="F530" s="21" t="s">
        <v>1269</v>
      </c>
      <c r="G530" s="23"/>
      <c r="H530" s="21" t="s">
        <v>1269</v>
      </c>
      <c r="I530" s="23"/>
      <c r="J530" s="21" t="s">
        <v>1269</v>
      </c>
      <c r="K530" s="23"/>
      <c r="L530" s="21" t="s">
        <v>1269</v>
      </c>
      <c r="M530" s="23"/>
      <c r="N530" s="21" t="s">
        <v>1269</v>
      </c>
      <c r="O530" s="23"/>
      <c r="P530" s="21" t="s">
        <v>1269</v>
      </c>
      <c r="Q530" s="23"/>
    </row>
    <row r="531" spans="1:17" x14ac:dyDescent="0.25">
      <c r="A531" s="19" t="s">
        <v>1190</v>
      </c>
      <c r="B531" s="19" t="s">
        <v>653</v>
      </c>
      <c r="C531" s="19" t="s">
        <v>582</v>
      </c>
      <c r="D531" s="19" t="s">
        <v>1191</v>
      </c>
      <c r="E531" s="19" t="s">
        <v>733</v>
      </c>
      <c r="F531" s="21" t="s">
        <v>1269</v>
      </c>
      <c r="G531" s="23"/>
      <c r="H531" s="21" t="s">
        <v>1269</v>
      </c>
      <c r="I531" s="23"/>
      <c r="J531" s="21" t="s">
        <v>1269</v>
      </c>
      <c r="K531" s="23"/>
      <c r="L531" s="21" t="s">
        <v>1269</v>
      </c>
      <c r="M531" s="23"/>
      <c r="N531" s="21" t="s">
        <v>1269</v>
      </c>
      <c r="O531" s="23"/>
      <c r="P531" s="21" t="s">
        <v>1269</v>
      </c>
      <c r="Q531" s="23"/>
    </row>
    <row r="532" spans="1:17" x14ac:dyDescent="0.25">
      <c r="A532" s="19" t="s">
        <v>1192</v>
      </c>
      <c r="B532" s="19" t="s">
        <v>653</v>
      </c>
      <c r="C532" s="19" t="s">
        <v>582</v>
      </c>
      <c r="D532" s="19" t="s">
        <v>1193</v>
      </c>
      <c r="E532" s="19" t="s">
        <v>1141</v>
      </c>
      <c r="F532" s="21" t="s">
        <v>1269</v>
      </c>
      <c r="G532" s="23"/>
      <c r="H532" s="21" t="s">
        <v>1269</v>
      </c>
      <c r="I532" s="23"/>
      <c r="J532" s="21" t="s">
        <v>1269</v>
      </c>
      <c r="K532" s="23"/>
      <c r="L532" s="21" t="s">
        <v>1269</v>
      </c>
      <c r="M532" s="23"/>
      <c r="N532" s="21" t="s">
        <v>1269</v>
      </c>
      <c r="O532" s="23"/>
      <c r="P532" s="21" t="s">
        <v>1269</v>
      </c>
      <c r="Q532" s="23"/>
    </row>
    <row r="533" spans="1:17" x14ac:dyDescent="0.25">
      <c r="A533" s="19" t="s">
        <v>1194</v>
      </c>
      <c r="B533" s="19" t="s">
        <v>653</v>
      </c>
      <c r="C533" s="19" t="s">
        <v>582</v>
      </c>
      <c r="D533" s="19" t="s">
        <v>1195</v>
      </c>
      <c r="E533" s="19" t="s">
        <v>1144</v>
      </c>
      <c r="F533" s="21" t="s">
        <v>1269</v>
      </c>
      <c r="G533" s="23"/>
      <c r="H533" s="21" t="s">
        <v>1269</v>
      </c>
      <c r="I533" s="23"/>
      <c r="J533" s="21" t="s">
        <v>1269</v>
      </c>
      <c r="K533" s="23"/>
      <c r="L533" s="21" t="s">
        <v>1269</v>
      </c>
      <c r="M533" s="23"/>
      <c r="N533" s="21" t="s">
        <v>1269</v>
      </c>
      <c r="O533" s="23"/>
      <c r="P533" s="21" t="s">
        <v>1269</v>
      </c>
      <c r="Q533" s="23"/>
    </row>
    <row r="534" spans="1:17" x14ac:dyDescent="0.25">
      <c r="A534" s="19" t="s">
        <v>1196</v>
      </c>
      <c r="B534" s="19" t="s">
        <v>653</v>
      </c>
      <c r="C534" s="19" t="s">
        <v>582</v>
      </c>
      <c r="D534" s="19" t="s">
        <v>1197</v>
      </c>
      <c r="E534" s="19" t="s">
        <v>662</v>
      </c>
      <c r="F534" s="21" t="s">
        <v>1269</v>
      </c>
      <c r="G534" s="23"/>
      <c r="H534" s="21" t="s">
        <v>1269</v>
      </c>
      <c r="I534" s="23"/>
      <c r="J534" s="21" t="s">
        <v>1269</v>
      </c>
      <c r="K534" s="23"/>
      <c r="L534" s="21" t="s">
        <v>1269</v>
      </c>
      <c r="M534" s="23"/>
      <c r="N534" s="21" t="s">
        <v>1269</v>
      </c>
      <c r="O534" s="23"/>
      <c r="P534" s="21" t="s">
        <v>1269</v>
      </c>
      <c r="Q534" s="23"/>
    </row>
    <row r="535" spans="1:17" x14ac:dyDescent="0.25">
      <c r="A535" s="19" t="s">
        <v>1198</v>
      </c>
      <c r="B535" s="19" t="s">
        <v>653</v>
      </c>
      <c r="C535" s="19" t="s">
        <v>582</v>
      </c>
      <c r="D535" s="19" t="s">
        <v>1199</v>
      </c>
      <c r="E535" s="19" t="s">
        <v>662</v>
      </c>
      <c r="F535" s="21" t="s">
        <v>1269</v>
      </c>
      <c r="G535" s="23"/>
      <c r="H535" s="21" t="s">
        <v>1269</v>
      </c>
      <c r="I535" s="23"/>
      <c r="J535" s="21" t="s">
        <v>1269</v>
      </c>
      <c r="K535" s="23"/>
      <c r="L535" s="21" t="s">
        <v>1269</v>
      </c>
      <c r="M535" s="23"/>
      <c r="N535" s="21" t="s">
        <v>1269</v>
      </c>
      <c r="O535" s="23"/>
      <c r="P535" s="21" t="s">
        <v>1269</v>
      </c>
      <c r="Q535" s="23"/>
    </row>
    <row r="536" spans="1:17" x14ac:dyDescent="0.25">
      <c r="A536" s="19" t="s">
        <v>1200</v>
      </c>
      <c r="B536" s="19" t="s">
        <v>653</v>
      </c>
      <c r="C536" s="19" t="s">
        <v>582</v>
      </c>
      <c r="D536" s="19" t="s">
        <v>1201</v>
      </c>
      <c r="E536" s="19" t="s">
        <v>662</v>
      </c>
      <c r="F536" s="21" t="s">
        <v>1269</v>
      </c>
      <c r="G536" s="23"/>
      <c r="H536" s="21" t="s">
        <v>1269</v>
      </c>
      <c r="I536" s="23"/>
      <c r="J536" s="21" t="s">
        <v>1269</v>
      </c>
      <c r="K536" s="23"/>
      <c r="L536" s="21" t="s">
        <v>1269</v>
      </c>
      <c r="M536" s="23"/>
      <c r="N536" s="21" t="s">
        <v>1269</v>
      </c>
      <c r="O536" s="23"/>
      <c r="P536" s="21" t="s">
        <v>1269</v>
      </c>
      <c r="Q536" s="23"/>
    </row>
    <row r="537" spans="1:17" x14ac:dyDescent="0.25">
      <c r="A537" s="19" t="s">
        <v>1202</v>
      </c>
      <c r="B537" s="19" t="s">
        <v>653</v>
      </c>
      <c r="C537" s="19" t="s">
        <v>582</v>
      </c>
      <c r="D537" s="19" t="s">
        <v>1203</v>
      </c>
      <c r="E537" s="19" t="s">
        <v>674</v>
      </c>
      <c r="F537" s="21" t="s">
        <v>1269</v>
      </c>
      <c r="G537" s="23"/>
      <c r="H537" s="21" t="s">
        <v>1269</v>
      </c>
      <c r="I537" s="23"/>
      <c r="J537" s="21" t="s">
        <v>1269</v>
      </c>
      <c r="K537" s="23"/>
      <c r="L537" s="21" t="s">
        <v>1269</v>
      </c>
      <c r="M537" s="23"/>
      <c r="N537" s="21" t="s">
        <v>1269</v>
      </c>
      <c r="O537" s="23"/>
      <c r="P537" s="21" t="s">
        <v>1269</v>
      </c>
      <c r="Q537" s="23"/>
    </row>
    <row r="538" spans="1:17" x14ac:dyDescent="0.25">
      <c r="A538" s="19" t="s">
        <v>1204</v>
      </c>
      <c r="B538" s="19" t="s">
        <v>653</v>
      </c>
      <c r="C538" s="19" t="s">
        <v>582</v>
      </c>
      <c r="D538" s="19" t="s">
        <v>1205</v>
      </c>
      <c r="E538" s="19" t="s">
        <v>912</v>
      </c>
      <c r="F538" s="21" t="s">
        <v>1269</v>
      </c>
      <c r="G538" s="23"/>
      <c r="H538" s="21" t="s">
        <v>1269</v>
      </c>
      <c r="I538" s="23"/>
      <c r="J538" s="21" t="s">
        <v>1269</v>
      </c>
      <c r="K538" s="23"/>
      <c r="L538" s="21" t="s">
        <v>1269</v>
      </c>
      <c r="M538" s="23"/>
      <c r="N538" s="21" t="s">
        <v>1269</v>
      </c>
      <c r="O538" s="23"/>
      <c r="P538" s="21" t="s">
        <v>1269</v>
      </c>
      <c r="Q538" s="23"/>
    </row>
    <row r="539" spans="1:17" x14ac:dyDescent="0.25">
      <c r="A539" s="19" t="s">
        <v>1206</v>
      </c>
      <c r="B539" s="19" t="s">
        <v>653</v>
      </c>
      <c r="C539" s="19" t="s">
        <v>582</v>
      </c>
      <c r="D539" s="19" t="s">
        <v>1207</v>
      </c>
      <c r="E539" s="19" t="s">
        <v>1100</v>
      </c>
      <c r="F539" s="21" t="s">
        <v>1269</v>
      </c>
      <c r="G539" s="23"/>
      <c r="H539" s="21" t="s">
        <v>1269</v>
      </c>
      <c r="I539" s="23"/>
      <c r="J539" s="21" t="s">
        <v>1269</v>
      </c>
      <c r="K539" s="23"/>
      <c r="L539" s="21" t="s">
        <v>1269</v>
      </c>
      <c r="M539" s="23"/>
      <c r="N539" s="21" t="s">
        <v>1269</v>
      </c>
      <c r="O539" s="23"/>
      <c r="P539" s="21" t="s">
        <v>1269</v>
      </c>
      <c r="Q539" s="23"/>
    </row>
    <row r="540" spans="1:17" x14ac:dyDescent="0.25">
      <c r="A540" s="19" t="s">
        <v>1208</v>
      </c>
      <c r="B540" s="19" t="s">
        <v>653</v>
      </c>
      <c r="C540" s="19" t="s">
        <v>582</v>
      </c>
      <c r="D540" s="19" t="s">
        <v>1209</v>
      </c>
      <c r="E540" s="19" t="s">
        <v>1103</v>
      </c>
      <c r="F540" s="21" t="s">
        <v>1269</v>
      </c>
      <c r="G540" s="23"/>
      <c r="H540" s="21" t="s">
        <v>1269</v>
      </c>
      <c r="I540" s="23"/>
      <c r="J540" s="21" t="s">
        <v>1269</v>
      </c>
      <c r="K540" s="23"/>
      <c r="L540" s="21" t="s">
        <v>1269</v>
      </c>
      <c r="M540" s="23"/>
      <c r="N540" s="21" t="s">
        <v>1269</v>
      </c>
      <c r="O540" s="23"/>
      <c r="P540" s="21" t="s">
        <v>1269</v>
      </c>
      <c r="Q540" s="23"/>
    </row>
    <row r="541" spans="1:17" x14ac:dyDescent="0.25">
      <c r="A541" s="19" t="s">
        <v>1210</v>
      </c>
      <c r="B541" s="19" t="s">
        <v>653</v>
      </c>
      <c r="C541" s="19" t="s">
        <v>582</v>
      </c>
      <c r="D541" s="19" t="s">
        <v>1211</v>
      </c>
      <c r="E541" s="19" t="s">
        <v>1103</v>
      </c>
      <c r="F541" s="21" t="s">
        <v>1269</v>
      </c>
      <c r="G541" s="23"/>
      <c r="H541" s="21" t="s">
        <v>1269</v>
      </c>
      <c r="I541" s="23"/>
      <c r="J541" s="21" t="s">
        <v>1269</v>
      </c>
      <c r="K541" s="23"/>
      <c r="L541" s="21" t="s">
        <v>1269</v>
      </c>
      <c r="M541" s="23"/>
      <c r="N541" s="21" t="s">
        <v>1269</v>
      </c>
      <c r="O541" s="23"/>
      <c r="P541" s="21" t="s">
        <v>1269</v>
      </c>
      <c r="Q541" s="23"/>
    </row>
    <row r="542" spans="1:17" x14ac:dyDescent="0.25">
      <c r="A542" s="19" t="s">
        <v>1212</v>
      </c>
      <c r="B542" s="19" t="s">
        <v>653</v>
      </c>
      <c r="C542" s="19" t="s">
        <v>582</v>
      </c>
      <c r="D542" s="19" t="s">
        <v>1213</v>
      </c>
      <c r="E542" s="19" t="s">
        <v>113</v>
      </c>
      <c r="F542" s="21" t="s">
        <v>1269</v>
      </c>
      <c r="G542" s="23"/>
      <c r="H542" s="21" t="s">
        <v>1269</v>
      </c>
      <c r="I542" s="23"/>
      <c r="J542" s="21" t="s">
        <v>1269</v>
      </c>
      <c r="K542" s="23"/>
      <c r="L542" s="21" t="s">
        <v>1269</v>
      </c>
      <c r="M542" s="23"/>
      <c r="N542" s="21" t="s">
        <v>1269</v>
      </c>
      <c r="O542" s="23"/>
      <c r="P542" s="21" t="s">
        <v>1269</v>
      </c>
      <c r="Q542" s="23"/>
    </row>
    <row r="543" spans="1:17" x14ac:dyDescent="0.25">
      <c r="A543" s="19" t="s">
        <v>1214</v>
      </c>
      <c r="B543" s="19" t="s">
        <v>653</v>
      </c>
      <c r="C543" s="19" t="s">
        <v>582</v>
      </c>
      <c r="D543" s="19" t="s">
        <v>1215</v>
      </c>
      <c r="E543" s="19" t="s">
        <v>120</v>
      </c>
      <c r="F543" s="21" t="s">
        <v>1269</v>
      </c>
      <c r="G543" s="23"/>
      <c r="H543" s="21" t="s">
        <v>1269</v>
      </c>
      <c r="I543" s="23"/>
      <c r="J543" s="21" t="s">
        <v>1269</v>
      </c>
      <c r="K543" s="23"/>
      <c r="L543" s="21" t="s">
        <v>1269</v>
      </c>
      <c r="M543" s="23"/>
      <c r="N543" s="21" t="s">
        <v>1269</v>
      </c>
      <c r="O543" s="23"/>
      <c r="P543" s="21" t="s">
        <v>1269</v>
      </c>
      <c r="Q543" s="23"/>
    </row>
    <row r="544" spans="1:17" x14ac:dyDescent="0.25">
      <c r="A544" s="19" t="s">
        <v>1216</v>
      </c>
      <c r="B544" s="19" t="s">
        <v>653</v>
      </c>
      <c r="C544" s="19" t="s">
        <v>582</v>
      </c>
      <c r="D544" s="19" t="s">
        <v>1217</v>
      </c>
      <c r="E544" s="19" t="s">
        <v>120</v>
      </c>
      <c r="F544" s="21" t="s">
        <v>1269</v>
      </c>
      <c r="G544" s="23"/>
      <c r="H544" s="21" t="s">
        <v>1269</v>
      </c>
      <c r="I544" s="23"/>
      <c r="J544" s="21" t="s">
        <v>1269</v>
      </c>
      <c r="K544" s="23"/>
      <c r="L544" s="21" t="s">
        <v>1269</v>
      </c>
      <c r="M544" s="23"/>
      <c r="N544" s="21" t="s">
        <v>1269</v>
      </c>
      <c r="O544" s="23"/>
      <c r="P544" s="21" t="s">
        <v>1269</v>
      </c>
      <c r="Q544" s="23"/>
    </row>
    <row r="545" spans="1:17" x14ac:dyDescent="0.25">
      <c r="A545" s="19" t="s">
        <v>1218</v>
      </c>
      <c r="B545" s="19" t="s">
        <v>653</v>
      </c>
      <c r="C545" s="19" t="s">
        <v>582</v>
      </c>
      <c r="D545" s="19" t="s">
        <v>1219</v>
      </c>
      <c r="E545" s="19" t="s">
        <v>205</v>
      </c>
      <c r="F545" s="21" t="s">
        <v>1269</v>
      </c>
      <c r="G545" s="23"/>
      <c r="H545" s="21" t="s">
        <v>1269</v>
      </c>
      <c r="I545" s="23"/>
      <c r="J545" s="21" t="s">
        <v>1269</v>
      </c>
      <c r="K545" s="23"/>
      <c r="L545" s="21" t="s">
        <v>1269</v>
      </c>
      <c r="M545" s="23"/>
      <c r="N545" s="21" t="s">
        <v>1269</v>
      </c>
      <c r="O545" s="23"/>
      <c r="P545" s="21" t="s">
        <v>1269</v>
      </c>
      <c r="Q545" s="23"/>
    </row>
    <row r="546" spans="1:17" x14ac:dyDescent="0.25">
      <c r="A546" s="19" t="s">
        <v>1220</v>
      </c>
      <c r="B546" s="19" t="s">
        <v>653</v>
      </c>
      <c r="C546" s="19" t="s">
        <v>582</v>
      </c>
      <c r="D546" s="19" t="s">
        <v>1221</v>
      </c>
      <c r="E546" s="19" t="s">
        <v>205</v>
      </c>
      <c r="F546" s="21" t="s">
        <v>1269</v>
      </c>
      <c r="G546" s="23"/>
      <c r="H546" s="21" t="s">
        <v>1269</v>
      </c>
      <c r="I546" s="23"/>
      <c r="J546" s="21" t="s">
        <v>1269</v>
      </c>
      <c r="K546" s="23"/>
      <c r="L546" s="21" t="s">
        <v>1269</v>
      </c>
      <c r="M546" s="23"/>
      <c r="N546" s="21" t="s">
        <v>1269</v>
      </c>
      <c r="O546" s="23"/>
      <c r="P546" s="21" t="s">
        <v>1269</v>
      </c>
      <c r="Q546" s="23"/>
    </row>
    <row r="547" spans="1:17" x14ac:dyDescent="0.25">
      <c r="A547" s="19" t="s">
        <v>1222</v>
      </c>
      <c r="B547" s="19" t="s">
        <v>653</v>
      </c>
      <c r="C547" s="19" t="s">
        <v>582</v>
      </c>
      <c r="D547" s="19" t="s">
        <v>1223</v>
      </c>
      <c r="E547" s="19" t="s">
        <v>131</v>
      </c>
      <c r="F547" s="21" t="s">
        <v>1269</v>
      </c>
      <c r="G547" s="23"/>
      <c r="H547" s="21" t="s">
        <v>1269</v>
      </c>
      <c r="I547" s="23"/>
      <c r="J547" s="21" t="s">
        <v>1269</v>
      </c>
      <c r="K547" s="23"/>
      <c r="L547" s="21" t="s">
        <v>1269</v>
      </c>
      <c r="M547" s="23"/>
      <c r="N547" s="21" t="s">
        <v>1269</v>
      </c>
      <c r="O547" s="23"/>
      <c r="P547" s="21" t="s">
        <v>1269</v>
      </c>
      <c r="Q547" s="23"/>
    </row>
    <row r="548" spans="1:17" x14ac:dyDescent="0.25">
      <c r="A548" s="19" t="s">
        <v>1224</v>
      </c>
      <c r="B548" s="19" t="s">
        <v>653</v>
      </c>
      <c r="C548" s="19" t="s">
        <v>582</v>
      </c>
      <c r="D548" s="19" t="s">
        <v>1225</v>
      </c>
      <c r="E548" s="19" t="s">
        <v>791</v>
      </c>
      <c r="F548" s="21" t="s">
        <v>1269</v>
      </c>
      <c r="G548" s="23"/>
      <c r="H548" s="21" t="s">
        <v>1269</v>
      </c>
      <c r="I548" s="23"/>
      <c r="J548" s="21" t="s">
        <v>1269</v>
      </c>
      <c r="K548" s="23"/>
      <c r="L548" s="21" t="s">
        <v>1269</v>
      </c>
      <c r="M548" s="23"/>
      <c r="N548" s="21" t="s">
        <v>1269</v>
      </c>
      <c r="O548" s="23"/>
      <c r="P548" s="21" t="s">
        <v>1269</v>
      </c>
      <c r="Q548" s="23"/>
    </row>
    <row r="549" spans="1:17" x14ac:dyDescent="0.25">
      <c r="A549" s="19" t="s">
        <v>1226</v>
      </c>
      <c r="B549" s="19" t="s">
        <v>653</v>
      </c>
      <c r="C549" s="19" t="s">
        <v>582</v>
      </c>
      <c r="D549" s="19" t="s">
        <v>1227</v>
      </c>
      <c r="E549" s="19" t="s">
        <v>711</v>
      </c>
      <c r="F549" s="21" t="s">
        <v>1269</v>
      </c>
      <c r="G549" s="23"/>
      <c r="H549" s="21" t="s">
        <v>1269</v>
      </c>
      <c r="I549" s="23"/>
      <c r="J549" s="21" t="s">
        <v>1269</v>
      </c>
      <c r="K549" s="23"/>
      <c r="L549" s="21" t="s">
        <v>1269</v>
      </c>
      <c r="M549" s="23"/>
      <c r="N549" s="21" t="s">
        <v>1269</v>
      </c>
      <c r="O549" s="23"/>
      <c r="P549" s="21" t="s">
        <v>1269</v>
      </c>
      <c r="Q549" s="23"/>
    </row>
    <row r="550" spans="1:17" x14ac:dyDescent="0.25">
      <c r="A550" s="19" t="s">
        <v>1228</v>
      </c>
      <c r="B550" s="19" t="s">
        <v>653</v>
      </c>
      <c r="C550" s="19" t="s">
        <v>582</v>
      </c>
      <c r="D550" s="19" t="s">
        <v>1229</v>
      </c>
      <c r="E550" s="19" t="s">
        <v>1124</v>
      </c>
      <c r="F550" s="21" t="s">
        <v>1269</v>
      </c>
      <c r="G550" s="23"/>
      <c r="H550" s="21" t="s">
        <v>1269</v>
      </c>
      <c r="I550" s="23"/>
      <c r="J550" s="21" t="s">
        <v>1269</v>
      </c>
      <c r="K550" s="23"/>
      <c r="L550" s="21" t="s">
        <v>1269</v>
      </c>
      <c r="M550" s="23"/>
      <c r="N550" s="21" t="s">
        <v>1269</v>
      </c>
      <c r="O550" s="23"/>
      <c r="P550" s="21" t="s">
        <v>1269</v>
      </c>
      <c r="Q550" s="23"/>
    </row>
    <row r="551" spans="1:17" x14ac:dyDescent="0.25">
      <c r="A551" s="19" t="s">
        <v>1230</v>
      </c>
      <c r="B551" s="19" t="s">
        <v>653</v>
      </c>
      <c r="C551" s="19" t="s">
        <v>582</v>
      </c>
      <c r="D551" s="19" t="s">
        <v>1231</v>
      </c>
      <c r="E551" s="19" t="s">
        <v>1124</v>
      </c>
      <c r="F551" s="21" t="s">
        <v>1269</v>
      </c>
      <c r="G551" s="23"/>
      <c r="H551" s="21" t="s">
        <v>1269</v>
      </c>
      <c r="I551" s="23"/>
      <c r="J551" s="21" t="s">
        <v>1269</v>
      </c>
      <c r="K551" s="23"/>
      <c r="L551" s="21" t="s">
        <v>1269</v>
      </c>
      <c r="M551" s="23"/>
      <c r="N551" s="21" t="s">
        <v>1269</v>
      </c>
      <c r="O551" s="23"/>
      <c r="P551" s="21" t="s">
        <v>1269</v>
      </c>
      <c r="Q551" s="23"/>
    </row>
    <row r="552" spans="1:17" x14ac:dyDescent="0.25">
      <c r="A552" s="19" t="s">
        <v>1232</v>
      </c>
      <c r="B552" s="19" t="s">
        <v>653</v>
      </c>
      <c r="C552" s="19" t="s">
        <v>582</v>
      </c>
      <c r="D552" s="19" t="s">
        <v>1233</v>
      </c>
      <c r="E552" s="19" t="s">
        <v>725</v>
      </c>
      <c r="F552" s="21" t="s">
        <v>1269</v>
      </c>
      <c r="G552" s="23"/>
      <c r="H552" s="21" t="s">
        <v>1269</v>
      </c>
      <c r="I552" s="23"/>
      <c r="J552" s="21" t="s">
        <v>1269</v>
      </c>
      <c r="K552" s="23"/>
      <c r="L552" s="21" t="s">
        <v>1269</v>
      </c>
      <c r="M552" s="23"/>
      <c r="N552" s="21" t="s">
        <v>1269</v>
      </c>
      <c r="O552" s="23"/>
      <c r="P552" s="21" t="s">
        <v>1269</v>
      </c>
      <c r="Q552" s="23"/>
    </row>
    <row r="553" spans="1:17" x14ac:dyDescent="0.25">
      <c r="A553" s="19" t="s">
        <v>1234</v>
      </c>
      <c r="B553" s="19" t="s">
        <v>653</v>
      </c>
      <c r="C553" s="19" t="s">
        <v>582</v>
      </c>
      <c r="D553" s="19" t="s">
        <v>1235</v>
      </c>
      <c r="E553" s="19" t="s">
        <v>1131</v>
      </c>
      <c r="F553" s="21" t="s">
        <v>1269</v>
      </c>
      <c r="G553" s="23"/>
      <c r="H553" s="21" t="s">
        <v>1269</v>
      </c>
      <c r="I553" s="23"/>
      <c r="J553" s="21" t="s">
        <v>1269</v>
      </c>
      <c r="K553" s="23"/>
      <c r="L553" s="21" t="s">
        <v>1269</v>
      </c>
      <c r="M553" s="23"/>
      <c r="N553" s="21" t="s">
        <v>1269</v>
      </c>
      <c r="O553" s="23"/>
      <c r="P553" s="21" t="s">
        <v>1269</v>
      </c>
      <c r="Q553" s="23"/>
    </row>
    <row r="554" spans="1:17" x14ac:dyDescent="0.25">
      <c r="A554" s="19" t="s">
        <v>1236</v>
      </c>
      <c r="B554" s="19" t="s">
        <v>653</v>
      </c>
      <c r="C554" s="19" t="s">
        <v>582</v>
      </c>
      <c r="D554" s="19" t="s">
        <v>1237</v>
      </c>
      <c r="E554" s="19" t="s">
        <v>1134</v>
      </c>
      <c r="F554" s="21" t="s">
        <v>1269</v>
      </c>
      <c r="G554" s="23"/>
      <c r="H554" s="21" t="s">
        <v>1269</v>
      </c>
      <c r="I554" s="23"/>
      <c r="J554" s="21" t="s">
        <v>1269</v>
      </c>
      <c r="K554" s="23"/>
      <c r="L554" s="21" t="s">
        <v>1269</v>
      </c>
      <c r="M554" s="23"/>
      <c r="N554" s="21" t="s">
        <v>1269</v>
      </c>
      <c r="O554" s="23"/>
      <c r="P554" s="21" t="s">
        <v>1269</v>
      </c>
      <c r="Q554" s="23"/>
    </row>
  </sheetData>
  <sheetProtection password="D6EA" sheet="1" objects="1" scenarios="1" formatCells="0" formatColumns="0" formatRows="0" sort="0" autoFilter="0"/>
  <conditionalFormatting sqref="F2:F554">
    <cfRule type="expression" dxfId="30" priority="1" stopIfTrue="1">
      <formula>TRIM(UPPER(F2))="A"</formula>
    </cfRule>
    <cfRule type="expression" dxfId="29" priority="2" stopIfTrue="1">
      <formula>TRIM(UPPER(F2))="B"</formula>
    </cfRule>
    <cfRule type="expression" dxfId="28" priority="3" stopIfTrue="1">
      <formula>TRIM(UPPER(F2))="UR"</formula>
    </cfRule>
    <cfRule type="expression" dxfId="27" priority="4" stopIfTrue="1">
      <formula>TRIM(UPPER(F2))="C"</formula>
    </cfRule>
    <cfRule type="expression" dxfId="26" priority="5" stopIfTrue="1">
      <formula>TRIM(UPPER(F2))="TBS"</formula>
    </cfRule>
  </conditionalFormatting>
  <conditionalFormatting sqref="H2:H554">
    <cfRule type="expression" dxfId="25" priority="6" stopIfTrue="1">
      <formula>TRIM(UPPER(H2))="A"</formula>
    </cfRule>
    <cfRule type="expression" dxfId="24" priority="7" stopIfTrue="1">
      <formula>TRIM(UPPER(H2))="B"</formula>
    </cfRule>
    <cfRule type="expression" dxfId="23" priority="8" stopIfTrue="1">
      <formula>TRIM(UPPER(H2))="UR"</formula>
    </cfRule>
    <cfRule type="expression" dxfId="22" priority="9" stopIfTrue="1">
      <formula>TRIM(UPPER(H2))="C"</formula>
    </cfRule>
    <cfRule type="expression" dxfId="21" priority="10" stopIfTrue="1">
      <formula>TRIM(UPPER(H2))="TBS"</formula>
    </cfRule>
  </conditionalFormatting>
  <conditionalFormatting sqref="J2:J554">
    <cfRule type="expression" dxfId="20" priority="11" stopIfTrue="1">
      <formula>TRIM(UPPER(J2))="A"</formula>
    </cfRule>
    <cfRule type="expression" dxfId="19" priority="12" stopIfTrue="1">
      <formula>TRIM(UPPER(J2))="B"</formula>
    </cfRule>
    <cfRule type="expression" dxfId="18" priority="13" stopIfTrue="1">
      <formula>TRIM(UPPER(J2))="UR"</formula>
    </cfRule>
    <cfRule type="expression" dxfId="17" priority="14" stopIfTrue="1">
      <formula>TRIM(UPPER(J2))="C"</formula>
    </cfRule>
    <cfRule type="expression" dxfId="16" priority="15" stopIfTrue="1">
      <formula>TRIM(UPPER(J2))="TBS"</formula>
    </cfRule>
  </conditionalFormatting>
  <conditionalFormatting sqref="L2:L554">
    <cfRule type="expression" dxfId="15" priority="16" stopIfTrue="1">
      <formula>TRIM(UPPER(L2))="A"</formula>
    </cfRule>
    <cfRule type="expression" dxfId="14" priority="17" stopIfTrue="1">
      <formula>TRIM(UPPER(L2))="B"</formula>
    </cfRule>
    <cfRule type="expression" dxfId="13" priority="18" stopIfTrue="1">
      <formula>TRIM(UPPER(L2))="UR"</formula>
    </cfRule>
    <cfRule type="expression" dxfId="12" priority="19" stopIfTrue="1">
      <formula>TRIM(UPPER(L2))="C"</formula>
    </cfRule>
    <cfRule type="expression" dxfId="11" priority="20" stopIfTrue="1">
      <formula>TRIM(UPPER(L2))="TBS"</formula>
    </cfRule>
  </conditionalFormatting>
  <conditionalFormatting sqref="N2:N554">
    <cfRule type="expression" dxfId="10" priority="21" stopIfTrue="1">
      <formula>TRIM(UPPER(N2))="A"</formula>
    </cfRule>
    <cfRule type="expression" dxfId="9" priority="22" stopIfTrue="1">
      <formula>TRIM(UPPER(N2))="B"</formula>
    </cfRule>
    <cfRule type="expression" dxfId="8" priority="23" stopIfTrue="1">
      <formula>TRIM(UPPER(N2))="UR"</formula>
    </cfRule>
    <cfRule type="expression" dxfId="7" priority="24" stopIfTrue="1">
      <formula>TRIM(UPPER(N2))="C"</formula>
    </cfRule>
    <cfRule type="expression" dxfId="6" priority="25" stopIfTrue="1">
      <formula>TRIM(UPPER(N2))="TBS"</formula>
    </cfRule>
  </conditionalFormatting>
  <conditionalFormatting sqref="P2:P554">
    <cfRule type="expression" dxfId="5" priority="26" stopIfTrue="1">
      <formula>TRIM(UPPER(P2))="A"</formula>
    </cfRule>
    <cfRule type="expression" dxfId="4" priority="27" stopIfTrue="1">
      <formula>TRIM(UPPER(P2))="B"</formula>
    </cfRule>
    <cfRule type="expression" dxfId="3" priority="28" stopIfTrue="1">
      <formula>TRIM(UPPER(P2))="UR"</formula>
    </cfRule>
    <cfRule type="expression" dxfId="2" priority="29" stopIfTrue="1">
      <formula>TRIM(UPPER(P2))="C"</formula>
    </cfRule>
    <cfRule type="expression" dxfId="1" priority="30" stopIfTrue="1">
      <formula>TRIM(UPPER(P2))="TBS"</formula>
    </cfRule>
  </conditionalFormatting>
  <dataValidations count="1">
    <dataValidation type="date" allowBlank="1" sqref="G2:G554 I2:I554 K2:K554 M2:M554 O2:O554 Q2:Q554" xr:uid="{00000000-0002-0000-0400-00000000000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Use A, B, UR, C or TBS" xr:uid="{00000000-0002-0000-0400-000001000000}">
          <x14:formula1>
            <xm:f>Lists!$A$2:$A$6</xm:f>
          </x14:formula1>
          <xm:sqref>F2:F554 H2:H554 J2:J554 L2:L554 N2:N554 P2:P554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2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8.7109375" defaultRowHeight="15" x14ac:dyDescent="0.25"/>
  <cols>
    <col min="1" max="1" width="34" customWidth="1"/>
    <col min="2" max="2" width="32" customWidth="1"/>
    <col min="3" max="3" width="30" customWidth="1"/>
    <col min="4" max="5" width="8" customWidth="1"/>
    <col min="6" max="6" width="10" customWidth="1"/>
  </cols>
  <sheetData>
    <row r="1" spans="1:6" ht="33.75" customHeight="1" x14ac:dyDescent="0.25">
      <c r="A1" s="16" t="s">
        <v>1597</v>
      </c>
      <c r="B1" s="16" t="s">
        <v>1598</v>
      </c>
      <c r="C1" s="16" t="s">
        <v>1599</v>
      </c>
      <c r="D1" s="16" t="s">
        <v>1600</v>
      </c>
      <c r="E1" s="16" t="s">
        <v>1601</v>
      </c>
      <c r="F1" s="16" t="s">
        <v>1602</v>
      </c>
    </row>
    <row r="2" spans="1:6" ht="15" customHeight="1" x14ac:dyDescent="0.25">
      <c r="A2" t="s">
        <v>36</v>
      </c>
      <c r="B2" t="s">
        <v>1603</v>
      </c>
      <c r="C2" t="s">
        <v>1604</v>
      </c>
      <c r="D2">
        <v>1</v>
      </c>
      <c r="E2" t="s">
        <v>1605</v>
      </c>
      <c r="F2" t="s">
        <v>1606</v>
      </c>
    </row>
    <row r="3" spans="1:6" ht="15" customHeight="1" x14ac:dyDescent="0.25">
      <c r="A3" t="s">
        <v>1607</v>
      </c>
      <c r="B3" t="s">
        <v>1608</v>
      </c>
      <c r="C3" t="s">
        <v>1609</v>
      </c>
      <c r="D3">
        <v>10</v>
      </c>
      <c r="E3" t="s">
        <v>1605</v>
      </c>
      <c r="F3" t="s">
        <v>1606</v>
      </c>
    </row>
    <row r="4" spans="1:6" ht="15" customHeight="1" x14ac:dyDescent="0.25">
      <c r="A4" t="s">
        <v>1610</v>
      </c>
      <c r="B4" t="s">
        <v>1611</v>
      </c>
      <c r="C4" t="s">
        <v>1609</v>
      </c>
      <c r="D4">
        <v>11</v>
      </c>
      <c r="E4" t="s">
        <v>1605</v>
      </c>
      <c r="F4" t="s">
        <v>1606</v>
      </c>
    </row>
    <row r="5" spans="1:6" ht="15" customHeight="1" x14ac:dyDescent="0.25">
      <c r="A5" t="s">
        <v>1612</v>
      </c>
      <c r="B5" t="s">
        <v>1613</v>
      </c>
      <c r="C5" t="s">
        <v>1609</v>
      </c>
      <c r="D5">
        <v>12</v>
      </c>
      <c r="E5" t="s">
        <v>1605</v>
      </c>
      <c r="F5" t="s">
        <v>1606</v>
      </c>
    </row>
    <row r="6" spans="1:6" ht="15" customHeight="1" x14ac:dyDescent="0.25">
      <c r="A6" t="s">
        <v>1614</v>
      </c>
      <c r="B6" t="s">
        <v>1615</v>
      </c>
      <c r="C6" t="s">
        <v>1609</v>
      </c>
      <c r="D6">
        <v>13</v>
      </c>
      <c r="E6" t="s">
        <v>1605</v>
      </c>
      <c r="F6" t="s">
        <v>1606</v>
      </c>
    </row>
    <row r="7" spans="1:6" ht="15" customHeight="1" x14ac:dyDescent="0.25">
      <c r="A7" t="s">
        <v>37</v>
      </c>
      <c r="B7" t="s">
        <v>1616</v>
      </c>
      <c r="C7" t="s">
        <v>1617</v>
      </c>
      <c r="D7">
        <v>60</v>
      </c>
      <c r="E7" t="s">
        <v>1605</v>
      </c>
      <c r="F7" t="s">
        <v>1618</v>
      </c>
    </row>
    <row r="8" spans="1:6" ht="15" customHeight="1" x14ac:dyDescent="0.25">
      <c r="A8" t="s">
        <v>38</v>
      </c>
      <c r="B8" t="s">
        <v>1619</v>
      </c>
      <c r="C8" t="s">
        <v>1617</v>
      </c>
      <c r="D8">
        <v>61</v>
      </c>
      <c r="E8" t="s">
        <v>1605</v>
      </c>
      <c r="F8" t="s">
        <v>1620</v>
      </c>
    </row>
    <row r="9" spans="1:6" ht="15" customHeight="1" x14ac:dyDescent="0.25">
      <c r="A9" t="s">
        <v>39</v>
      </c>
      <c r="B9" t="s">
        <v>1621</v>
      </c>
      <c r="C9" t="s">
        <v>1617</v>
      </c>
      <c r="D9">
        <v>62</v>
      </c>
      <c r="E9" t="s">
        <v>1605</v>
      </c>
      <c r="F9" t="s">
        <v>1618</v>
      </c>
    </row>
    <row r="10" spans="1:6" ht="15" customHeight="1" x14ac:dyDescent="0.25">
      <c r="A10" t="s">
        <v>40</v>
      </c>
      <c r="B10" t="s">
        <v>1622</v>
      </c>
      <c r="C10" t="s">
        <v>1617</v>
      </c>
      <c r="D10">
        <v>63</v>
      </c>
      <c r="E10" t="s">
        <v>1605</v>
      </c>
      <c r="F10" t="s">
        <v>1620</v>
      </c>
    </row>
    <row r="11" spans="1:6" ht="15" customHeight="1" x14ac:dyDescent="0.25">
      <c r="A11" t="s">
        <v>41</v>
      </c>
      <c r="B11" t="s">
        <v>41</v>
      </c>
      <c r="C11" t="s">
        <v>1623</v>
      </c>
      <c r="D11">
        <v>90</v>
      </c>
      <c r="E11" t="s">
        <v>1605</v>
      </c>
      <c r="F11" t="s">
        <v>1606</v>
      </c>
    </row>
    <row r="12" spans="1:6" ht="15" customHeight="1" x14ac:dyDescent="0.25">
      <c r="A12" t="s">
        <v>43</v>
      </c>
      <c r="D12">
        <v>99</v>
      </c>
      <c r="E12" t="s">
        <v>1624</v>
      </c>
      <c r="F12" t="s">
        <v>1606</v>
      </c>
    </row>
    <row r="13" spans="1:6" ht="15" customHeight="1" x14ac:dyDescent="0.25">
      <c r="A13" t="s">
        <v>42</v>
      </c>
      <c r="D13">
        <v>99</v>
      </c>
      <c r="E13" t="s">
        <v>1624</v>
      </c>
      <c r="F13" t="s">
        <v>1606</v>
      </c>
    </row>
    <row r="14" spans="1:6" ht="15" customHeight="1" x14ac:dyDescent="0.25">
      <c r="A14" t="s">
        <v>31</v>
      </c>
      <c r="D14">
        <v>99</v>
      </c>
      <c r="E14" t="s">
        <v>1624</v>
      </c>
      <c r="F14" t="s">
        <v>1606</v>
      </c>
    </row>
    <row r="15" spans="1:6" ht="15" customHeight="1" x14ac:dyDescent="0.25">
      <c r="A15" t="s">
        <v>32</v>
      </c>
      <c r="D15">
        <v>99</v>
      </c>
      <c r="E15" t="s">
        <v>1624</v>
      </c>
      <c r="F15" t="s">
        <v>1606</v>
      </c>
    </row>
    <row r="16" spans="1:6" ht="15" customHeight="1" x14ac:dyDescent="0.25">
      <c r="A16" t="s">
        <v>33</v>
      </c>
      <c r="D16">
        <v>99</v>
      </c>
      <c r="E16" t="s">
        <v>1624</v>
      </c>
      <c r="F16" t="s">
        <v>1606</v>
      </c>
    </row>
    <row r="17" spans="1:6" ht="15" customHeight="1" x14ac:dyDescent="0.25">
      <c r="A17" t="s">
        <v>34</v>
      </c>
      <c r="B17" t="s">
        <v>1625</v>
      </c>
      <c r="C17" t="s">
        <v>1604</v>
      </c>
      <c r="D17">
        <v>2</v>
      </c>
      <c r="E17" t="s">
        <v>1605</v>
      </c>
      <c r="F17" t="s">
        <v>1606</v>
      </c>
    </row>
    <row r="18" spans="1:6" ht="15" customHeight="1" x14ac:dyDescent="0.25">
      <c r="A18" t="s">
        <v>35</v>
      </c>
      <c r="D18">
        <v>99</v>
      </c>
      <c r="E18" t="s">
        <v>1624</v>
      </c>
      <c r="F18" t="s">
        <v>1606</v>
      </c>
    </row>
    <row r="19" spans="1:6" ht="15" customHeight="1" x14ac:dyDescent="0.25">
      <c r="A19" t="s">
        <v>1239</v>
      </c>
      <c r="B19" t="s">
        <v>1626</v>
      </c>
      <c r="C19" t="s">
        <v>1627</v>
      </c>
      <c r="D19">
        <v>20</v>
      </c>
      <c r="E19" t="s">
        <v>1605</v>
      </c>
      <c r="F19" t="s">
        <v>1628</v>
      </c>
    </row>
    <row r="20" spans="1:6" ht="15" customHeight="1" x14ac:dyDescent="0.25">
      <c r="A20" t="s">
        <v>1629</v>
      </c>
      <c r="B20" t="s">
        <v>1630</v>
      </c>
      <c r="C20" t="s">
        <v>1627</v>
      </c>
      <c r="D20">
        <v>21</v>
      </c>
      <c r="E20" t="s">
        <v>1605</v>
      </c>
      <c r="F20" t="s">
        <v>1631</v>
      </c>
    </row>
    <row r="21" spans="1:6" ht="15" customHeight="1" x14ac:dyDescent="0.25">
      <c r="A21" t="s">
        <v>1632</v>
      </c>
      <c r="B21" t="s">
        <v>1633</v>
      </c>
      <c r="C21" t="s">
        <v>1627</v>
      </c>
      <c r="D21">
        <v>22</v>
      </c>
      <c r="E21" t="s">
        <v>1605</v>
      </c>
      <c r="F21" t="s">
        <v>1631</v>
      </c>
    </row>
    <row r="22" spans="1:6" ht="15" customHeight="1" x14ac:dyDescent="0.25">
      <c r="A22" t="s">
        <v>1634</v>
      </c>
      <c r="B22" t="s">
        <v>1635</v>
      </c>
      <c r="C22" t="s">
        <v>1627</v>
      </c>
      <c r="D22">
        <v>23</v>
      </c>
      <c r="E22" t="s">
        <v>1605</v>
      </c>
      <c r="F22" t="s">
        <v>1631</v>
      </c>
    </row>
    <row r="23" spans="1:6" ht="15" customHeight="1" x14ac:dyDescent="0.25">
      <c r="A23" t="s">
        <v>1636</v>
      </c>
      <c r="B23" t="s">
        <v>1637</v>
      </c>
      <c r="C23" t="s">
        <v>1627</v>
      </c>
      <c r="D23">
        <v>24</v>
      </c>
      <c r="E23" t="s">
        <v>1605</v>
      </c>
      <c r="F23" t="s">
        <v>1631</v>
      </c>
    </row>
    <row r="24" spans="1:6" ht="15" customHeight="1" x14ac:dyDescent="0.25">
      <c r="A24" t="s">
        <v>1638</v>
      </c>
      <c r="B24" t="s">
        <v>1639</v>
      </c>
      <c r="C24" t="s">
        <v>1627</v>
      </c>
      <c r="D24">
        <v>25</v>
      </c>
      <c r="E24" t="s">
        <v>1605</v>
      </c>
      <c r="F24" t="s">
        <v>1631</v>
      </c>
    </row>
    <row r="25" spans="1:6" ht="15" customHeight="1" x14ac:dyDescent="0.25">
      <c r="A25" t="s">
        <v>1640</v>
      </c>
      <c r="B25" t="s">
        <v>1641</v>
      </c>
      <c r="C25" t="s">
        <v>1627</v>
      </c>
      <c r="D25">
        <v>26</v>
      </c>
      <c r="E25" t="s">
        <v>1605</v>
      </c>
      <c r="F25" t="s">
        <v>1631</v>
      </c>
    </row>
    <row r="26" spans="1:6" ht="15" customHeight="1" x14ac:dyDescent="0.25">
      <c r="A26" t="s">
        <v>1642</v>
      </c>
      <c r="B26" t="s">
        <v>1643</v>
      </c>
      <c r="C26" t="s">
        <v>1627</v>
      </c>
      <c r="D26">
        <v>27</v>
      </c>
      <c r="E26" t="s">
        <v>1605</v>
      </c>
      <c r="F26" t="s">
        <v>1631</v>
      </c>
    </row>
    <row r="27" spans="1:6" ht="15" customHeight="1" x14ac:dyDescent="0.25">
      <c r="A27" t="s">
        <v>1644</v>
      </c>
      <c r="B27" t="s">
        <v>1645</v>
      </c>
      <c r="C27" t="s">
        <v>1627</v>
      </c>
      <c r="D27">
        <v>28</v>
      </c>
      <c r="E27" t="s">
        <v>1605</v>
      </c>
      <c r="F27" t="s">
        <v>1631</v>
      </c>
    </row>
    <row r="28" spans="1:6" ht="15" customHeight="1" x14ac:dyDescent="0.25">
      <c r="A28" t="s">
        <v>1646</v>
      </c>
      <c r="B28" t="s">
        <v>1647</v>
      </c>
      <c r="C28" t="s">
        <v>1627</v>
      </c>
      <c r="D28">
        <v>29</v>
      </c>
      <c r="E28" t="s">
        <v>1605</v>
      </c>
      <c r="F28" t="s">
        <v>1631</v>
      </c>
    </row>
    <row r="29" spans="1:6" ht="15" customHeight="1" x14ac:dyDescent="0.25">
      <c r="A29" t="s">
        <v>1648</v>
      </c>
      <c r="B29" t="s">
        <v>1649</v>
      </c>
      <c r="C29" t="s">
        <v>1627</v>
      </c>
      <c r="D29">
        <v>30</v>
      </c>
      <c r="E29" t="s">
        <v>1605</v>
      </c>
      <c r="F29" t="s">
        <v>1631</v>
      </c>
    </row>
    <row r="30" spans="1:6" ht="15" customHeight="1" x14ac:dyDescent="0.25">
      <c r="A30" t="s">
        <v>1650</v>
      </c>
      <c r="B30" t="s">
        <v>1651</v>
      </c>
      <c r="C30" t="s">
        <v>1627</v>
      </c>
      <c r="D30">
        <v>31</v>
      </c>
      <c r="E30" t="s">
        <v>1605</v>
      </c>
      <c r="F30" t="s">
        <v>1631</v>
      </c>
    </row>
    <row r="31" spans="1:6" ht="15" customHeight="1" x14ac:dyDescent="0.25">
      <c r="A31" t="s">
        <v>1652</v>
      </c>
      <c r="B31" t="s">
        <v>1653</v>
      </c>
      <c r="C31" t="s">
        <v>1627</v>
      </c>
      <c r="D31">
        <v>32</v>
      </c>
      <c r="E31" t="s">
        <v>1605</v>
      </c>
      <c r="F31" t="s">
        <v>1631</v>
      </c>
    </row>
    <row r="32" spans="1:6" ht="15" customHeight="1" x14ac:dyDescent="0.25">
      <c r="A32" t="s">
        <v>1238</v>
      </c>
      <c r="D32">
        <v>99</v>
      </c>
      <c r="E32" t="s">
        <v>1624</v>
      </c>
      <c r="F32" t="s">
        <v>1606</v>
      </c>
    </row>
    <row r="33" spans="1:6" ht="15" customHeight="1" x14ac:dyDescent="0.25">
      <c r="A33" t="s">
        <v>1654</v>
      </c>
      <c r="D33">
        <v>99</v>
      </c>
      <c r="E33" t="s">
        <v>1624</v>
      </c>
      <c r="F33" t="s">
        <v>1606</v>
      </c>
    </row>
    <row r="34" spans="1:6" ht="15" customHeight="1" x14ac:dyDescent="0.25"/>
    <row r="35" spans="1:6" ht="15" customHeight="1" x14ac:dyDescent="0.25">
      <c r="A35" t="s">
        <v>1240</v>
      </c>
      <c r="D35">
        <v>99</v>
      </c>
      <c r="E35" t="s">
        <v>1624</v>
      </c>
      <c r="F35" t="s">
        <v>1606</v>
      </c>
    </row>
    <row r="36" spans="1:6" ht="15" customHeight="1" x14ac:dyDescent="0.25">
      <c r="A36" t="s">
        <v>1655</v>
      </c>
      <c r="D36">
        <v>99</v>
      </c>
      <c r="E36" t="s">
        <v>1624</v>
      </c>
      <c r="F36" t="s">
        <v>1606</v>
      </c>
    </row>
    <row r="37" spans="1:6" ht="15" customHeight="1" x14ac:dyDescent="0.25">
      <c r="A37" t="s">
        <v>1656</v>
      </c>
      <c r="D37">
        <v>99</v>
      </c>
      <c r="E37" t="s">
        <v>1624</v>
      </c>
      <c r="F37" t="s">
        <v>1606</v>
      </c>
    </row>
    <row r="38" spans="1:6" ht="15" customHeight="1" x14ac:dyDescent="0.25">
      <c r="A38" t="s">
        <v>1657</v>
      </c>
      <c r="D38">
        <v>99</v>
      </c>
      <c r="E38" t="s">
        <v>1624</v>
      </c>
      <c r="F38" t="s">
        <v>1606</v>
      </c>
    </row>
    <row r="39" spans="1:6" ht="15" customHeight="1" x14ac:dyDescent="0.25">
      <c r="A39" t="s">
        <v>1658</v>
      </c>
      <c r="D39">
        <v>99</v>
      </c>
      <c r="E39" t="s">
        <v>1624</v>
      </c>
      <c r="F39" t="s">
        <v>1606</v>
      </c>
    </row>
    <row r="40" spans="1:6" ht="15" customHeight="1" x14ac:dyDescent="0.25">
      <c r="A40" t="s">
        <v>1659</v>
      </c>
      <c r="D40">
        <v>99</v>
      </c>
      <c r="E40" t="s">
        <v>1624</v>
      </c>
      <c r="F40" t="s">
        <v>1606</v>
      </c>
    </row>
    <row r="41" spans="1:6" ht="15" customHeight="1" x14ac:dyDescent="0.25">
      <c r="A41" t="s">
        <v>1660</v>
      </c>
      <c r="D41">
        <v>99</v>
      </c>
      <c r="E41" t="s">
        <v>1624</v>
      </c>
      <c r="F41" t="s">
        <v>1606</v>
      </c>
    </row>
    <row r="42" spans="1:6" ht="15" customHeight="1" x14ac:dyDescent="0.25">
      <c r="A42" t="s">
        <v>1661</v>
      </c>
      <c r="D42">
        <v>99</v>
      </c>
      <c r="E42" t="s">
        <v>1624</v>
      </c>
      <c r="F42" t="s">
        <v>1606</v>
      </c>
    </row>
    <row r="43" spans="1:6" ht="15" customHeight="1" x14ac:dyDescent="0.25">
      <c r="A43" t="s">
        <v>1662</v>
      </c>
      <c r="D43">
        <v>99</v>
      </c>
      <c r="E43" t="s">
        <v>1624</v>
      </c>
      <c r="F43" t="s">
        <v>1606</v>
      </c>
    </row>
    <row r="44" spans="1:6" ht="15" customHeight="1" x14ac:dyDescent="0.25">
      <c r="A44" t="s">
        <v>1663</v>
      </c>
      <c r="D44">
        <v>99</v>
      </c>
      <c r="E44" t="s">
        <v>1624</v>
      </c>
      <c r="F44" t="s">
        <v>1606</v>
      </c>
    </row>
    <row r="45" spans="1:6" ht="15" customHeight="1" x14ac:dyDescent="0.25">
      <c r="A45" t="s">
        <v>1664</v>
      </c>
      <c r="D45">
        <v>99</v>
      </c>
      <c r="E45" t="s">
        <v>1624</v>
      </c>
      <c r="F45" t="s">
        <v>1606</v>
      </c>
    </row>
    <row r="46" spans="1:6" ht="15" customHeight="1" x14ac:dyDescent="0.25">
      <c r="A46" t="s">
        <v>1665</v>
      </c>
      <c r="D46">
        <v>99</v>
      </c>
      <c r="E46" t="s">
        <v>1624</v>
      </c>
      <c r="F46" t="s">
        <v>1606</v>
      </c>
    </row>
    <row r="47" spans="1:6" ht="15" customHeight="1" x14ac:dyDescent="0.25">
      <c r="A47" s="8"/>
      <c r="B47" s="8"/>
      <c r="C47" s="8"/>
      <c r="D47" s="8"/>
      <c r="E47" s="8"/>
      <c r="F47" s="8"/>
    </row>
    <row r="48" spans="1:6" ht="15" customHeight="1" x14ac:dyDescent="0.25">
      <c r="A48" s="8"/>
      <c r="B48" s="8"/>
      <c r="C48" s="8"/>
      <c r="D48" s="8"/>
      <c r="E48" s="8"/>
      <c r="F48" s="8"/>
    </row>
    <row r="49" spans="1:6" ht="15" customHeight="1" x14ac:dyDescent="0.25">
      <c r="A49" s="8"/>
      <c r="B49" s="8"/>
      <c r="C49" s="8"/>
      <c r="D49" s="8"/>
      <c r="E49" s="8"/>
      <c r="F49" s="8"/>
    </row>
    <row r="50" spans="1:6" ht="15" customHeight="1" x14ac:dyDescent="0.25">
      <c r="A50" s="8"/>
      <c r="B50" s="8"/>
      <c r="C50" s="8"/>
      <c r="D50" s="8"/>
      <c r="E50" s="8"/>
      <c r="F50" s="8"/>
    </row>
    <row r="51" spans="1:6" ht="15" customHeight="1" x14ac:dyDescent="0.25">
      <c r="A51" s="8"/>
      <c r="B51" s="8"/>
      <c r="C51" s="8"/>
      <c r="D51" s="8"/>
      <c r="E51" s="8"/>
      <c r="F51" s="8"/>
    </row>
    <row r="52" spans="1:6" ht="15" customHeight="1" x14ac:dyDescent="0.25">
      <c r="A52" s="8"/>
      <c r="B52" s="8"/>
      <c r="C52" s="8"/>
      <c r="D52" s="8"/>
      <c r="E52" s="8"/>
      <c r="F52" s="8"/>
    </row>
    <row r="53" spans="1:6" ht="15" customHeight="1" x14ac:dyDescent="0.25">
      <c r="A53" s="8"/>
      <c r="B53" s="8"/>
      <c r="C53" s="8"/>
      <c r="D53" s="8"/>
      <c r="E53" s="8"/>
      <c r="F53" s="8"/>
    </row>
    <row r="54" spans="1:6" ht="15" customHeight="1" x14ac:dyDescent="0.25">
      <c r="A54" s="8"/>
      <c r="B54" s="8"/>
      <c r="C54" s="8"/>
      <c r="D54" s="8"/>
      <c r="E54" s="8"/>
      <c r="F54" s="8"/>
    </row>
    <row r="55" spans="1:6" ht="15" customHeight="1" x14ac:dyDescent="0.25">
      <c r="A55" s="8"/>
      <c r="B55" s="8"/>
      <c r="C55" s="8"/>
      <c r="D55" s="8"/>
      <c r="E55" s="8"/>
      <c r="F55" s="8"/>
    </row>
    <row r="56" spans="1:6" ht="15" customHeight="1" x14ac:dyDescent="0.25">
      <c r="A56" s="8"/>
      <c r="B56" s="8"/>
      <c r="C56" s="8"/>
      <c r="D56" s="8"/>
      <c r="E56" s="8"/>
      <c r="F56" s="8"/>
    </row>
    <row r="57" spans="1:6" ht="15" customHeight="1" x14ac:dyDescent="0.25">
      <c r="A57" s="8"/>
      <c r="B57" s="8"/>
      <c r="C57" s="8"/>
      <c r="D57" s="8"/>
      <c r="E57" s="8"/>
      <c r="F57" s="8"/>
    </row>
    <row r="58" spans="1:6" ht="15" customHeight="1" x14ac:dyDescent="0.25">
      <c r="A58" s="8"/>
      <c r="B58" s="8"/>
      <c r="C58" s="8"/>
      <c r="D58" s="8"/>
      <c r="E58" s="8"/>
      <c r="F58" s="8"/>
    </row>
    <row r="59" spans="1:6" ht="15" customHeight="1" x14ac:dyDescent="0.25">
      <c r="A59" s="8"/>
      <c r="B59" s="8"/>
      <c r="C59" s="8"/>
      <c r="D59" s="8"/>
      <c r="E59" s="8"/>
      <c r="F59" s="8"/>
    </row>
    <row r="60" spans="1:6" ht="15" customHeight="1" x14ac:dyDescent="0.25">
      <c r="A60" s="8"/>
      <c r="B60" s="8"/>
      <c r="C60" s="8"/>
      <c r="D60" s="8"/>
      <c r="E60" s="8"/>
      <c r="F60" s="8"/>
    </row>
    <row r="61" spans="1:6" ht="15" customHeight="1" x14ac:dyDescent="0.25">
      <c r="A61" s="8"/>
      <c r="B61" s="8"/>
      <c r="C61" s="8"/>
      <c r="D61" s="8"/>
      <c r="E61" s="8"/>
      <c r="F61" s="8"/>
    </row>
    <row r="62" spans="1:6" ht="15" customHeight="1" x14ac:dyDescent="0.25">
      <c r="A62" s="8"/>
      <c r="B62" s="8"/>
      <c r="C62" s="8"/>
      <c r="D62" s="8"/>
      <c r="E62" s="8"/>
      <c r="F62" s="8"/>
    </row>
    <row r="63" spans="1:6" ht="15" customHeight="1" x14ac:dyDescent="0.25">
      <c r="A63" s="8"/>
      <c r="B63" s="8"/>
      <c r="C63" s="8"/>
      <c r="D63" s="8"/>
      <c r="E63" s="8"/>
      <c r="F63" s="8"/>
    </row>
    <row r="64" spans="1:6" ht="15" customHeight="1" x14ac:dyDescent="0.25">
      <c r="A64" s="8"/>
      <c r="B64" s="8"/>
      <c r="C64" s="8"/>
      <c r="D64" s="8"/>
      <c r="E64" s="8"/>
      <c r="F64" s="8"/>
    </row>
    <row r="65" spans="1:6" ht="15" customHeight="1" x14ac:dyDescent="0.25">
      <c r="A65" s="8"/>
      <c r="B65" s="8"/>
      <c r="C65" s="8"/>
      <c r="D65" s="8"/>
      <c r="E65" s="8"/>
      <c r="F65" s="8"/>
    </row>
    <row r="66" spans="1:6" ht="15" customHeight="1" x14ac:dyDescent="0.25">
      <c r="A66" s="8"/>
      <c r="B66" s="8"/>
      <c r="C66" s="8"/>
      <c r="D66" s="8"/>
      <c r="E66" s="8"/>
      <c r="F66" s="8"/>
    </row>
    <row r="67" spans="1:6" ht="15" customHeight="1" x14ac:dyDescent="0.25">
      <c r="A67" s="8"/>
      <c r="B67" s="8"/>
      <c r="C67" s="8"/>
      <c r="D67" s="8"/>
      <c r="E67" s="8"/>
      <c r="F67" s="8"/>
    </row>
    <row r="68" spans="1:6" ht="15" customHeight="1" x14ac:dyDescent="0.25">
      <c r="A68" s="8"/>
      <c r="B68" s="8"/>
      <c r="C68" s="8"/>
      <c r="D68" s="8"/>
      <c r="E68" s="8"/>
      <c r="F68" s="8"/>
    </row>
    <row r="69" spans="1:6" ht="15" customHeight="1" x14ac:dyDescent="0.25">
      <c r="A69" s="8"/>
      <c r="B69" s="8"/>
      <c r="C69" s="8"/>
      <c r="D69" s="8"/>
      <c r="E69" s="8"/>
      <c r="F69" s="8"/>
    </row>
    <row r="70" spans="1:6" ht="15" customHeight="1" x14ac:dyDescent="0.25">
      <c r="A70" s="8"/>
      <c r="B70" s="8"/>
      <c r="C70" s="8"/>
      <c r="D70" s="8"/>
      <c r="E70" s="8"/>
      <c r="F70" s="8"/>
    </row>
    <row r="71" spans="1:6" ht="15" customHeight="1" x14ac:dyDescent="0.25">
      <c r="A71" s="8"/>
      <c r="B71" s="8"/>
      <c r="C71" s="8"/>
      <c r="D71" s="8"/>
      <c r="E71" s="8"/>
      <c r="F71" s="8"/>
    </row>
    <row r="72" spans="1:6" ht="15" customHeight="1" x14ac:dyDescent="0.25">
      <c r="A72" s="8"/>
      <c r="B72" s="8"/>
      <c r="C72" s="8"/>
      <c r="D72" s="8"/>
      <c r="E72" s="8"/>
      <c r="F72" s="8"/>
    </row>
    <row r="73" spans="1:6" ht="15" customHeight="1" x14ac:dyDescent="0.25">
      <c r="A73" s="8"/>
      <c r="B73" s="8"/>
      <c r="C73" s="8"/>
      <c r="D73" s="8"/>
      <c r="E73" s="8"/>
      <c r="F73" s="8"/>
    </row>
    <row r="74" spans="1:6" ht="15" customHeight="1" x14ac:dyDescent="0.25">
      <c r="A74" s="8"/>
      <c r="B74" s="8"/>
      <c r="C74" s="8"/>
      <c r="D74" s="8"/>
      <c r="E74" s="8"/>
      <c r="F74" s="8"/>
    </row>
    <row r="75" spans="1:6" ht="15" customHeight="1" x14ac:dyDescent="0.25">
      <c r="A75" s="8"/>
      <c r="B75" s="8"/>
      <c r="C75" s="8"/>
      <c r="D75" s="8"/>
      <c r="E75" s="8"/>
      <c r="F75" s="8"/>
    </row>
    <row r="76" spans="1:6" ht="15" customHeight="1" x14ac:dyDescent="0.25">
      <c r="A76" s="8"/>
      <c r="B76" s="8"/>
      <c r="C76" s="8"/>
      <c r="D76" s="8"/>
      <c r="E76" s="8"/>
      <c r="F76" s="8"/>
    </row>
    <row r="77" spans="1:6" ht="15" customHeight="1" x14ac:dyDescent="0.25">
      <c r="A77" s="8"/>
      <c r="B77" s="8"/>
      <c r="C77" s="8"/>
      <c r="D77" s="8"/>
      <c r="E77" s="8"/>
      <c r="F77" s="8"/>
    </row>
    <row r="78" spans="1:6" ht="15" customHeight="1" x14ac:dyDescent="0.25">
      <c r="A78" s="8"/>
      <c r="B78" s="8"/>
      <c r="C78" s="8"/>
      <c r="D78" s="8"/>
      <c r="E78" s="8"/>
      <c r="F78" s="8"/>
    </row>
    <row r="79" spans="1:6" ht="15" customHeight="1" x14ac:dyDescent="0.25">
      <c r="A79" s="8"/>
      <c r="B79" s="8"/>
      <c r="C79" s="8"/>
      <c r="D79" s="8"/>
      <c r="E79" s="8"/>
      <c r="F79" s="8"/>
    </row>
    <row r="80" spans="1:6" ht="15" customHeight="1" x14ac:dyDescent="0.25">
      <c r="A80" s="8"/>
      <c r="B80" s="8"/>
      <c r="C80" s="8"/>
      <c r="D80" s="8"/>
      <c r="E80" s="8"/>
      <c r="F80" s="8"/>
    </row>
    <row r="81" spans="1:6" ht="15" customHeight="1" x14ac:dyDescent="0.25">
      <c r="A81" s="8"/>
      <c r="B81" s="8"/>
      <c r="C81" s="8"/>
      <c r="D81" s="8"/>
      <c r="E81" s="8"/>
      <c r="F81" s="8"/>
    </row>
    <row r="82" spans="1:6" ht="15" customHeight="1" x14ac:dyDescent="0.25">
      <c r="A82" s="8"/>
      <c r="B82" s="8"/>
      <c r="C82" s="8"/>
      <c r="D82" s="8"/>
      <c r="E82" s="8"/>
      <c r="F82" s="8"/>
    </row>
    <row r="83" spans="1:6" ht="15" customHeight="1" x14ac:dyDescent="0.25">
      <c r="A83" s="8"/>
      <c r="B83" s="8"/>
      <c r="C83" s="8"/>
      <c r="D83" s="8"/>
      <c r="E83" s="8"/>
      <c r="F83" s="8"/>
    </row>
    <row r="84" spans="1:6" ht="15" customHeight="1" x14ac:dyDescent="0.25">
      <c r="A84" s="8"/>
      <c r="B84" s="8"/>
      <c r="C84" s="8"/>
      <c r="D84" s="8"/>
      <c r="E84" s="8"/>
      <c r="F84" s="8"/>
    </row>
    <row r="85" spans="1:6" ht="15" customHeight="1" x14ac:dyDescent="0.25">
      <c r="A85" s="8"/>
      <c r="B85" s="8"/>
      <c r="C85" s="8"/>
      <c r="D85" s="8"/>
      <c r="E85" s="8"/>
      <c r="F85" s="8"/>
    </row>
    <row r="86" spans="1:6" ht="15" customHeight="1" x14ac:dyDescent="0.25">
      <c r="A86" s="8"/>
      <c r="B86" s="8"/>
      <c r="C86" s="8"/>
      <c r="D86" s="8"/>
      <c r="E86" s="8"/>
      <c r="F86" s="8"/>
    </row>
    <row r="87" spans="1:6" ht="15" customHeight="1" x14ac:dyDescent="0.25">
      <c r="A87" s="8"/>
      <c r="B87" s="8"/>
      <c r="C87" s="8"/>
      <c r="D87" s="8"/>
      <c r="E87" s="8"/>
      <c r="F87" s="8"/>
    </row>
    <row r="88" spans="1:6" ht="15" customHeight="1" x14ac:dyDescent="0.25">
      <c r="A88" s="8"/>
      <c r="B88" s="8"/>
      <c r="C88" s="8"/>
      <c r="D88" s="8"/>
      <c r="E88" s="8"/>
      <c r="F88" s="8"/>
    </row>
    <row r="89" spans="1:6" ht="15" customHeight="1" x14ac:dyDescent="0.25">
      <c r="A89" s="8"/>
      <c r="B89" s="8"/>
      <c r="C89" s="8"/>
      <c r="D89" s="8"/>
      <c r="E89" s="8"/>
      <c r="F89" s="8"/>
    </row>
    <row r="90" spans="1:6" ht="15" customHeight="1" x14ac:dyDescent="0.25">
      <c r="A90" s="8"/>
      <c r="B90" s="8"/>
      <c r="C90" s="8"/>
      <c r="D90" s="8"/>
      <c r="E90" s="8"/>
      <c r="F90" s="8"/>
    </row>
    <row r="91" spans="1:6" ht="15" customHeight="1" x14ac:dyDescent="0.25">
      <c r="A91" s="8"/>
      <c r="B91" s="8"/>
      <c r="C91" s="8"/>
      <c r="D91" s="8"/>
      <c r="E91" s="8"/>
      <c r="F91" s="8"/>
    </row>
    <row r="92" spans="1:6" ht="15" customHeight="1" x14ac:dyDescent="0.25">
      <c r="A92" s="8"/>
      <c r="B92" s="8"/>
      <c r="C92" s="8"/>
      <c r="D92" s="8"/>
      <c r="E92" s="8"/>
      <c r="F92" s="8"/>
    </row>
    <row r="93" spans="1:6" ht="15" customHeight="1" x14ac:dyDescent="0.25">
      <c r="A93" s="8"/>
      <c r="B93" s="8"/>
      <c r="C93" s="8"/>
      <c r="D93" s="8"/>
      <c r="E93" s="8"/>
      <c r="F93" s="8"/>
    </row>
    <row r="94" spans="1:6" ht="15" customHeight="1" x14ac:dyDescent="0.25">
      <c r="A94" s="8"/>
      <c r="B94" s="8"/>
      <c r="C94" s="8"/>
      <c r="D94" s="8"/>
      <c r="E94" s="8"/>
      <c r="F94" s="8"/>
    </row>
    <row r="95" spans="1:6" ht="15" customHeight="1" x14ac:dyDescent="0.25">
      <c r="A95" s="8"/>
      <c r="B95" s="8"/>
      <c r="C95" s="8"/>
      <c r="D95" s="8"/>
      <c r="E95" s="8"/>
      <c r="F95" s="8"/>
    </row>
    <row r="96" spans="1:6" ht="15" customHeight="1" x14ac:dyDescent="0.25">
      <c r="A96" s="8"/>
      <c r="B96" s="8"/>
      <c r="C96" s="8"/>
      <c r="D96" s="8"/>
      <c r="E96" s="8"/>
      <c r="F96" s="8"/>
    </row>
    <row r="97" spans="1:6" ht="15" customHeight="1" x14ac:dyDescent="0.25">
      <c r="A97" s="8"/>
      <c r="B97" s="8"/>
      <c r="C97" s="8"/>
      <c r="D97" s="8"/>
      <c r="E97" s="8"/>
      <c r="F97" s="8"/>
    </row>
    <row r="98" spans="1:6" ht="15" customHeight="1" x14ac:dyDescent="0.25">
      <c r="A98" s="8"/>
      <c r="B98" s="8"/>
      <c r="C98" s="8"/>
      <c r="D98" s="8"/>
      <c r="E98" s="8"/>
      <c r="F98" s="8"/>
    </row>
    <row r="99" spans="1:6" ht="15" customHeight="1" x14ac:dyDescent="0.25">
      <c r="A99" s="8"/>
      <c r="B99" s="8"/>
      <c r="C99" s="8"/>
      <c r="D99" s="8"/>
      <c r="E99" s="8"/>
      <c r="F99" s="8"/>
    </row>
    <row r="100" spans="1:6" ht="15" customHeight="1" x14ac:dyDescent="0.25">
      <c r="A100" s="8"/>
      <c r="B100" s="8"/>
      <c r="C100" s="8"/>
      <c r="D100" s="8"/>
      <c r="E100" s="8"/>
      <c r="F100" s="8"/>
    </row>
    <row r="101" spans="1:6" ht="15" customHeight="1" x14ac:dyDescent="0.25">
      <c r="A101" s="8"/>
      <c r="B101" s="8"/>
      <c r="C101" s="8"/>
      <c r="D101" s="8"/>
      <c r="E101" s="8"/>
      <c r="F101" s="8"/>
    </row>
    <row r="102" spans="1:6" ht="15" customHeight="1" x14ac:dyDescent="0.25">
      <c r="A102" s="8"/>
      <c r="B102" s="8"/>
      <c r="C102" s="8"/>
      <c r="D102" s="8"/>
      <c r="E102" s="8"/>
      <c r="F102" s="8"/>
    </row>
    <row r="103" spans="1:6" ht="15" customHeight="1" x14ac:dyDescent="0.25">
      <c r="A103" s="8"/>
      <c r="B103" s="8"/>
      <c r="C103" s="8"/>
      <c r="D103" s="8"/>
      <c r="E103" s="8"/>
      <c r="F103" s="8"/>
    </row>
    <row r="104" spans="1:6" ht="15" customHeight="1" x14ac:dyDescent="0.25">
      <c r="A104" s="8"/>
      <c r="B104" s="8"/>
      <c r="C104" s="8"/>
      <c r="D104" s="8"/>
      <c r="E104" s="8"/>
      <c r="F104" s="8"/>
    </row>
    <row r="105" spans="1:6" ht="15" customHeight="1" x14ac:dyDescent="0.25">
      <c r="A105" s="8"/>
      <c r="B105" s="8"/>
      <c r="C105" s="8"/>
      <c r="D105" s="8"/>
      <c r="E105" s="8"/>
      <c r="F105" s="8"/>
    </row>
    <row r="106" spans="1:6" ht="15" customHeight="1" x14ac:dyDescent="0.25">
      <c r="A106" s="8"/>
      <c r="B106" s="8"/>
      <c r="C106" s="8"/>
      <c r="D106" s="8"/>
      <c r="E106" s="8"/>
      <c r="F106" s="8"/>
    </row>
    <row r="107" spans="1:6" ht="15" customHeight="1" x14ac:dyDescent="0.25">
      <c r="A107" s="8"/>
      <c r="B107" s="8"/>
      <c r="C107" s="8"/>
      <c r="D107" s="8"/>
      <c r="E107" s="8"/>
      <c r="F107" s="8"/>
    </row>
    <row r="108" spans="1:6" ht="15" customHeight="1" x14ac:dyDescent="0.25">
      <c r="A108" s="8"/>
      <c r="B108" s="8"/>
      <c r="C108" s="8"/>
      <c r="D108" s="8"/>
      <c r="E108" s="8"/>
      <c r="F108" s="8"/>
    </row>
    <row r="109" spans="1:6" ht="15" customHeight="1" x14ac:dyDescent="0.25">
      <c r="A109" s="8"/>
      <c r="B109" s="8"/>
      <c r="C109" s="8"/>
      <c r="D109" s="8"/>
      <c r="E109" s="8"/>
      <c r="F109" s="8"/>
    </row>
    <row r="110" spans="1:6" ht="15" customHeight="1" x14ac:dyDescent="0.25">
      <c r="A110" s="8"/>
      <c r="B110" s="8"/>
      <c r="C110" s="8"/>
      <c r="D110" s="8"/>
      <c r="E110" s="8"/>
      <c r="F110" s="8"/>
    </row>
    <row r="111" spans="1:6" ht="15" customHeight="1" x14ac:dyDescent="0.25">
      <c r="A111" s="8"/>
      <c r="B111" s="8"/>
      <c r="C111" s="8"/>
      <c r="D111" s="8"/>
      <c r="E111" s="8"/>
      <c r="F111" s="8"/>
    </row>
    <row r="112" spans="1:6" ht="15" customHeight="1" x14ac:dyDescent="0.25">
      <c r="A112" s="8"/>
      <c r="B112" s="8"/>
      <c r="C112" s="8"/>
      <c r="D112" s="8"/>
      <c r="E112" s="8"/>
      <c r="F112" s="8"/>
    </row>
    <row r="113" spans="1:6" ht="15" customHeight="1" x14ac:dyDescent="0.25">
      <c r="A113" s="8"/>
      <c r="B113" s="8"/>
      <c r="C113" s="8"/>
      <c r="D113" s="8"/>
      <c r="E113" s="8"/>
      <c r="F113" s="8"/>
    </row>
    <row r="114" spans="1:6" ht="15" customHeight="1" x14ac:dyDescent="0.25">
      <c r="A114" s="8"/>
      <c r="B114" s="8"/>
      <c r="C114" s="8"/>
      <c r="D114" s="8"/>
      <c r="E114" s="8"/>
      <c r="F114" s="8"/>
    </row>
    <row r="115" spans="1:6" ht="15" customHeight="1" x14ac:dyDescent="0.25">
      <c r="A115" s="8"/>
      <c r="B115" s="8"/>
      <c r="C115" s="8"/>
      <c r="D115" s="8"/>
      <c r="E115" s="8"/>
      <c r="F115" s="8"/>
    </row>
    <row r="116" spans="1:6" ht="15" customHeight="1" x14ac:dyDescent="0.25">
      <c r="A116" s="8"/>
      <c r="B116" s="8"/>
      <c r="C116" s="8"/>
      <c r="D116" s="8"/>
      <c r="E116" s="8"/>
      <c r="F116" s="8"/>
    </row>
    <row r="117" spans="1:6" ht="15" customHeight="1" x14ac:dyDescent="0.25">
      <c r="A117" s="8"/>
      <c r="B117" s="8"/>
      <c r="C117" s="8"/>
      <c r="D117" s="8"/>
      <c r="E117" s="8"/>
      <c r="F117" s="8"/>
    </row>
    <row r="118" spans="1:6" ht="15" customHeight="1" x14ac:dyDescent="0.25">
      <c r="A118" s="8"/>
      <c r="B118" s="8"/>
      <c r="C118" s="8"/>
      <c r="D118" s="8"/>
      <c r="E118" s="8"/>
      <c r="F118" s="8"/>
    </row>
    <row r="119" spans="1:6" ht="15" customHeight="1" x14ac:dyDescent="0.25">
      <c r="A119" s="8"/>
      <c r="B119" s="8"/>
      <c r="C119" s="8"/>
      <c r="D119" s="8"/>
      <c r="E119" s="8"/>
      <c r="F119" s="8"/>
    </row>
    <row r="120" spans="1:6" ht="15" customHeight="1" x14ac:dyDescent="0.25">
      <c r="A120" s="8"/>
      <c r="B120" s="8"/>
      <c r="C120" s="8"/>
      <c r="D120" s="8"/>
      <c r="E120" s="8"/>
      <c r="F120" s="8"/>
    </row>
    <row r="121" spans="1:6" ht="15" customHeight="1" x14ac:dyDescent="0.25">
      <c r="A121" s="8"/>
      <c r="B121" s="8"/>
      <c r="C121" s="8"/>
      <c r="D121" s="8"/>
      <c r="E121" s="8"/>
      <c r="F121" s="8"/>
    </row>
    <row r="122" spans="1:6" ht="15" customHeight="1" x14ac:dyDescent="0.25">
      <c r="A122" s="8"/>
      <c r="B122" s="8"/>
      <c r="C122" s="8"/>
      <c r="D122" s="8"/>
      <c r="E122" s="8"/>
      <c r="F122" s="8"/>
    </row>
    <row r="123" spans="1:6" ht="15" customHeight="1" x14ac:dyDescent="0.25">
      <c r="A123" s="8"/>
      <c r="B123" s="8"/>
      <c r="C123" s="8"/>
      <c r="D123" s="8"/>
      <c r="E123" s="8"/>
      <c r="F123" s="8"/>
    </row>
    <row r="124" spans="1:6" ht="15" customHeight="1" x14ac:dyDescent="0.25">
      <c r="A124" s="8"/>
      <c r="B124" s="8"/>
      <c r="C124" s="8"/>
      <c r="D124" s="8"/>
      <c r="E124" s="8"/>
      <c r="F124" s="8"/>
    </row>
    <row r="125" spans="1:6" ht="15" customHeight="1" x14ac:dyDescent="0.25">
      <c r="A125" s="8"/>
      <c r="B125" s="8"/>
      <c r="C125" s="8"/>
      <c r="D125" s="8"/>
      <c r="E125" s="8"/>
      <c r="F125" s="8"/>
    </row>
    <row r="126" spans="1:6" ht="15" customHeight="1" x14ac:dyDescent="0.25">
      <c r="A126" s="8"/>
      <c r="B126" s="8"/>
      <c r="C126" s="8"/>
      <c r="D126" s="8"/>
      <c r="E126" s="8"/>
      <c r="F126" s="8"/>
    </row>
    <row r="127" spans="1:6" ht="15" customHeight="1" x14ac:dyDescent="0.25">
      <c r="A127" s="8"/>
      <c r="B127" s="8"/>
      <c r="C127" s="8"/>
      <c r="D127" s="8"/>
      <c r="E127" s="8"/>
      <c r="F127" s="8"/>
    </row>
    <row r="128" spans="1:6" ht="15" customHeight="1" x14ac:dyDescent="0.25">
      <c r="A128" s="8"/>
      <c r="B128" s="8"/>
      <c r="C128" s="8"/>
      <c r="D128" s="8"/>
      <c r="E128" s="8"/>
      <c r="F128" s="8"/>
    </row>
    <row r="129" spans="1:6" ht="15" customHeight="1" x14ac:dyDescent="0.25">
      <c r="A129" s="8"/>
      <c r="B129" s="8"/>
      <c r="C129" s="8"/>
      <c r="D129" s="8"/>
      <c r="E129" s="8"/>
      <c r="F129" s="8"/>
    </row>
    <row r="130" spans="1:6" ht="15" customHeight="1" x14ac:dyDescent="0.25">
      <c r="A130" s="8"/>
      <c r="B130" s="8"/>
      <c r="C130" s="8"/>
      <c r="D130" s="8"/>
      <c r="E130" s="8"/>
      <c r="F130" s="8"/>
    </row>
    <row r="131" spans="1:6" ht="15" customHeight="1" x14ac:dyDescent="0.25">
      <c r="A131" s="8"/>
      <c r="B131" s="8"/>
      <c r="C131" s="8"/>
      <c r="D131" s="8"/>
      <c r="E131" s="8"/>
      <c r="F131" s="8"/>
    </row>
    <row r="132" spans="1:6" ht="15" customHeight="1" x14ac:dyDescent="0.25">
      <c r="A132" s="8"/>
      <c r="B132" s="8"/>
      <c r="C132" s="8"/>
      <c r="D132" s="8"/>
      <c r="E132" s="8"/>
      <c r="F132" s="8"/>
    </row>
    <row r="133" spans="1:6" ht="15" customHeight="1" x14ac:dyDescent="0.25">
      <c r="A133" s="8"/>
      <c r="B133" s="8"/>
      <c r="C133" s="8"/>
      <c r="D133" s="8"/>
      <c r="E133" s="8"/>
      <c r="F133" s="8"/>
    </row>
    <row r="134" spans="1:6" ht="15" customHeight="1" x14ac:dyDescent="0.25">
      <c r="A134" s="8"/>
      <c r="B134" s="8"/>
      <c r="C134" s="8"/>
      <c r="D134" s="8"/>
      <c r="E134" s="8"/>
      <c r="F134" s="8"/>
    </row>
    <row r="135" spans="1:6" ht="15" customHeight="1" x14ac:dyDescent="0.25">
      <c r="A135" s="8"/>
      <c r="B135" s="8"/>
      <c r="C135" s="8"/>
      <c r="D135" s="8"/>
      <c r="E135" s="8"/>
      <c r="F135" s="8"/>
    </row>
    <row r="136" spans="1:6" ht="15" customHeight="1" x14ac:dyDescent="0.25">
      <c r="A136" s="8"/>
      <c r="B136" s="8"/>
      <c r="C136" s="8"/>
      <c r="D136" s="8"/>
      <c r="E136" s="8"/>
      <c r="F136" s="8"/>
    </row>
    <row r="137" spans="1:6" ht="15" customHeight="1" x14ac:dyDescent="0.25">
      <c r="A137" s="8"/>
      <c r="B137" s="8"/>
      <c r="C137" s="8"/>
      <c r="D137" s="8"/>
      <c r="E137" s="8"/>
      <c r="F137" s="8"/>
    </row>
    <row r="138" spans="1:6" ht="15" customHeight="1" x14ac:dyDescent="0.25">
      <c r="A138" s="8"/>
      <c r="B138" s="8"/>
      <c r="C138" s="8"/>
      <c r="D138" s="8"/>
      <c r="E138" s="8"/>
      <c r="F138" s="8"/>
    </row>
    <row r="139" spans="1:6" ht="15" customHeight="1" x14ac:dyDescent="0.25">
      <c r="A139" s="8"/>
      <c r="B139" s="8"/>
      <c r="C139" s="8"/>
      <c r="D139" s="8"/>
      <c r="E139" s="8"/>
      <c r="F139" s="8"/>
    </row>
    <row r="140" spans="1:6" ht="15" customHeight="1" x14ac:dyDescent="0.25">
      <c r="A140" s="8"/>
      <c r="B140" s="8"/>
      <c r="C140" s="8"/>
      <c r="D140" s="8"/>
      <c r="E140" s="8"/>
      <c r="F140" s="8"/>
    </row>
    <row r="141" spans="1:6" ht="15" customHeight="1" x14ac:dyDescent="0.25">
      <c r="A141" s="8"/>
      <c r="B141" s="8"/>
      <c r="C141" s="8"/>
      <c r="D141" s="8"/>
      <c r="E141" s="8"/>
      <c r="F141" s="8"/>
    </row>
    <row r="142" spans="1:6" ht="15" customHeight="1" x14ac:dyDescent="0.25">
      <c r="A142" s="8"/>
      <c r="B142" s="8"/>
      <c r="C142" s="8"/>
      <c r="D142" s="8"/>
      <c r="E142" s="8"/>
      <c r="F142" s="8"/>
    </row>
    <row r="143" spans="1:6" ht="15" customHeight="1" x14ac:dyDescent="0.25">
      <c r="A143" s="8"/>
      <c r="B143" s="8"/>
      <c r="C143" s="8"/>
      <c r="D143" s="8"/>
      <c r="E143" s="8"/>
      <c r="F143" s="8"/>
    </row>
    <row r="144" spans="1:6" ht="15" customHeight="1" x14ac:dyDescent="0.25">
      <c r="A144" s="8"/>
      <c r="B144" s="8"/>
      <c r="C144" s="8"/>
      <c r="D144" s="8"/>
      <c r="E144" s="8"/>
      <c r="F144" s="8"/>
    </row>
    <row r="145" spans="1:6" ht="15" customHeight="1" x14ac:dyDescent="0.25">
      <c r="A145" s="8"/>
      <c r="B145" s="8"/>
      <c r="C145" s="8"/>
      <c r="D145" s="8"/>
      <c r="E145" s="8"/>
      <c r="F145" s="8"/>
    </row>
    <row r="146" spans="1:6" ht="15" customHeight="1" x14ac:dyDescent="0.25">
      <c r="A146" s="8"/>
      <c r="B146" s="8"/>
      <c r="C146" s="8"/>
      <c r="D146" s="8"/>
      <c r="E146" s="8"/>
      <c r="F146" s="8"/>
    </row>
    <row r="147" spans="1:6" ht="15" customHeight="1" x14ac:dyDescent="0.25">
      <c r="A147" s="8"/>
      <c r="B147" s="8"/>
      <c r="C147" s="8"/>
      <c r="D147" s="8"/>
      <c r="E147" s="8"/>
      <c r="F147" s="8"/>
    </row>
    <row r="148" spans="1:6" ht="15" customHeight="1" x14ac:dyDescent="0.25">
      <c r="A148" s="8"/>
      <c r="B148" s="8"/>
      <c r="C148" s="8"/>
      <c r="D148" s="8"/>
      <c r="E148" s="8"/>
      <c r="F148" s="8"/>
    </row>
    <row r="149" spans="1:6" ht="15" customHeight="1" x14ac:dyDescent="0.25">
      <c r="A149" s="8"/>
      <c r="B149" s="8"/>
      <c r="C149" s="8"/>
      <c r="D149" s="8"/>
      <c r="E149" s="8"/>
      <c r="F149" s="8"/>
    </row>
    <row r="150" spans="1:6" ht="15" customHeight="1" x14ac:dyDescent="0.25">
      <c r="A150" s="8"/>
      <c r="B150" s="8"/>
      <c r="C150" s="8"/>
      <c r="D150" s="8"/>
      <c r="E150" s="8"/>
      <c r="F150" s="8"/>
    </row>
    <row r="151" spans="1:6" ht="15" customHeight="1" x14ac:dyDescent="0.25">
      <c r="A151" s="8"/>
      <c r="B151" s="8"/>
      <c r="C151" s="8"/>
      <c r="D151" s="8"/>
      <c r="E151" s="8"/>
      <c r="F151" s="8"/>
    </row>
    <row r="152" spans="1:6" ht="15" customHeight="1" x14ac:dyDescent="0.25">
      <c r="A152" s="8"/>
      <c r="B152" s="8"/>
      <c r="C152" s="8"/>
      <c r="D152" s="8"/>
      <c r="E152" s="8"/>
      <c r="F152" s="8"/>
    </row>
    <row r="153" spans="1:6" ht="15" customHeight="1" x14ac:dyDescent="0.25">
      <c r="A153" s="8"/>
      <c r="B153" s="8"/>
      <c r="C153" s="8"/>
      <c r="D153" s="8"/>
      <c r="E153" s="8"/>
      <c r="F153" s="8"/>
    </row>
    <row r="154" spans="1:6" ht="15" customHeight="1" x14ac:dyDescent="0.25">
      <c r="A154" s="8"/>
      <c r="B154" s="8"/>
      <c r="C154" s="8"/>
      <c r="D154" s="8"/>
      <c r="E154" s="8"/>
      <c r="F154" s="8"/>
    </row>
    <row r="155" spans="1:6" ht="15" customHeight="1" x14ac:dyDescent="0.25">
      <c r="A155" s="8"/>
      <c r="B155" s="8"/>
      <c r="C155" s="8"/>
      <c r="D155" s="8"/>
      <c r="E155" s="8"/>
      <c r="F155" s="8"/>
    </row>
    <row r="156" spans="1:6" ht="15" customHeight="1" x14ac:dyDescent="0.25">
      <c r="A156" s="8"/>
      <c r="B156" s="8"/>
      <c r="C156" s="8"/>
      <c r="D156" s="8"/>
      <c r="E156" s="8"/>
      <c r="F156" s="8"/>
    </row>
    <row r="157" spans="1:6" ht="15" customHeight="1" x14ac:dyDescent="0.25">
      <c r="A157" s="8"/>
      <c r="B157" s="8"/>
      <c r="C157" s="8"/>
      <c r="D157" s="8"/>
      <c r="E157" s="8"/>
      <c r="F157" s="8"/>
    </row>
    <row r="158" spans="1:6" ht="15" customHeight="1" x14ac:dyDescent="0.25">
      <c r="A158" s="8"/>
      <c r="B158" s="8"/>
      <c r="C158" s="8"/>
      <c r="D158" s="8"/>
      <c r="E158" s="8"/>
      <c r="F158" s="8"/>
    </row>
    <row r="159" spans="1:6" ht="15" customHeight="1" x14ac:dyDescent="0.25">
      <c r="A159" s="8"/>
      <c r="B159" s="8"/>
      <c r="C159" s="8"/>
      <c r="D159" s="8"/>
      <c r="E159" s="8"/>
      <c r="F159" s="8"/>
    </row>
    <row r="160" spans="1:6" ht="15" customHeight="1" x14ac:dyDescent="0.25">
      <c r="A160" s="8"/>
      <c r="B160" s="8"/>
      <c r="C160" s="8"/>
      <c r="D160" s="8"/>
      <c r="E160" s="8"/>
      <c r="F160" s="8"/>
    </row>
    <row r="161" spans="1:6" ht="15" customHeight="1" x14ac:dyDescent="0.25">
      <c r="A161" s="8"/>
      <c r="B161" s="8"/>
      <c r="C161" s="8"/>
      <c r="D161" s="8"/>
      <c r="E161" s="8"/>
      <c r="F161" s="8"/>
    </row>
    <row r="162" spans="1:6" ht="15" customHeight="1" x14ac:dyDescent="0.25">
      <c r="A162" s="8"/>
      <c r="B162" s="8"/>
      <c r="C162" s="8"/>
      <c r="D162" s="8"/>
      <c r="E162" s="8"/>
      <c r="F162" s="8"/>
    </row>
    <row r="163" spans="1:6" ht="15" customHeight="1" x14ac:dyDescent="0.25">
      <c r="A163" s="8"/>
      <c r="B163" s="8"/>
      <c r="C163" s="8"/>
      <c r="D163" s="8"/>
      <c r="E163" s="8"/>
      <c r="F163" s="8"/>
    </row>
    <row r="164" spans="1:6" ht="15" customHeight="1" x14ac:dyDescent="0.25">
      <c r="A164" s="8"/>
      <c r="B164" s="8"/>
      <c r="C164" s="8"/>
      <c r="D164" s="8"/>
      <c r="E164" s="8"/>
      <c r="F164" s="8"/>
    </row>
    <row r="165" spans="1:6" ht="15" customHeight="1" x14ac:dyDescent="0.25">
      <c r="A165" s="8"/>
      <c r="B165" s="8"/>
      <c r="C165" s="8"/>
      <c r="D165" s="8"/>
      <c r="E165" s="8"/>
      <c r="F165" s="8"/>
    </row>
    <row r="166" spans="1:6" ht="15" customHeight="1" x14ac:dyDescent="0.25">
      <c r="A166" s="8"/>
      <c r="B166" s="8"/>
      <c r="C166" s="8"/>
      <c r="D166" s="8"/>
      <c r="E166" s="8"/>
      <c r="F166" s="8"/>
    </row>
    <row r="167" spans="1:6" ht="15" customHeight="1" x14ac:dyDescent="0.25">
      <c r="A167" s="8"/>
      <c r="B167" s="8"/>
      <c r="C167" s="8"/>
      <c r="D167" s="8"/>
      <c r="E167" s="8"/>
      <c r="F167" s="8"/>
    </row>
    <row r="168" spans="1:6" ht="15" customHeight="1" x14ac:dyDescent="0.25">
      <c r="A168" s="8"/>
      <c r="B168" s="8"/>
      <c r="C168" s="8"/>
      <c r="D168" s="8"/>
      <c r="E168" s="8"/>
      <c r="F168" s="8"/>
    </row>
    <row r="169" spans="1:6" ht="15" customHeight="1" x14ac:dyDescent="0.25">
      <c r="A169" s="8"/>
      <c r="B169" s="8"/>
      <c r="C169" s="8"/>
      <c r="D169" s="8"/>
      <c r="E169" s="8"/>
      <c r="F169" s="8"/>
    </row>
    <row r="170" spans="1:6" ht="15" customHeight="1" x14ac:dyDescent="0.25">
      <c r="A170" s="8"/>
      <c r="B170" s="8"/>
      <c r="C170" s="8"/>
      <c r="D170" s="8"/>
      <c r="E170" s="8"/>
      <c r="F170" s="8"/>
    </row>
    <row r="171" spans="1:6" ht="15" customHeight="1" x14ac:dyDescent="0.25">
      <c r="A171" s="8"/>
      <c r="B171" s="8"/>
      <c r="C171" s="8"/>
      <c r="D171" s="8"/>
      <c r="E171" s="8"/>
      <c r="F171" s="8"/>
    </row>
    <row r="172" spans="1:6" ht="15" customHeight="1" x14ac:dyDescent="0.25">
      <c r="A172" s="8"/>
      <c r="B172" s="8"/>
      <c r="C172" s="8"/>
      <c r="D172" s="8"/>
      <c r="E172" s="8"/>
      <c r="F172" s="8"/>
    </row>
    <row r="173" spans="1:6" ht="15" customHeight="1" x14ac:dyDescent="0.25">
      <c r="A173" s="8"/>
      <c r="B173" s="8"/>
      <c r="C173" s="8"/>
      <c r="D173" s="8"/>
      <c r="E173" s="8"/>
      <c r="F173" s="8"/>
    </row>
    <row r="174" spans="1:6" ht="15" customHeight="1" x14ac:dyDescent="0.25">
      <c r="A174" s="8"/>
      <c r="B174" s="8"/>
      <c r="C174" s="8"/>
      <c r="D174" s="8"/>
      <c r="E174" s="8"/>
      <c r="F174" s="8"/>
    </row>
    <row r="175" spans="1:6" ht="15" customHeight="1" x14ac:dyDescent="0.25">
      <c r="A175" s="8"/>
      <c r="B175" s="8"/>
      <c r="C175" s="8"/>
      <c r="D175" s="8"/>
      <c r="E175" s="8"/>
      <c r="F175" s="8"/>
    </row>
    <row r="176" spans="1:6" ht="15" customHeight="1" x14ac:dyDescent="0.25">
      <c r="A176" s="8"/>
      <c r="B176" s="8"/>
      <c r="C176" s="8"/>
      <c r="D176" s="8"/>
      <c r="E176" s="8"/>
      <c r="F176" s="8"/>
    </row>
    <row r="177" spans="1:6" ht="15" customHeight="1" x14ac:dyDescent="0.25">
      <c r="A177" s="8"/>
      <c r="B177" s="8"/>
      <c r="C177" s="8"/>
      <c r="D177" s="8"/>
      <c r="E177" s="8"/>
      <c r="F177" s="8"/>
    </row>
    <row r="178" spans="1:6" ht="15" customHeight="1" x14ac:dyDescent="0.25">
      <c r="A178" s="8"/>
      <c r="B178" s="8"/>
      <c r="C178" s="8"/>
      <c r="D178" s="8"/>
      <c r="E178" s="8"/>
      <c r="F178" s="8"/>
    </row>
    <row r="179" spans="1:6" ht="15" customHeight="1" x14ac:dyDescent="0.25">
      <c r="A179" s="8"/>
      <c r="B179" s="8"/>
      <c r="C179" s="8"/>
      <c r="D179" s="8"/>
      <c r="E179" s="8"/>
      <c r="F179" s="8"/>
    </row>
    <row r="180" spans="1:6" ht="15" customHeight="1" x14ac:dyDescent="0.25">
      <c r="A180" s="8"/>
      <c r="B180" s="8"/>
      <c r="C180" s="8"/>
      <c r="D180" s="8"/>
      <c r="E180" s="8"/>
      <c r="F180" s="8"/>
    </row>
    <row r="181" spans="1:6" ht="15" customHeight="1" x14ac:dyDescent="0.25">
      <c r="A181" s="8"/>
      <c r="B181" s="8"/>
      <c r="C181" s="8"/>
      <c r="D181" s="8"/>
      <c r="E181" s="8"/>
      <c r="F181" s="8"/>
    </row>
    <row r="182" spans="1:6" ht="15" customHeight="1" x14ac:dyDescent="0.25">
      <c r="A182" s="8"/>
      <c r="B182" s="8"/>
      <c r="C182" s="8"/>
      <c r="D182" s="8"/>
      <c r="E182" s="8"/>
      <c r="F182" s="8"/>
    </row>
    <row r="183" spans="1:6" ht="15" customHeight="1" x14ac:dyDescent="0.25">
      <c r="A183" s="8"/>
      <c r="B183" s="8"/>
      <c r="C183" s="8"/>
      <c r="D183" s="8"/>
      <c r="E183" s="8"/>
      <c r="F183" s="8"/>
    </row>
    <row r="184" spans="1:6" ht="15" customHeight="1" x14ac:dyDescent="0.25">
      <c r="A184" s="8"/>
      <c r="B184" s="8"/>
      <c r="C184" s="8"/>
      <c r="D184" s="8"/>
      <c r="E184" s="8"/>
      <c r="F184" s="8"/>
    </row>
    <row r="185" spans="1:6" ht="15" customHeight="1" x14ac:dyDescent="0.25">
      <c r="A185" s="8"/>
      <c r="B185" s="8"/>
      <c r="C185" s="8"/>
      <c r="D185" s="8"/>
      <c r="E185" s="8"/>
      <c r="F185" s="8"/>
    </row>
    <row r="186" spans="1:6" ht="15" customHeight="1" x14ac:dyDescent="0.25">
      <c r="A186" s="8"/>
      <c r="B186" s="8"/>
      <c r="C186" s="8"/>
      <c r="D186" s="8"/>
      <c r="E186" s="8"/>
      <c r="F186" s="8"/>
    </row>
    <row r="187" spans="1:6" ht="15" customHeight="1" x14ac:dyDescent="0.25">
      <c r="A187" s="8"/>
      <c r="B187" s="8"/>
      <c r="C187" s="8"/>
      <c r="D187" s="8"/>
      <c r="E187" s="8"/>
      <c r="F187" s="8"/>
    </row>
    <row r="188" spans="1:6" ht="15" customHeight="1" x14ac:dyDescent="0.25">
      <c r="A188" s="8"/>
      <c r="B188" s="8"/>
      <c r="C188" s="8"/>
      <c r="D188" s="8"/>
      <c r="E188" s="8"/>
      <c r="F188" s="8"/>
    </row>
    <row r="189" spans="1:6" ht="15" customHeight="1" x14ac:dyDescent="0.25">
      <c r="A189" s="8"/>
      <c r="B189" s="8"/>
      <c r="C189" s="8"/>
      <c r="D189" s="8"/>
      <c r="E189" s="8"/>
      <c r="F189" s="8"/>
    </row>
    <row r="190" spans="1:6" ht="15" customHeight="1" x14ac:dyDescent="0.25">
      <c r="A190" s="8"/>
      <c r="B190" s="8"/>
      <c r="C190" s="8"/>
      <c r="D190" s="8"/>
      <c r="E190" s="8"/>
      <c r="F190" s="8"/>
    </row>
    <row r="191" spans="1:6" ht="15" customHeight="1" x14ac:dyDescent="0.25">
      <c r="A191" s="8"/>
      <c r="B191" s="8"/>
      <c r="C191" s="8"/>
      <c r="D191" s="8"/>
      <c r="E191" s="8"/>
      <c r="F191" s="8"/>
    </row>
    <row r="192" spans="1:6" ht="15" customHeight="1" x14ac:dyDescent="0.25">
      <c r="A192" s="8"/>
      <c r="B192" s="8"/>
      <c r="C192" s="8"/>
      <c r="D192" s="8"/>
      <c r="E192" s="8"/>
      <c r="F192" s="8"/>
    </row>
    <row r="193" spans="1:6" ht="15" customHeight="1" x14ac:dyDescent="0.25">
      <c r="A193" s="8"/>
      <c r="B193" s="8"/>
      <c r="C193" s="8"/>
      <c r="D193" s="8"/>
      <c r="E193" s="8"/>
      <c r="F193" s="8"/>
    </row>
    <row r="194" spans="1:6" ht="15" customHeight="1" x14ac:dyDescent="0.25">
      <c r="A194" s="8"/>
      <c r="B194" s="8"/>
      <c r="C194" s="8"/>
      <c r="D194" s="8"/>
      <c r="E194" s="8"/>
      <c r="F194" s="8"/>
    </row>
    <row r="195" spans="1:6" ht="15" customHeight="1" x14ac:dyDescent="0.25">
      <c r="A195" s="8"/>
      <c r="B195" s="8"/>
      <c r="C195" s="8"/>
      <c r="D195" s="8"/>
      <c r="E195" s="8"/>
      <c r="F195" s="8"/>
    </row>
    <row r="196" spans="1:6" ht="15" customHeight="1" x14ac:dyDescent="0.25">
      <c r="A196" s="8"/>
      <c r="B196" s="8"/>
      <c r="C196" s="8"/>
      <c r="D196" s="8"/>
      <c r="E196" s="8"/>
      <c r="F196" s="8"/>
    </row>
    <row r="197" spans="1:6" ht="15" customHeight="1" x14ac:dyDescent="0.25">
      <c r="A197" s="8"/>
      <c r="B197" s="8"/>
      <c r="C197" s="8"/>
      <c r="D197" s="8"/>
      <c r="E197" s="8"/>
      <c r="F197" s="8"/>
    </row>
    <row r="198" spans="1:6" ht="15" customHeight="1" x14ac:dyDescent="0.25">
      <c r="A198" s="8"/>
      <c r="B198" s="8"/>
      <c r="C198" s="8"/>
      <c r="D198" s="8"/>
      <c r="E198" s="8"/>
      <c r="F198" s="8"/>
    </row>
    <row r="199" spans="1:6" ht="15" customHeight="1" x14ac:dyDescent="0.25">
      <c r="A199" s="8"/>
      <c r="B199" s="8"/>
      <c r="C199" s="8"/>
      <c r="D199" s="8"/>
      <c r="E199" s="8"/>
      <c r="F199" s="8"/>
    </row>
    <row r="200" spans="1:6" ht="15" customHeight="1" x14ac:dyDescent="0.25">
      <c r="A200" s="8"/>
      <c r="B200" s="8"/>
      <c r="C200" s="8"/>
      <c r="D200" s="8"/>
      <c r="E200" s="8"/>
      <c r="F200" s="8"/>
    </row>
    <row r="201" spans="1:6" x14ac:dyDescent="0.25">
      <c r="A201" s="8"/>
      <c r="B201" s="8"/>
      <c r="C201" s="8"/>
      <c r="D201" s="8"/>
      <c r="E201" s="8"/>
      <c r="F201" s="8"/>
    </row>
    <row r="202" spans="1:6" x14ac:dyDescent="0.25">
      <c r="A202" s="8"/>
      <c r="B202" s="8"/>
      <c r="C202" s="8"/>
      <c r="D202" s="8"/>
      <c r="E202" s="8"/>
      <c r="F202" s="8"/>
    </row>
    <row r="203" spans="1:6" x14ac:dyDescent="0.25">
      <c r="A203" s="8"/>
      <c r="B203" s="8"/>
      <c r="C203" s="8"/>
      <c r="D203" s="8"/>
      <c r="E203" s="8"/>
      <c r="F203" s="8"/>
    </row>
    <row r="204" spans="1:6" x14ac:dyDescent="0.25">
      <c r="A204" s="8"/>
      <c r="B204" s="8"/>
      <c r="C204" s="8"/>
      <c r="D204" s="8"/>
      <c r="E204" s="8"/>
      <c r="F204" s="8"/>
    </row>
    <row r="205" spans="1:6" x14ac:dyDescent="0.25">
      <c r="A205" s="8"/>
      <c r="B205" s="8"/>
      <c r="C205" s="8"/>
      <c r="D205" s="8"/>
      <c r="E205" s="8"/>
      <c r="F205" s="8"/>
    </row>
    <row r="206" spans="1:6" x14ac:dyDescent="0.25">
      <c r="A206" s="8"/>
      <c r="B206" s="8"/>
      <c r="C206" s="8"/>
      <c r="D206" s="8"/>
      <c r="E206" s="8"/>
      <c r="F206" s="8"/>
    </row>
    <row r="207" spans="1:6" x14ac:dyDescent="0.25">
      <c r="A207" s="8"/>
      <c r="B207" s="8"/>
      <c r="C207" s="8"/>
      <c r="D207" s="8"/>
      <c r="E207" s="8"/>
      <c r="F207" s="8"/>
    </row>
    <row r="208" spans="1:6" x14ac:dyDescent="0.25">
      <c r="A208" s="8"/>
      <c r="B208" s="8"/>
      <c r="C208" s="8"/>
      <c r="D208" s="8"/>
      <c r="E208" s="8"/>
      <c r="F208" s="8"/>
    </row>
    <row r="209" spans="1:6" x14ac:dyDescent="0.25">
      <c r="A209" s="8"/>
      <c r="B209" s="8"/>
      <c r="C209" s="8"/>
      <c r="D209" s="8"/>
      <c r="E209" s="8"/>
      <c r="F209" s="8"/>
    </row>
    <row r="210" spans="1:6" x14ac:dyDescent="0.25">
      <c r="A210" s="8"/>
      <c r="B210" s="8"/>
      <c r="C210" s="8"/>
      <c r="D210" s="8"/>
      <c r="E210" s="8"/>
      <c r="F210" s="8"/>
    </row>
    <row r="211" spans="1:6" x14ac:dyDescent="0.25">
      <c r="A211" s="8"/>
      <c r="B211" s="8"/>
      <c r="C211" s="8"/>
      <c r="D211" s="8"/>
      <c r="E211" s="8"/>
      <c r="F211" s="8"/>
    </row>
    <row r="212" spans="1:6" x14ac:dyDescent="0.25">
      <c r="A212" s="8"/>
      <c r="B212" s="8"/>
      <c r="C212" s="8"/>
      <c r="D212" s="8"/>
      <c r="E212" s="8"/>
      <c r="F212" s="8"/>
    </row>
    <row r="213" spans="1:6" x14ac:dyDescent="0.25">
      <c r="A213" s="8"/>
      <c r="B213" s="8"/>
      <c r="C213" s="8"/>
      <c r="D213" s="8"/>
      <c r="E213" s="8"/>
      <c r="F213" s="8"/>
    </row>
    <row r="214" spans="1:6" x14ac:dyDescent="0.25">
      <c r="A214" s="8"/>
      <c r="B214" s="8"/>
      <c r="C214" s="8"/>
      <c r="D214" s="8"/>
      <c r="E214" s="8"/>
      <c r="F214" s="8"/>
    </row>
    <row r="215" spans="1:6" x14ac:dyDescent="0.25">
      <c r="A215" s="8"/>
      <c r="B215" s="8"/>
      <c r="C215" s="8"/>
      <c r="D215" s="8"/>
      <c r="E215" s="8"/>
      <c r="F215" s="8"/>
    </row>
    <row r="216" spans="1:6" x14ac:dyDescent="0.25">
      <c r="A216" s="8"/>
      <c r="B216" s="8"/>
      <c r="C216" s="8"/>
      <c r="D216" s="8"/>
      <c r="E216" s="8"/>
      <c r="F216" s="8"/>
    </row>
    <row r="217" spans="1:6" x14ac:dyDescent="0.25">
      <c r="A217" s="8"/>
      <c r="B217" s="8"/>
      <c r="C217" s="8"/>
      <c r="D217" s="8"/>
      <c r="E217" s="8"/>
      <c r="F217" s="8"/>
    </row>
    <row r="218" spans="1:6" x14ac:dyDescent="0.25">
      <c r="A218" s="8"/>
      <c r="B218" s="8"/>
      <c r="C218" s="8"/>
      <c r="D218" s="8"/>
      <c r="E218" s="8"/>
      <c r="F218" s="8"/>
    </row>
    <row r="219" spans="1:6" x14ac:dyDescent="0.25">
      <c r="A219" s="8"/>
      <c r="B219" s="8"/>
      <c r="C219" s="8"/>
      <c r="D219" s="8"/>
      <c r="E219" s="8"/>
      <c r="F219" s="8"/>
    </row>
    <row r="220" spans="1:6" x14ac:dyDescent="0.25">
      <c r="A220" s="8"/>
      <c r="B220" s="8"/>
      <c r="C220" s="8"/>
      <c r="D220" s="8"/>
      <c r="E220" s="8"/>
      <c r="F220" s="8"/>
    </row>
    <row r="221" spans="1:6" x14ac:dyDescent="0.25">
      <c r="A221" s="8"/>
      <c r="B221" s="8"/>
      <c r="C221" s="8"/>
      <c r="D221" s="8"/>
      <c r="E221" s="8"/>
      <c r="F221" s="8"/>
    </row>
    <row r="222" spans="1:6" x14ac:dyDescent="0.25">
      <c r="A222" s="8"/>
      <c r="B222" s="8"/>
      <c r="C222" s="8"/>
      <c r="D222" s="8"/>
      <c r="E222" s="8"/>
      <c r="F222" s="8"/>
    </row>
    <row r="223" spans="1:6" x14ac:dyDescent="0.25">
      <c r="A223" s="8"/>
      <c r="B223" s="8"/>
      <c r="C223" s="8"/>
      <c r="D223" s="8"/>
      <c r="E223" s="8"/>
      <c r="F223" s="8"/>
    </row>
    <row r="224" spans="1:6" x14ac:dyDescent="0.25">
      <c r="A224" s="8"/>
      <c r="B224" s="8"/>
      <c r="C224" s="8"/>
      <c r="D224" s="8"/>
      <c r="E224" s="8"/>
      <c r="F224" s="8"/>
    </row>
    <row r="225" spans="1:6" x14ac:dyDescent="0.25">
      <c r="A225" s="8"/>
      <c r="B225" s="8"/>
      <c r="C225" s="8"/>
      <c r="D225" s="8"/>
      <c r="E225" s="8"/>
      <c r="F225" s="8"/>
    </row>
    <row r="226" spans="1:6" x14ac:dyDescent="0.25">
      <c r="A226" s="8"/>
      <c r="B226" s="8"/>
      <c r="C226" s="8"/>
      <c r="D226" s="8"/>
      <c r="E226" s="8"/>
      <c r="F226" s="8"/>
    </row>
    <row r="227" spans="1:6" x14ac:dyDescent="0.25">
      <c r="A227" s="8"/>
      <c r="B227" s="8"/>
      <c r="C227" s="8"/>
      <c r="D227" s="8"/>
      <c r="E227" s="8"/>
      <c r="F227" s="8"/>
    </row>
    <row r="228" spans="1:6" x14ac:dyDescent="0.25">
      <c r="A228" s="8"/>
      <c r="B228" s="8"/>
      <c r="C228" s="8"/>
      <c r="D228" s="8"/>
      <c r="E228" s="8"/>
      <c r="F228" s="8"/>
    </row>
    <row r="229" spans="1:6" x14ac:dyDescent="0.25">
      <c r="A229" s="8"/>
      <c r="B229" s="8"/>
      <c r="C229" s="8"/>
      <c r="D229" s="8"/>
      <c r="E229" s="8"/>
      <c r="F229" s="8"/>
    </row>
    <row r="230" spans="1:6" x14ac:dyDescent="0.25">
      <c r="A230" s="8"/>
      <c r="B230" s="8"/>
      <c r="C230" s="8"/>
      <c r="D230" s="8"/>
      <c r="E230" s="8"/>
      <c r="F230" s="8"/>
    </row>
    <row r="231" spans="1:6" x14ac:dyDescent="0.25">
      <c r="A231" s="8"/>
      <c r="B231" s="8"/>
      <c r="C231" s="8"/>
      <c r="D231" s="8"/>
      <c r="E231" s="8"/>
      <c r="F231" s="8"/>
    </row>
    <row r="232" spans="1:6" x14ac:dyDescent="0.25">
      <c r="A232" s="8"/>
      <c r="B232" s="8"/>
      <c r="C232" s="8"/>
      <c r="D232" s="8"/>
      <c r="E232" s="8"/>
      <c r="F232" s="8"/>
    </row>
    <row r="233" spans="1:6" x14ac:dyDescent="0.25">
      <c r="A233" s="8"/>
      <c r="B233" s="8"/>
      <c r="C233" s="8"/>
      <c r="D233" s="8"/>
      <c r="E233" s="8"/>
      <c r="F233" s="8"/>
    </row>
    <row r="234" spans="1:6" x14ac:dyDescent="0.25">
      <c r="A234" s="8"/>
      <c r="B234" s="8"/>
      <c r="C234" s="8"/>
      <c r="D234" s="8"/>
      <c r="E234" s="8"/>
      <c r="F234" s="8"/>
    </row>
    <row r="235" spans="1:6" x14ac:dyDescent="0.25">
      <c r="A235" s="8"/>
      <c r="B235" s="8"/>
      <c r="C235" s="8"/>
      <c r="D235" s="8"/>
      <c r="E235" s="8"/>
      <c r="F235" s="8"/>
    </row>
    <row r="236" spans="1:6" x14ac:dyDescent="0.25">
      <c r="A236" s="8"/>
      <c r="B236" s="8"/>
      <c r="C236" s="8"/>
      <c r="D236" s="8"/>
      <c r="E236" s="8"/>
      <c r="F236" s="8"/>
    </row>
    <row r="237" spans="1:6" x14ac:dyDescent="0.25">
      <c r="A237" s="8"/>
      <c r="B237" s="8"/>
      <c r="C237" s="8"/>
      <c r="D237" s="8"/>
      <c r="E237" s="8"/>
      <c r="F237" s="8"/>
    </row>
    <row r="238" spans="1:6" x14ac:dyDescent="0.25">
      <c r="A238" s="8"/>
      <c r="B238" s="8"/>
      <c r="C238" s="8"/>
      <c r="D238" s="8"/>
      <c r="E238" s="8"/>
      <c r="F238" s="8"/>
    </row>
    <row r="239" spans="1:6" x14ac:dyDescent="0.25">
      <c r="A239" s="8"/>
      <c r="B239" s="8"/>
      <c r="C239" s="8"/>
      <c r="D239" s="8"/>
      <c r="E239" s="8"/>
      <c r="F239" s="8"/>
    </row>
    <row r="240" spans="1:6" x14ac:dyDescent="0.25">
      <c r="A240" s="8"/>
      <c r="B240" s="8"/>
      <c r="C240" s="8"/>
      <c r="D240" s="8"/>
      <c r="E240" s="8"/>
      <c r="F240" s="8"/>
    </row>
    <row r="241" spans="1:6" x14ac:dyDescent="0.25">
      <c r="A241" s="8"/>
      <c r="B241" s="8"/>
      <c r="C241" s="8"/>
      <c r="D241" s="8"/>
      <c r="E241" s="8"/>
      <c r="F241" s="8"/>
    </row>
    <row r="242" spans="1:6" x14ac:dyDescent="0.25">
      <c r="A242" s="8"/>
      <c r="B242" s="8"/>
      <c r="C242" s="8"/>
      <c r="D242" s="8"/>
      <c r="E242" s="8"/>
      <c r="F242" s="8"/>
    </row>
    <row r="243" spans="1:6" x14ac:dyDescent="0.25">
      <c r="A243" s="8"/>
      <c r="B243" s="8"/>
      <c r="C243" s="8"/>
      <c r="D243" s="8"/>
      <c r="E243" s="8"/>
      <c r="F243" s="8"/>
    </row>
    <row r="244" spans="1:6" x14ac:dyDescent="0.25">
      <c r="A244" s="8"/>
      <c r="B244" s="8"/>
      <c r="C244" s="8"/>
      <c r="D244" s="8"/>
      <c r="E244" s="8"/>
      <c r="F244" s="8"/>
    </row>
    <row r="245" spans="1:6" x14ac:dyDescent="0.25">
      <c r="A245" s="8"/>
      <c r="B245" s="8"/>
      <c r="C245" s="8"/>
      <c r="D245" s="8"/>
      <c r="E245" s="8"/>
      <c r="F245" s="8"/>
    </row>
    <row r="246" spans="1:6" x14ac:dyDescent="0.25">
      <c r="A246" s="8"/>
      <c r="B246" s="8"/>
      <c r="C246" s="8"/>
      <c r="D246" s="8"/>
      <c r="E246" s="8"/>
      <c r="F246" s="8"/>
    </row>
    <row r="247" spans="1:6" x14ac:dyDescent="0.25">
      <c r="A247" s="8"/>
      <c r="B247" s="8"/>
      <c r="C247" s="8"/>
      <c r="D247" s="8"/>
      <c r="E247" s="8"/>
      <c r="F247" s="8"/>
    </row>
    <row r="248" spans="1:6" x14ac:dyDescent="0.25">
      <c r="A248" s="8"/>
      <c r="B248" s="8"/>
      <c r="C248" s="8"/>
      <c r="D248" s="8"/>
      <c r="E248" s="8"/>
      <c r="F248" s="8"/>
    </row>
    <row r="249" spans="1:6" x14ac:dyDescent="0.25">
      <c r="A249" s="8"/>
      <c r="B249" s="8"/>
      <c r="C249" s="8"/>
      <c r="D249" s="8"/>
      <c r="E249" s="8"/>
      <c r="F249" s="8"/>
    </row>
    <row r="250" spans="1:6" x14ac:dyDescent="0.25">
      <c r="A250" s="8"/>
      <c r="B250" s="8"/>
      <c r="C250" s="8"/>
      <c r="D250" s="8"/>
      <c r="E250" s="8"/>
      <c r="F250" s="8"/>
    </row>
    <row r="251" spans="1:6" x14ac:dyDescent="0.25">
      <c r="A251" s="8"/>
      <c r="B251" s="8"/>
      <c r="C251" s="8"/>
      <c r="D251" s="8"/>
      <c r="E251" s="8"/>
      <c r="F251" s="8"/>
    </row>
    <row r="252" spans="1:6" x14ac:dyDescent="0.25">
      <c r="A252" s="8"/>
      <c r="B252" s="8"/>
      <c r="C252" s="8"/>
      <c r="D252" s="8"/>
      <c r="E252" s="8"/>
      <c r="F252" s="8"/>
    </row>
    <row r="253" spans="1:6" x14ac:dyDescent="0.25">
      <c r="A253" s="8"/>
      <c r="B253" s="8"/>
      <c r="C253" s="8"/>
      <c r="D253" s="8"/>
      <c r="E253" s="8"/>
      <c r="F253" s="8"/>
    </row>
    <row r="254" spans="1:6" x14ac:dyDescent="0.25">
      <c r="A254" s="8"/>
      <c r="B254" s="8"/>
      <c r="C254" s="8"/>
      <c r="D254" s="8"/>
      <c r="E254" s="8"/>
      <c r="F254" s="8"/>
    </row>
    <row r="255" spans="1:6" x14ac:dyDescent="0.25">
      <c r="A255" s="8"/>
      <c r="B255" s="8"/>
      <c r="C255" s="8"/>
      <c r="D255" s="8"/>
      <c r="E255" s="8"/>
      <c r="F255" s="8"/>
    </row>
    <row r="256" spans="1:6" x14ac:dyDescent="0.25">
      <c r="A256" s="8"/>
      <c r="B256" s="8"/>
      <c r="C256" s="8"/>
      <c r="D256" s="8"/>
      <c r="E256" s="8"/>
      <c r="F256" s="8"/>
    </row>
    <row r="257" spans="1:6" x14ac:dyDescent="0.25">
      <c r="A257" s="8"/>
      <c r="B257" s="8"/>
      <c r="C257" s="8"/>
      <c r="D257" s="8"/>
      <c r="E257" s="8"/>
      <c r="F257" s="8"/>
    </row>
    <row r="258" spans="1:6" x14ac:dyDescent="0.25">
      <c r="A258" s="8"/>
      <c r="B258" s="8"/>
      <c r="C258" s="8"/>
      <c r="D258" s="8"/>
      <c r="E258" s="8"/>
      <c r="F258" s="8"/>
    </row>
    <row r="259" spans="1:6" x14ac:dyDescent="0.25">
      <c r="A259" s="8"/>
      <c r="B259" s="8"/>
      <c r="C259" s="8"/>
      <c r="D259" s="8"/>
      <c r="E259" s="8"/>
      <c r="F259" s="8"/>
    </row>
    <row r="260" spans="1:6" x14ac:dyDescent="0.25">
      <c r="A260" s="8"/>
      <c r="B260" s="8"/>
      <c r="C260" s="8"/>
      <c r="D260" s="8"/>
      <c r="E260" s="8"/>
      <c r="F260" s="8"/>
    </row>
    <row r="261" spans="1:6" x14ac:dyDescent="0.25">
      <c r="A261" s="8"/>
      <c r="B261" s="8"/>
      <c r="C261" s="8"/>
      <c r="D261" s="8"/>
      <c r="E261" s="8"/>
      <c r="F261" s="8"/>
    </row>
    <row r="262" spans="1:6" x14ac:dyDescent="0.25">
      <c r="A262" s="8"/>
      <c r="B262" s="8"/>
      <c r="C262" s="8"/>
      <c r="D262" s="8"/>
      <c r="E262" s="8"/>
      <c r="F262" s="8"/>
    </row>
  </sheetData>
  <sheetProtection password="D6EA" sheet="1" objects="1" scenarios="1" formatCells="0" formatColumns="0" formatRows="0"/>
  <dataValidations count="2">
    <dataValidation type="list" sqref="E2:E200" xr:uid="{00000000-0002-0000-0500-000000000000}">
      <formula1>"Y,N"</formula1>
      <formula2>0</formula2>
    </dataValidation>
    <dataValidation type="list" sqref="F2:F200" xr:uid="{00000000-0002-0000-0500-000001000000}">
      <formula1>"status,date,text,sd,sketch"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8.7109375" defaultRowHeight="15" x14ac:dyDescent="0.25"/>
  <cols>
    <col min="1" max="1" width="12" customWidth="1"/>
    <col min="2" max="2" width="16" customWidth="1"/>
    <col min="3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</cols>
  <sheetData>
    <row r="1" spans="1:8" ht="33.75" customHeight="1" x14ac:dyDescent="0.25">
      <c r="A1" s="16" t="s">
        <v>35</v>
      </c>
      <c r="B1" s="16" t="s">
        <v>1603</v>
      </c>
      <c r="C1" s="16" t="s">
        <v>45</v>
      </c>
      <c r="D1" s="16" t="s">
        <v>1666</v>
      </c>
      <c r="E1" s="16" t="s">
        <v>653</v>
      </c>
      <c r="F1" s="16" t="s">
        <v>1667</v>
      </c>
      <c r="G1" s="16" t="s">
        <v>1668</v>
      </c>
      <c r="H1" s="16" t="s">
        <v>1669</v>
      </c>
    </row>
    <row r="2" spans="1:8" ht="15" customHeight="1" x14ac:dyDescent="0.25">
      <c r="A2" t="s">
        <v>656</v>
      </c>
      <c r="B2" t="s">
        <v>54</v>
      </c>
      <c r="C2">
        <f>COUNTIFS(Clearances!$E:$E,$A2,Clearances!$B:$B,"Tower A")</f>
        <v>0</v>
      </c>
      <c r="D2" s="4">
        <f>C2/COUNTIF(Clearances!$B:$B,"Tower A")</f>
        <v>0</v>
      </c>
      <c r="E2">
        <f>COUNTIFS(Clearances!$E:$E,$A2,Clearances!$B:$B,"Tower B")</f>
        <v>1</v>
      </c>
      <c r="F2" s="4">
        <f>E2/COUNTIF(Clearances!$B:$B,"Tower B")</f>
        <v>3.6496350364963502E-3</v>
      </c>
      <c r="G2">
        <f t="shared" ref="G2:G33" si="0">C2+E2</f>
        <v>1</v>
      </c>
      <c r="H2" s="4">
        <f>G2/(COUNTA(Clearances!$A:$A)-1)</f>
        <v>1.8083182640144665E-3</v>
      </c>
    </row>
    <row r="3" spans="1:8" ht="15" customHeight="1" x14ac:dyDescent="0.25">
      <c r="A3" t="s">
        <v>659</v>
      </c>
      <c r="B3" t="s">
        <v>54</v>
      </c>
      <c r="C3">
        <f>COUNTIFS(Clearances!$E:$E,$A3,Clearances!$B:$B,"Tower A")</f>
        <v>0</v>
      </c>
      <c r="D3" s="4">
        <f>C3/COUNTIF(Clearances!$B:$B,"Tower A")</f>
        <v>0</v>
      </c>
      <c r="E3">
        <f>COUNTIFS(Clearances!$E:$E,$A3,Clearances!$B:$B,"Tower B")</f>
        <v>9</v>
      </c>
      <c r="F3" s="4">
        <f>E3/COUNTIF(Clearances!$B:$B,"Tower B")</f>
        <v>3.2846715328467155E-2</v>
      </c>
      <c r="G3">
        <f t="shared" si="0"/>
        <v>9</v>
      </c>
      <c r="H3" s="4">
        <f>G3/(COUNTA(Clearances!$A:$A)-1)</f>
        <v>1.62748643761302E-2</v>
      </c>
    </row>
    <row r="4" spans="1:8" ht="15" customHeight="1" x14ac:dyDescent="0.25">
      <c r="A4" t="s">
        <v>53</v>
      </c>
      <c r="B4" t="s">
        <v>54</v>
      </c>
      <c r="C4">
        <f>COUNTIFS(Clearances!$E:$E,$A4,Clearances!$B:$B,"Tower A")</f>
        <v>5</v>
      </c>
      <c r="D4" s="4">
        <f>C4/COUNTIF(Clearances!$B:$B,"Tower A")</f>
        <v>1.7921146953405017E-2</v>
      </c>
      <c r="E4">
        <f>COUNTIFS(Clearances!$E:$E,$A4,Clearances!$B:$B,"Tower B")</f>
        <v>0</v>
      </c>
      <c r="F4" s="4">
        <f>E4/COUNTIF(Clearances!$B:$B,"Tower B")</f>
        <v>0</v>
      </c>
      <c r="G4">
        <f t="shared" si="0"/>
        <v>5</v>
      </c>
      <c r="H4" s="4">
        <f>G4/(COUNTA(Clearances!$A:$A)-1)</f>
        <v>9.0415913200723331E-3</v>
      </c>
    </row>
    <row r="5" spans="1:8" ht="15" customHeight="1" x14ac:dyDescent="0.25">
      <c r="A5" t="s">
        <v>150</v>
      </c>
      <c r="B5" t="s">
        <v>54</v>
      </c>
      <c r="C5">
        <f>COUNTIFS(Clearances!$E:$E,$A5,Clearances!$B:$B,"Tower A")</f>
        <v>2</v>
      </c>
      <c r="D5" s="4">
        <f>C5/COUNTIF(Clearances!$B:$B,"Tower A")</f>
        <v>7.1684587813620072E-3</v>
      </c>
      <c r="E5">
        <f>COUNTIFS(Clearances!$E:$E,$A5,Clearances!$B:$B,"Tower B")</f>
        <v>0</v>
      </c>
      <c r="F5" s="4">
        <f>E5/COUNTIF(Clearances!$B:$B,"Tower B")</f>
        <v>0</v>
      </c>
      <c r="G5">
        <f t="shared" si="0"/>
        <v>2</v>
      </c>
      <c r="H5" s="4">
        <f>G5/(COUNTA(Clearances!$A:$A)-1)</f>
        <v>3.616636528028933E-3</v>
      </c>
    </row>
    <row r="6" spans="1:8" ht="15" customHeight="1" x14ac:dyDescent="0.25">
      <c r="A6" t="s">
        <v>297</v>
      </c>
      <c r="B6" t="s">
        <v>54</v>
      </c>
      <c r="C6">
        <f>COUNTIFS(Clearances!$E:$E,$A6,Clearances!$B:$B,"Tower A")</f>
        <v>2</v>
      </c>
      <c r="D6" s="4">
        <f>C6/COUNTIF(Clearances!$B:$B,"Tower A")</f>
        <v>7.1684587813620072E-3</v>
      </c>
      <c r="E6">
        <f>COUNTIFS(Clearances!$E:$E,$A6,Clearances!$B:$B,"Tower B")</f>
        <v>0</v>
      </c>
      <c r="F6" s="4">
        <f>E6/COUNTIF(Clearances!$B:$B,"Tower B")</f>
        <v>0</v>
      </c>
      <c r="G6">
        <f t="shared" si="0"/>
        <v>2</v>
      </c>
      <c r="H6" s="4">
        <f>G6/(COUNTA(Clearances!$A:$A)-1)</f>
        <v>3.616636528028933E-3</v>
      </c>
    </row>
    <row r="7" spans="1:8" ht="15" customHeight="1" x14ac:dyDescent="0.25">
      <c r="A7" t="s">
        <v>59</v>
      </c>
      <c r="B7" t="s">
        <v>54</v>
      </c>
      <c r="C7">
        <f>COUNTIFS(Clearances!$E:$E,$A7,Clearances!$B:$B,"Tower A")</f>
        <v>8</v>
      </c>
      <c r="D7" s="4">
        <f>C7/COUNTIF(Clearances!$B:$B,"Tower A")</f>
        <v>2.8673835125448029E-2</v>
      </c>
      <c r="E7">
        <f>COUNTIFS(Clearances!$E:$E,$A7,Clearances!$B:$B,"Tower B")</f>
        <v>0</v>
      </c>
      <c r="F7" s="4">
        <f>E7/COUNTIF(Clearances!$B:$B,"Tower B")</f>
        <v>0</v>
      </c>
      <c r="G7">
        <f t="shared" si="0"/>
        <v>8</v>
      </c>
      <c r="H7" s="4">
        <f>G7/(COUNTA(Clearances!$A:$A)-1)</f>
        <v>1.4466546112115732E-2</v>
      </c>
    </row>
    <row r="8" spans="1:8" ht="15" customHeight="1" x14ac:dyDescent="0.25">
      <c r="A8" t="s">
        <v>155</v>
      </c>
      <c r="B8" t="s">
        <v>54</v>
      </c>
      <c r="C8">
        <f>COUNTIFS(Clearances!$E:$E,$A8,Clearances!$B:$B,"Tower A")</f>
        <v>7</v>
      </c>
      <c r="D8" s="4">
        <f>C8/COUNTIF(Clearances!$B:$B,"Tower A")</f>
        <v>2.5089605734767026E-2</v>
      </c>
      <c r="E8">
        <f>COUNTIFS(Clearances!$E:$E,$A8,Clearances!$B:$B,"Tower B")</f>
        <v>0</v>
      </c>
      <c r="F8" s="4">
        <f>E8/COUNTIF(Clearances!$B:$B,"Tower B")</f>
        <v>0</v>
      </c>
      <c r="G8">
        <f t="shared" si="0"/>
        <v>7</v>
      </c>
      <c r="H8" s="4">
        <f>G8/(COUNTA(Clearances!$A:$A)-1)</f>
        <v>1.2658227848101266E-2</v>
      </c>
    </row>
    <row r="9" spans="1:8" ht="15" customHeight="1" x14ac:dyDescent="0.25">
      <c r="A9" t="s">
        <v>733</v>
      </c>
      <c r="B9" t="s">
        <v>54</v>
      </c>
      <c r="C9">
        <f>COUNTIFS(Clearances!$E:$E,$A9,Clearances!$B:$B,"Tower A")</f>
        <v>0</v>
      </c>
      <c r="D9" s="4">
        <f>C9/COUNTIF(Clearances!$B:$B,"Tower A")</f>
        <v>0</v>
      </c>
      <c r="E9">
        <f>COUNTIFS(Clearances!$E:$E,$A9,Clearances!$B:$B,"Tower B")</f>
        <v>8</v>
      </c>
      <c r="F9" s="4">
        <f>E9/COUNTIF(Clearances!$B:$B,"Tower B")</f>
        <v>2.9197080291970802E-2</v>
      </c>
      <c r="G9">
        <f t="shared" si="0"/>
        <v>8</v>
      </c>
      <c r="H9" s="4">
        <f>G9/(COUNTA(Clearances!$A:$A)-1)</f>
        <v>1.4466546112115732E-2</v>
      </c>
    </row>
    <row r="10" spans="1:8" ht="15" customHeight="1" x14ac:dyDescent="0.25">
      <c r="A10" t="s">
        <v>1141</v>
      </c>
      <c r="B10" t="s">
        <v>54</v>
      </c>
      <c r="C10">
        <f>COUNTIFS(Clearances!$E:$E,$A10,Clearances!$B:$B,"Tower A")</f>
        <v>0</v>
      </c>
      <c r="D10" s="4">
        <f>C10/COUNTIF(Clearances!$B:$B,"Tower A")</f>
        <v>0</v>
      </c>
      <c r="E10">
        <f>COUNTIFS(Clearances!$E:$E,$A10,Clearances!$B:$B,"Tower B")</f>
        <v>2</v>
      </c>
      <c r="F10" s="4">
        <f>E10/COUNTIF(Clearances!$B:$B,"Tower B")</f>
        <v>7.2992700729927005E-3</v>
      </c>
      <c r="G10">
        <f t="shared" si="0"/>
        <v>2</v>
      </c>
      <c r="H10" s="4">
        <f>G10/(COUNTA(Clearances!$A:$A)-1)</f>
        <v>3.616636528028933E-3</v>
      </c>
    </row>
    <row r="11" spans="1:8" ht="15" customHeight="1" x14ac:dyDescent="0.25">
      <c r="A11" t="s">
        <v>1144</v>
      </c>
      <c r="B11" t="s">
        <v>54</v>
      </c>
      <c r="C11">
        <f>COUNTIFS(Clearances!$E:$E,$A11,Clearances!$B:$B,"Tower A")</f>
        <v>0</v>
      </c>
      <c r="D11" s="4">
        <f>C11/COUNTIF(Clearances!$B:$B,"Tower A")</f>
        <v>0</v>
      </c>
      <c r="E11">
        <f>COUNTIFS(Clearances!$E:$E,$A11,Clearances!$B:$B,"Tower B")</f>
        <v>2</v>
      </c>
      <c r="F11" s="4">
        <f>E11/COUNTIF(Clearances!$B:$B,"Tower B")</f>
        <v>7.2992700729927005E-3</v>
      </c>
      <c r="G11">
        <f t="shared" si="0"/>
        <v>2</v>
      </c>
      <c r="H11" s="4">
        <f>G11/(COUNTA(Clearances!$A:$A)-1)</f>
        <v>3.616636528028933E-3</v>
      </c>
    </row>
    <row r="12" spans="1:8" ht="15" customHeight="1" x14ac:dyDescent="0.25">
      <c r="A12" t="s">
        <v>62</v>
      </c>
      <c r="B12" t="s">
        <v>63</v>
      </c>
      <c r="C12">
        <f>COUNTIFS(Clearances!$E:$E,$A12,Clearances!$B:$B,"Tower A")</f>
        <v>1</v>
      </c>
      <c r="D12" s="4">
        <f>C12/COUNTIF(Clearances!$B:$B,"Tower A")</f>
        <v>3.5842293906810036E-3</v>
      </c>
      <c r="E12">
        <f>COUNTIFS(Clearances!$E:$E,$A12,Clearances!$B:$B,"Tower B")</f>
        <v>0</v>
      </c>
      <c r="F12" s="4">
        <f>E12/COUNTIF(Clearances!$B:$B,"Tower B")</f>
        <v>0</v>
      </c>
      <c r="G12">
        <f t="shared" si="0"/>
        <v>1</v>
      </c>
      <c r="H12" s="4">
        <f>G12/(COUNTA(Clearances!$A:$A)-1)</f>
        <v>1.8083182640144665E-3</v>
      </c>
    </row>
    <row r="13" spans="1:8" ht="15" customHeight="1" x14ac:dyDescent="0.25">
      <c r="A13" t="s">
        <v>66</v>
      </c>
      <c r="B13" t="s">
        <v>67</v>
      </c>
      <c r="C13">
        <f>COUNTIFS(Clearances!$E:$E,$A13,Clearances!$B:$B,"Tower A")</f>
        <v>24</v>
      </c>
      <c r="D13" s="4">
        <f>C13/COUNTIF(Clearances!$B:$B,"Tower A")</f>
        <v>8.6021505376344093E-2</v>
      </c>
      <c r="E13">
        <f>COUNTIFS(Clearances!$E:$E,$A13,Clearances!$B:$B,"Tower B")</f>
        <v>10</v>
      </c>
      <c r="F13" s="4">
        <f>E13/COUNTIF(Clearances!$B:$B,"Tower B")</f>
        <v>3.6496350364963501E-2</v>
      </c>
      <c r="G13">
        <f t="shared" si="0"/>
        <v>34</v>
      </c>
      <c r="H13" s="4">
        <f>G13/(COUNTA(Clearances!$A:$A)-1)</f>
        <v>6.148282097649186E-2</v>
      </c>
    </row>
    <row r="14" spans="1:8" ht="15" customHeight="1" x14ac:dyDescent="0.25">
      <c r="A14" t="s">
        <v>662</v>
      </c>
      <c r="B14" t="s">
        <v>67</v>
      </c>
      <c r="C14">
        <f>COUNTIFS(Clearances!$E:$E,$A14,Clearances!$B:$B,"Tower A")</f>
        <v>0</v>
      </c>
      <c r="D14" s="4">
        <f>C14/COUNTIF(Clearances!$B:$B,"Tower A")</f>
        <v>0</v>
      </c>
      <c r="E14">
        <f>COUNTIFS(Clearances!$E:$E,$A14,Clearances!$B:$B,"Tower B")</f>
        <v>26</v>
      </c>
      <c r="F14" s="4">
        <f>E14/COUNTIF(Clearances!$B:$B,"Tower B")</f>
        <v>9.4890510948905105E-2</v>
      </c>
      <c r="G14">
        <f t="shared" si="0"/>
        <v>26</v>
      </c>
      <c r="H14" s="4">
        <f>G14/(COUNTA(Clearances!$A:$A)-1)</f>
        <v>4.701627486437613E-2</v>
      </c>
    </row>
    <row r="15" spans="1:8" ht="15" customHeight="1" x14ac:dyDescent="0.25">
      <c r="A15" t="s">
        <v>74</v>
      </c>
      <c r="B15" t="s">
        <v>67</v>
      </c>
      <c r="C15">
        <f>COUNTIFS(Clearances!$E:$E,$A15,Clearances!$B:$B,"Tower A")</f>
        <v>16</v>
      </c>
      <c r="D15" s="4">
        <f>C15/COUNTIF(Clearances!$B:$B,"Tower A")</f>
        <v>5.7347670250896057E-2</v>
      </c>
      <c r="E15">
        <f>COUNTIFS(Clearances!$E:$E,$A15,Clearances!$B:$B,"Tower B")</f>
        <v>0</v>
      </c>
      <c r="F15" s="4">
        <f>E15/COUNTIF(Clearances!$B:$B,"Tower B")</f>
        <v>0</v>
      </c>
      <c r="G15">
        <f t="shared" si="0"/>
        <v>16</v>
      </c>
      <c r="H15" s="4">
        <f>G15/(COUNTA(Clearances!$A:$A)-1)</f>
        <v>2.8933092224231464E-2</v>
      </c>
    </row>
    <row r="16" spans="1:8" ht="15" customHeight="1" x14ac:dyDescent="0.25">
      <c r="A16" t="s">
        <v>79</v>
      </c>
      <c r="B16" t="s">
        <v>67</v>
      </c>
      <c r="C16">
        <f>COUNTIFS(Clearances!$E:$E,$A16,Clearances!$B:$B,"Tower A")</f>
        <v>24</v>
      </c>
      <c r="D16" s="4">
        <f>C16/COUNTIF(Clearances!$B:$B,"Tower A")</f>
        <v>8.6021505376344093E-2</v>
      </c>
      <c r="E16">
        <f>COUNTIFS(Clearances!$E:$E,$A16,Clearances!$B:$B,"Tower B")</f>
        <v>5</v>
      </c>
      <c r="F16" s="4">
        <f>E16/COUNTIF(Clearances!$B:$B,"Tower B")</f>
        <v>1.824817518248175E-2</v>
      </c>
      <c r="G16">
        <f t="shared" si="0"/>
        <v>29</v>
      </c>
      <c r="H16" s="4">
        <f>G16/(COUNTA(Clearances!$A:$A)-1)</f>
        <v>5.2441229656419529E-2</v>
      </c>
    </row>
    <row r="17" spans="1:8" ht="15" customHeight="1" x14ac:dyDescent="0.25">
      <c r="A17" t="s">
        <v>667</v>
      </c>
      <c r="B17" t="s">
        <v>67</v>
      </c>
      <c r="C17">
        <f>COUNTIFS(Clearances!$E:$E,$A17,Clearances!$B:$B,"Tower A")</f>
        <v>0</v>
      </c>
      <c r="D17" s="4">
        <f>C17/COUNTIF(Clearances!$B:$B,"Tower A")</f>
        <v>0</v>
      </c>
      <c r="E17">
        <f>COUNTIFS(Clearances!$E:$E,$A17,Clearances!$B:$B,"Tower B")</f>
        <v>15</v>
      </c>
      <c r="F17" s="4">
        <f>E17/COUNTIF(Clearances!$B:$B,"Tower B")</f>
        <v>5.4744525547445258E-2</v>
      </c>
      <c r="G17">
        <f t="shared" si="0"/>
        <v>15</v>
      </c>
      <c r="H17" s="4">
        <f>G17/(COUNTA(Clearances!$A:$A)-1)</f>
        <v>2.7124773960216998E-2</v>
      </c>
    </row>
    <row r="18" spans="1:8" ht="15" customHeight="1" x14ac:dyDescent="0.25">
      <c r="A18" t="s">
        <v>86</v>
      </c>
      <c r="B18" t="s">
        <v>67</v>
      </c>
      <c r="C18">
        <f>COUNTIFS(Clearances!$E:$E,$A18,Clearances!$B:$B,"Tower A")</f>
        <v>8</v>
      </c>
      <c r="D18" s="4">
        <f>C18/COUNTIF(Clearances!$B:$B,"Tower A")</f>
        <v>2.8673835125448029E-2</v>
      </c>
      <c r="E18">
        <f>COUNTIFS(Clearances!$E:$E,$A18,Clearances!$B:$B,"Tower B")</f>
        <v>5</v>
      </c>
      <c r="F18" s="4">
        <f>E18/COUNTIF(Clearances!$B:$B,"Tower B")</f>
        <v>1.824817518248175E-2</v>
      </c>
      <c r="G18">
        <f t="shared" si="0"/>
        <v>13</v>
      </c>
      <c r="H18" s="4">
        <f>G18/(COUNTA(Clearances!$A:$A)-1)</f>
        <v>2.3508137432188065E-2</v>
      </c>
    </row>
    <row r="19" spans="1:8" ht="15" customHeight="1" x14ac:dyDescent="0.25">
      <c r="A19" t="s">
        <v>89</v>
      </c>
      <c r="B19" t="s">
        <v>67</v>
      </c>
      <c r="C19">
        <f>COUNTIFS(Clearances!$E:$E,$A19,Clearances!$B:$B,"Tower A")</f>
        <v>16</v>
      </c>
      <c r="D19" s="4">
        <f>C19/COUNTIF(Clearances!$B:$B,"Tower A")</f>
        <v>5.7347670250896057E-2</v>
      </c>
      <c r="E19">
        <f>COUNTIFS(Clearances!$E:$E,$A19,Clearances!$B:$B,"Tower B")</f>
        <v>15</v>
      </c>
      <c r="F19" s="4">
        <f>E19/COUNTIF(Clearances!$B:$B,"Tower B")</f>
        <v>5.4744525547445258E-2</v>
      </c>
      <c r="G19">
        <f t="shared" si="0"/>
        <v>31</v>
      </c>
      <c r="H19" s="4">
        <f>G19/(COUNTA(Clearances!$A:$A)-1)</f>
        <v>5.6057866184448461E-2</v>
      </c>
    </row>
    <row r="20" spans="1:8" ht="15" customHeight="1" x14ac:dyDescent="0.25">
      <c r="A20" t="s">
        <v>674</v>
      </c>
      <c r="B20" t="s">
        <v>67</v>
      </c>
      <c r="C20">
        <f>COUNTIFS(Clearances!$E:$E,$A20,Clearances!$B:$B,"Tower A")</f>
        <v>0</v>
      </c>
      <c r="D20" s="4">
        <f>C20/COUNTIF(Clearances!$B:$B,"Tower A")</f>
        <v>0</v>
      </c>
      <c r="E20">
        <f>COUNTIFS(Clearances!$E:$E,$A20,Clearances!$B:$B,"Tower B")</f>
        <v>15</v>
      </c>
      <c r="F20" s="4">
        <f>E20/COUNTIF(Clearances!$B:$B,"Tower B")</f>
        <v>5.4744525547445258E-2</v>
      </c>
      <c r="G20">
        <f t="shared" si="0"/>
        <v>15</v>
      </c>
      <c r="H20" s="4">
        <f>G20/(COUNTA(Clearances!$A:$A)-1)</f>
        <v>2.7124773960216998E-2</v>
      </c>
    </row>
    <row r="21" spans="1:8" ht="15" customHeight="1" x14ac:dyDescent="0.25">
      <c r="A21" t="s">
        <v>94</v>
      </c>
      <c r="B21" t="s">
        <v>67</v>
      </c>
      <c r="C21">
        <f>COUNTIFS(Clearances!$E:$E,$A21,Clearances!$B:$B,"Tower A")</f>
        <v>24</v>
      </c>
      <c r="D21" s="4">
        <f>C21/COUNTIF(Clearances!$B:$B,"Tower A")</f>
        <v>8.6021505376344093E-2</v>
      </c>
      <c r="E21">
        <f>COUNTIFS(Clearances!$E:$E,$A21,Clearances!$B:$B,"Tower B")</f>
        <v>0</v>
      </c>
      <c r="F21" s="4">
        <f>E21/COUNTIF(Clearances!$B:$B,"Tower B")</f>
        <v>0</v>
      </c>
      <c r="G21">
        <f t="shared" si="0"/>
        <v>24</v>
      </c>
      <c r="H21" s="4">
        <f>G21/(COUNTA(Clearances!$A:$A)-1)</f>
        <v>4.3399638336347197E-2</v>
      </c>
    </row>
    <row r="22" spans="1:8" ht="15" customHeight="1" x14ac:dyDescent="0.25">
      <c r="A22" t="s">
        <v>764</v>
      </c>
      <c r="B22" t="s">
        <v>67</v>
      </c>
      <c r="C22">
        <f>COUNTIFS(Clearances!$E:$E,$A22,Clearances!$B:$B,"Tower A")</f>
        <v>0</v>
      </c>
      <c r="D22" s="4">
        <f>C22/COUNTIF(Clearances!$B:$B,"Tower A")</f>
        <v>0</v>
      </c>
      <c r="E22">
        <f>COUNTIFS(Clearances!$E:$E,$A22,Clearances!$B:$B,"Tower B")</f>
        <v>10</v>
      </c>
      <c r="F22" s="4">
        <f>E22/COUNTIF(Clearances!$B:$B,"Tower B")</f>
        <v>3.6496350364963501E-2</v>
      </c>
      <c r="G22">
        <f t="shared" si="0"/>
        <v>10</v>
      </c>
      <c r="H22" s="4">
        <f>G22/(COUNTA(Clearances!$A:$A)-1)</f>
        <v>1.8083182640144666E-2</v>
      </c>
    </row>
    <row r="23" spans="1:8" ht="15" customHeight="1" x14ac:dyDescent="0.25">
      <c r="A23" t="s">
        <v>186</v>
      </c>
      <c r="B23" t="s">
        <v>67</v>
      </c>
      <c r="C23">
        <f>COUNTIFS(Clearances!$E:$E,$A23,Clearances!$B:$B,"Tower A")</f>
        <v>7</v>
      </c>
      <c r="D23" s="4">
        <f>C23/COUNTIF(Clearances!$B:$B,"Tower A")</f>
        <v>2.5089605734767026E-2</v>
      </c>
      <c r="E23">
        <f>COUNTIFS(Clearances!$E:$E,$A23,Clearances!$B:$B,"Tower B")</f>
        <v>1</v>
      </c>
      <c r="F23" s="4">
        <f>E23/COUNTIF(Clearances!$B:$B,"Tower B")</f>
        <v>3.6496350364963502E-3</v>
      </c>
      <c r="G23">
        <f t="shared" si="0"/>
        <v>8</v>
      </c>
      <c r="H23" s="4">
        <f>G23/(COUNTA(Clearances!$A:$A)-1)</f>
        <v>1.4466546112115732E-2</v>
      </c>
    </row>
    <row r="24" spans="1:8" ht="15" customHeight="1" x14ac:dyDescent="0.25">
      <c r="A24" t="s">
        <v>101</v>
      </c>
      <c r="B24" t="s">
        <v>67</v>
      </c>
      <c r="C24">
        <f>COUNTIFS(Clearances!$E:$E,$A24,Clearances!$B:$B,"Tower A")</f>
        <v>16</v>
      </c>
      <c r="D24" s="4">
        <f>C24/COUNTIF(Clearances!$B:$B,"Tower A")</f>
        <v>5.7347670250896057E-2</v>
      </c>
      <c r="E24">
        <f>COUNTIFS(Clearances!$E:$E,$A24,Clearances!$B:$B,"Tower B")</f>
        <v>0</v>
      </c>
      <c r="F24" s="4">
        <f>E24/COUNTIF(Clearances!$B:$B,"Tower B")</f>
        <v>0</v>
      </c>
      <c r="G24">
        <f t="shared" si="0"/>
        <v>16</v>
      </c>
      <c r="H24" s="4">
        <f>G24/(COUNTA(Clearances!$A:$A)-1)</f>
        <v>2.8933092224231464E-2</v>
      </c>
    </row>
    <row r="25" spans="1:8" ht="15" customHeight="1" x14ac:dyDescent="0.25">
      <c r="A25" t="s">
        <v>106</v>
      </c>
      <c r="B25" t="s">
        <v>67</v>
      </c>
      <c r="C25">
        <f>COUNTIFS(Clearances!$E:$E,$A25,Clearances!$B:$B,"Tower A")</f>
        <v>8</v>
      </c>
      <c r="D25" s="4">
        <f>C25/COUNTIF(Clearances!$B:$B,"Tower A")</f>
        <v>2.8673835125448029E-2</v>
      </c>
      <c r="E25">
        <f>COUNTIFS(Clearances!$E:$E,$A25,Clearances!$B:$B,"Tower B")</f>
        <v>0</v>
      </c>
      <c r="F25" s="4">
        <f>E25/COUNTIF(Clearances!$B:$B,"Tower B")</f>
        <v>0</v>
      </c>
      <c r="G25">
        <f t="shared" si="0"/>
        <v>8</v>
      </c>
      <c r="H25" s="4">
        <f>G25/(COUNTA(Clearances!$A:$A)-1)</f>
        <v>1.4466546112115732E-2</v>
      </c>
    </row>
    <row r="26" spans="1:8" ht="15" customHeight="1" x14ac:dyDescent="0.25">
      <c r="A26" t="s">
        <v>679</v>
      </c>
      <c r="B26" t="s">
        <v>67</v>
      </c>
      <c r="C26">
        <f>COUNTIFS(Clearances!$E:$E,$A26,Clearances!$B:$B,"Tower A")</f>
        <v>0</v>
      </c>
      <c r="D26" s="4">
        <f>C26/COUNTIF(Clearances!$B:$B,"Tower A")</f>
        <v>0</v>
      </c>
      <c r="E26">
        <f>COUNTIFS(Clearances!$E:$E,$A26,Clearances!$B:$B,"Tower B")</f>
        <v>6</v>
      </c>
      <c r="F26" s="4">
        <f>E26/COUNTIF(Clearances!$B:$B,"Tower B")</f>
        <v>2.1897810218978103E-2</v>
      </c>
      <c r="G26">
        <f t="shared" si="0"/>
        <v>6</v>
      </c>
      <c r="H26" s="4">
        <f>G26/(COUNTA(Clearances!$A:$A)-1)</f>
        <v>1.0849909584086799E-2</v>
      </c>
    </row>
    <row r="27" spans="1:8" ht="15" customHeight="1" x14ac:dyDescent="0.25">
      <c r="A27" t="s">
        <v>682</v>
      </c>
      <c r="B27" t="s">
        <v>683</v>
      </c>
      <c r="C27">
        <f>COUNTIFS(Clearances!$E:$E,$A27,Clearances!$B:$B,"Tower A")</f>
        <v>0</v>
      </c>
      <c r="D27" s="4">
        <f>C27/COUNTIF(Clearances!$B:$B,"Tower A")</f>
        <v>0</v>
      </c>
      <c r="E27">
        <f>COUNTIFS(Clearances!$E:$E,$A27,Clearances!$B:$B,"Tower B")</f>
        <v>3</v>
      </c>
      <c r="F27" s="4">
        <f>E27/COUNTIF(Clearances!$B:$B,"Tower B")</f>
        <v>1.0948905109489052E-2</v>
      </c>
      <c r="G27">
        <f t="shared" si="0"/>
        <v>3</v>
      </c>
      <c r="H27" s="4">
        <f>G27/(COUNTA(Clearances!$A:$A)-1)</f>
        <v>5.4249547920433997E-3</v>
      </c>
    </row>
    <row r="28" spans="1:8" ht="15" customHeight="1" x14ac:dyDescent="0.25">
      <c r="A28" t="s">
        <v>912</v>
      </c>
      <c r="B28" t="s">
        <v>683</v>
      </c>
      <c r="C28">
        <f>COUNTIFS(Clearances!$E:$E,$A28,Clearances!$B:$B,"Tower A")</f>
        <v>0</v>
      </c>
      <c r="D28" s="4">
        <f>C28/COUNTIF(Clearances!$B:$B,"Tower A")</f>
        <v>0</v>
      </c>
      <c r="E28">
        <f>COUNTIFS(Clearances!$E:$E,$A28,Clearances!$B:$B,"Tower B")</f>
        <v>6</v>
      </c>
      <c r="F28" s="4">
        <f>E28/COUNTIF(Clearances!$B:$B,"Tower B")</f>
        <v>2.1897810218978103E-2</v>
      </c>
      <c r="G28">
        <f t="shared" si="0"/>
        <v>6</v>
      </c>
      <c r="H28" s="4">
        <f>G28/(COUNTA(Clearances!$A:$A)-1)</f>
        <v>1.0849909584086799E-2</v>
      </c>
    </row>
    <row r="29" spans="1:8" ht="15" customHeight="1" x14ac:dyDescent="0.25">
      <c r="A29" t="s">
        <v>109</v>
      </c>
      <c r="B29" t="s">
        <v>110</v>
      </c>
      <c r="C29">
        <f>COUNTIFS(Clearances!$E:$E,$A29,Clearances!$B:$B,"Tower A")</f>
        <v>8</v>
      </c>
      <c r="D29" s="4">
        <f>C29/COUNTIF(Clearances!$B:$B,"Tower A")</f>
        <v>2.8673835125448029E-2</v>
      </c>
      <c r="E29">
        <f>COUNTIFS(Clearances!$E:$E,$A29,Clearances!$B:$B,"Tower B")</f>
        <v>0</v>
      </c>
      <c r="F29" s="4">
        <f>E29/COUNTIF(Clearances!$B:$B,"Tower B")</f>
        <v>0</v>
      </c>
      <c r="G29">
        <f t="shared" si="0"/>
        <v>8</v>
      </c>
      <c r="H29" s="4">
        <f>G29/(COUNTA(Clearances!$A:$A)-1)</f>
        <v>1.4466546112115732E-2</v>
      </c>
    </row>
    <row r="30" spans="1:8" ht="15" customHeight="1" x14ac:dyDescent="0.25">
      <c r="A30" t="s">
        <v>113</v>
      </c>
      <c r="B30" t="s">
        <v>110</v>
      </c>
      <c r="C30">
        <f>COUNTIFS(Clearances!$E:$E,$A30,Clearances!$B:$B,"Tower A")</f>
        <v>26</v>
      </c>
      <c r="D30" s="4">
        <f>C30/COUNTIF(Clearances!$B:$B,"Tower A")</f>
        <v>9.3189964157706098E-2</v>
      </c>
      <c r="E30">
        <f>COUNTIFS(Clearances!$E:$E,$A30,Clearances!$B:$B,"Tower B")</f>
        <v>9</v>
      </c>
      <c r="F30" s="4">
        <f>E30/COUNTIF(Clearances!$B:$B,"Tower B")</f>
        <v>3.2846715328467155E-2</v>
      </c>
      <c r="G30">
        <f t="shared" si="0"/>
        <v>35</v>
      </c>
      <c r="H30" s="4">
        <f>G30/(COUNTA(Clearances!$A:$A)-1)</f>
        <v>6.3291139240506333E-2</v>
      </c>
    </row>
    <row r="31" spans="1:8" ht="15" customHeight="1" x14ac:dyDescent="0.25">
      <c r="A31" t="s">
        <v>120</v>
      </c>
      <c r="B31" t="s">
        <v>110</v>
      </c>
      <c r="C31">
        <f>COUNTIFS(Clearances!$E:$E,$A31,Clearances!$B:$B,"Tower A")</f>
        <v>8</v>
      </c>
      <c r="D31" s="4">
        <f>C31/COUNTIF(Clearances!$B:$B,"Tower A")</f>
        <v>2.8673835125448029E-2</v>
      </c>
      <c r="E31">
        <f>COUNTIFS(Clearances!$E:$E,$A31,Clearances!$B:$B,"Tower B")</f>
        <v>25</v>
      </c>
      <c r="F31" s="4">
        <f>E31/COUNTIF(Clearances!$B:$B,"Tower B")</f>
        <v>9.1240875912408759E-2</v>
      </c>
      <c r="G31">
        <f t="shared" si="0"/>
        <v>33</v>
      </c>
      <c r="H31" s="4">
        <f>G31/(COUNTA(Clearances!$A:$A)-1)</f>
        <v>5.9674502712477394E-2</v>
      </c>
    </row>
    <row r="32" spans="1:8" ht="15" customHeight="1" x14ac:dyDescent="0.25">
      <c r="A32" t="s">
        <v>123</v>
      </c>
      <c r="B32" t="s">
        <v>110</v>
      </c>
      <c r="C32">
        <f>COUNTIFS(Clearances!$E:$E,$A32,Clearances!$B:$B,"Tower A")</f>
        <v>1</v>
      </c>
      <c r="D32" s="4">
        <f>C32/COUNTIF(Clearances!$B:$B,"Tower A")</f>
        <v>3.5842293906810036E-3</v>
      </c>
      <c r="E32">
        <f>COUNTIFS(Clearances!$E:$E,$A32,Clearances!$B:$B,"Tower B")</f>
        <v>0</v>
      </c>
      <c r="F32" s="4">
        <f>E32/COUNTIF(Clearances!$B:$B,"Tower B")</f>
        <v>0</v>
      </c>
      <c r="G32">
        <f t="shared" si="0"/>
        <v>1</v>
      </c>
      <c r="H32" s="4">
        <f>G32/(COUNTA(Clearances!$A:$A)-1)</f>
        <v>1.8083182640144665E-3</v>
      </c>
    </row>
    <row r="33" spans="1:8" ht="15" customHeight="1" x14ac:dyDescent="0.25">
      <c r="A33" t="s">
        <v>700</v>
      </c>
      <c r="B33" t="s">
        <v>110</v>
      </c>
      <c r="C33">
        <f>COUNTIFS(Clearances!$E:$E,$A33,Clearances!$B:$B,"Tower A")</f>
        <v>0</v>
      </c>
      <c r="D33" s="4">
        <f>C33/COUNTIF(Clearances!$B:$B,"Tower A")</f>
        <v>0</v>
      </c>
      <c r="E33">
        <f>COUNTIFS(Clearances!$E:$E,$A33,Clearances!$B:$B,"Tower B")</f>
        <v>16</v>
      </c>
      <c r="F33" s="4">
        <f>E33/COUNTIF(Clearances!$B:$B,"Tower B")</f>
        <v>5.8394160583941604E-2</v>
      </c>
      <c r="G33">
        <f t="shared" si="0"/>
        <v>16</v>
      </c>
      <c r="H33" s="4">
        <f>G33/(COUNTA(Clearances!$A:$A)-1)</f>
        <v>2.8933092224231464E-2</v>
      </c>
    </row>
    <row r="34" spans="1:8" ht="15" customHeight="1" x14ac:dyDescent="0.25">
      <c r="A34" t="s">
        <v>205</v>
      </c>
      <c r="B34" t="s">
        <v>110</v>
      </c>
      <c r="C34">
        <f>COUNTIFS(Clearances!$E:$E,$A34,Clearances!$B:$B,"Tower A")</f>
        <v>14</v>
      </c>
      <c r="D34" s="4">
        <f>C34/COUNTIF(Clearances!$B:$B,"Tower A")</f>
        <v>5.0179211469534052E-2</v>
      </c>
      <c r="E34">
        <f>COUNTIFS(Clearances!$E:$E,$A34,Clearances!$B:$B,"Tower B")</f>
        <v>11</v>
      </c>
      <c r="F34" s="4">
        <f>E34/COUNTIF(Clearances!$B:$B,"Tower B")</f>
        <v>4.0145985401459854E-2</v>
      </c>
      <c r="G34">
        <f t="shared" ref="G34:G62" si="1">C34+E34</f>
        <v>25</v>
      </c>
      <c r="H34" s="4">
        <f>G34/(COUNTA(Clearances!$A:$A)-1)</f>
        <v>4.5207956600361664E-2</v>
      </c>
    </row>
    <row r="35" spans="1:8" ht="15" customHeight="1" x14ac:dyDescent="0.25">
      <c r="A35" t="s">
        <v>126</v>
      </c>
      <c r="B35" t="s">
        <v>110</v>
      </c>
      <c r="C35">
        <f>COUNTIFS(Clearances!$E:$E,$A35,Clearances!$B:$B,"Tower A")</f>
        <v>16</v>
      </c>
      <c r="D35" s="4">
        <f>C35/COUNTIF(Clearances!$B:$B,"Tower A")</f>
        <v>5.7347670250896057E-2</v>
      </c>
      <c r="E35">
        <f>COUNTIFS(Clearances!$E:$E,$A35,Clearances!$B:$B,"Tower B")</f>
        <v>0</v>
      </c>
      <c r="F35" s="4">
        <f>E35/COUNTIF(Clearances!$B:$B,"Tower B")</f>
        <v>0</v>
      </c>
      <c r="G35">
        <f t="shared" si="1"/>
        <v>16</v>
      </c>
      <c r="H35" s="4">
        <f>G35/(COUNTA(Clearances!$A:$A)-1)</f>
        <v>2.8933092224231464E-2</v>
      </c>
    </row>
    <row r="36" spans="1:8" ht="15" customHeight="1" x14ac:dyDescent="0.25">
      <c r="A36" t="s">
        <v>705</v>
      </c>
      <c r="B36" t="s">
        <v>110</v>
      </c>
      <c r="C36">
        <f>COUNTIFS(Clearances!$E:$E,$A36,Clearances!$B:$B,"Tower A")</f>
        <v>0</v>
      </c>
      <c r="D36" s="4">
        <f>C36/COUNTIF(Clearances!$B:$B,"Tower A")</f>
        <v>0</v>
      </c>
      <c r="E36">
        <f>COUNTIFS(Clearances!$E:$E,$A36,Clearances!$B:$B,"Tower B")</f>
        <v>6</v>
      </c>
      <c r="F36" s="4">
        <f>E36/COUNTIF(Clearances!$B:$B,"Tower B")</f>
        <v>2.1897810218978103E-2</v>
      </c>
      <c r="G36">
        <f t="shared" si="1"/>
        <v>6</v>
      </c>
      <c r="H36" s="4">
        <f>G36/(COUNTA(Clearances!$A:$A)-1)</f>
        <v>1.0849909584086799E-2</v>
      </c>
    </row>
    <row r="37" spans="1:8" ht="15" customHeight="1" x14ac:dyDescent="0.25">
      <c r="A37" t="s">
        <v>131</v>
      </c>
      <c r="B37" t="s">
        <v>110</v>
      </c>
      <c r="C37">
        <f>COUNTIFS(Clearances!$E:$E,$A37,Clearances!$B:$B,"Tower A")</f>
        <v>8</v>
      </c>
      <c r="D37" s="4">
        <f>C37/COUNTIF(Clearances!$B:$B,"Tower A")</f>
        <v>2.8673835125448029E-2</v>
      </c>
      <c r="E37">
        <f>COUNTIFS(Clearances!$E:$E,$A37,Clearances!$B:$B,"Tower B")</f>
        <v>3</v>
      </c>
      <c r="F37" s="4">
        <f>E37/COUNTIF(Clearances!$B:$B,"Tower B")</f>
        <v>1.0948905109489052E-2</v>
      </c>
      <c r="G37">
        <f t="shared" si="1"/>
        <v>11</v>
      </c>
      <c r="H37" s="4">
        <f>G37/(COUNTA(Clearances!$A:$A)-1)</f>
        <v>1.9891500904159132E-2</v>
      </c>
    </row>
    <row r="38" spans="1:8" ht="15" customHeight="1" x14ac:dyDescent="0.25">
      <c r="A38" t="s">
        <v>134</v>
      </c>
      <c r="B38" t="s">
        <v>110</v>
      </c>
      <c r="C38">
        <f>COUNTIFS(Clearances!$E:$E,$A38,Clearances!$B:$B,"Tower A")</f>
        <v>1</v>
      </c>
      <c r="D38" s="4">
        <f>C38/COUNTIF(Clearances!$B:$B,"Tower A")</f>
        <v>3.5842293906810036E-3</v>
      </c>
      <c r="E38">
        <f>COUNTIFS(Clearances!$E:$E,$A38,Clearances!$B:$B,"Tower B")</f>
        <v>0</v>
      </c>
      <c r="F38" s="4">
        <f>E38/COUNTIF(Clearances!$B:$B,"Tower B")</f>
        <v>0</v>
      </c>
      <c r="G38">
        <f t="shared" si="1"/>
        <v>1</v>
      </c>
      <c r="H38" s="4">
        <f>G38/(COUNTA(Clearances!$A:$A)-1)</f>
        <v>1.8083182640144665E-3</v>
      </c>
    </row>
    <row r="39" spans="1:8" ht="15" customHeight="1" x14ac:dyDescent="0.25">
      <c r="A39" t="s">
        <v>791</v>
      </c>
      <c r="B39" t="s">
        <v>110</v>
      </c>
      <c r="C39">
        <f>COUNTIFS(Clearances!$E:$E,$A39,Clearances!$B:$B,"Tower A")</f>
        <v>0</v>
      </c>
      <c r="D39" s="4">
        <f>C39/COUNTIF(Clearances!$B:$B,"Tower A")</f>
        <v>0</v>
      </c>
      <c r="E39">
        <f>COUNTIFS(Clearances!$E:$E,$A39,Clearances!$B:$B,"Tower B")</f>
        <v>8</v>
      </c>
      <c r="F39" s="4">
        <f>E39/COUNTIF(Clearances!$B:$B,"Tower B")</f>
        <v>2.9197080291970802E-2</v>
      </c>
      <c r="G39">
        <f t="shared" si="1"/>
        <v>8</v>
      </c>
      <c r="H39" s="4">
        <f>G39/(COUNTA(Clearances!$A:$A)-1)</f>
        <v>1.4466546112115732E-2</v>
      </c>
    </row>
    <row r="40" spans="1:8" ht="15" customHeight="1" x14ac:dyDescent="0.25">
      <c r="A40" t="s">
        <v>708</v>
      </c>
      <c r="B40" t="s">
        <v>110</v>
      </c>
      <c r="C40">
        <f>COUNTIFS(Clearances!$E:$E,$A40,Clearances!$B:$B,"Tower A")</f>
        <v>0</v>
      </c>
      <c r="D40" s="4">
        <f>C40/COUNTIF(Clearances!$B:$B,"Tower A")</f>
        <v>0</v>
      </c>
      <c r="E40">
        <f>COUNTIFS(Clearances!$E:$E,$A40,Clearances!$B:$B,"Tower B")</f>
        <v>9</v>
      </c>
      <c r="F40" s="4">
        <f>E40/COUNTIF(Clearances!$B:$B,"Tower B")</f>
        <v>3.2846715328467155E-2</v>
      </c>
      <c r="G40">
        <f t="shared" si="1"/>
        <v>9</v>
      </c>
      <c r="H40" s="4">
        <f>G40/(COUNTA(Clearances!$A:$A)-1)</f>
        <v>1.62748643761302E-2</v>
      </c>
    </row>
    <row r="41" spans="1:8" ht="15" customHeight="1" x14ac:dyDescent="0.25">
      <c r="A41" t="s">
        <v>794</v>
      </c>
      <c r="B41" t="s">
        <v>110</v>
      </c>
      <c r="C41">
        <f>COUNTIFS(Clearances!$E:$E,$A41,Clearances!$B:$B,"Tower A")</f>
        <v>0</v>
      </c>
      <c r="D41" s="4">
        <f>C41/COUNTIF(Clearances!$B:$B,"Tower A")</f>
        <v>0</v>
      </c>
      <c r="E41">
        <f>COUNTIFS(Clearances!$E:$E,$A41,Clearances!$B:$B,"Tower B")</f>
        <v>5</v>
      </c>
      <c r="F41" s="4">
        <f>E41/COUNTIF(Clearances!$B:$B,"Tower B")</f>
        <v>1.824817518248175E-2</v>
      </c>
      <c r="G41">
        <f t="shared" si="1"/>
        <v>5</v>
      </c>
      <c r="H41" s="4">
        <f>G41/(COUNTA(Clearances!$A:$A)-1)</f>
        <v>9.0415913200723331E-3</v>
      </c>
    </row>
    <row r="42" spans="1:8" ht="15" customHeight="1" x14ac:dyDescent="0.25">
      <c r="A42" t="s">
        <v>711</v>
      </c>
      <c r="B42" t="s">
        <v>110</v>
      </c>
      <c r="C42">
        <f>COUNTIFS(Clearances!$E:$E,$A42,Clearances!$B:$B,"Tower A")</f>
        <v>0</v>
      </c>
      <c r="D42" s="4">
        <f>C42/COUNTIF(Clearances!$B:$B,"Tower A")</f>
        <v>0</v>
      </c>
      <c r="E42">
        <f>COUNTIFS(Clearances!$E:$E,$A42,Clearances!$B:$B,"Tower B")</f>
        <v>9</v>
      </c>
      <c r="F42" s="4">
        <f>E42/COUNTIF(Clearances!$B:$B,"Tower B")</f>
        <v>3.2846715328467155E-2</v>
      </c>
      <c r="G42">
        <f t="shared" si="1"/>
        <v>9</v>
      </c>
      <c r="H42" s="4">
        <f>G42/(COUNTA(Clearances!$A:$A)-1)</f>
        <v>1.62748643761302E-2</v>
      </c>
    </row>
    <row r="43" spans="1:8" ht="15" customHeight="1" x14ac:dyDescent="0.25">
      <c r="A43" t="s">
        <v>1124</v>
      </c>
      <c r="B43" t="s">
        <v>110</v>
      </c>
      <c r="C43">
        <f>COUNTIFS(Clearances!$E:$E,$A43,Clearances!$B:$B,"Tower A")</f>
        <v>0</v>
      </c>
      <c r="D43" s="4">
        <f>C43/COUNTIF(Clearances!$B:$B,"Tower A")</f>
        <v>0</v>
      </c>
      <c r="E43">
        <f>COUNTIFS(Clearances!$E:$E,$A43,Clearances!$B:$B,"Tower B")</f>
        <v>6</v>
      </c>
      <c r="F43" s="4">
        <f>E43/COUNTIF(Clearances!$B:$B,"Tower B")</f>
        <v>2.1897810218978103E-2</v>
      </c>
      <c r="G43">
        <f t="shared" si="1"/>
        <v>6</v>
      </c>
      <c r="H43" s="4">
        <f>G43/(COUNTA(Clearances!$A:$A)-1)</f>
        <v>1.0849909584086799E-2</v>
      </c>
    </row>
    <row r="44" spans="1:8" ht="15" customHeight="1" x14ac:dyDescent="0.25">
      <c r="A44" t="s">
        <v>714</v>
      </c>
      <c r="B44" t="s">
        <v>110</v>
      </c>
      <c r="C44">
        <f>COUNTIFS(Clearances!$E:$E,$A44,Clearances!$B:$B,"Tower A")</f>
        <v>0</v>
      </c>
      <c r="D44" s="4">
        <f>C44/COUNTIF(Clearances!$B:$B,"Tower A")</f>
        <v>0</v>
      </c>
      <c r="E44">
        <f>COUNTIFS(Clearances!$E:$E,$A44,Clearances!$B:$B,"Tower B")</f>
        <v>8</v>
      </c>
      <c r="F44" s="4">
        <f>E44/COUNTIF(Clearances!$B:$B,"Tower B")</f>
        <v>2.9197080291970802E-2</v>
      </c>
      <c r="G44">
        <f t="shared" si="1"/>
        <v>8</v>
      </c>
      <c r="H44" s="4">
        <f>G44/(COUNTA(Clearances!$A:$A)-1)</f>
        <v>1.4466546112115732E-2</v>
      </c>
    </row>
    <row r="45" spans="1:8" ht="15" customHeight="1" x14ac:dyDescent="0.25">
      <c r="A45" t="s">
        <v>137</v>
      </c>
      <c r="B45" t="s">
        <v>138</v>
      </c>
      <c r="C45">
        <f>COUNTIFS(Clearances!$E:$E,$A45,Clearances!$B:$B,"Tower A")</f>
        <v>2</v>
      </c>
      <c r="D45" s="4">
        <f>C45/COUNTIF(Clearances!$B:$B,"Tower A")</f>
        <v>7.1684587813620072E-3</v>
      </c>
      <c r="E45">
        <f>COUNTIFS(Clearances!$E:$E,$A45,Clearances!$B:$B,"Tower B")</f>
        <v>0</v>
      </c>
      <c r="F45" s="4">
        <f>E45/COUNTIF(Clearances!$B:$B,"Tower B")</f>
        <v>0</v>
      </c>
      <c r="G45">
        <f t="shared" si="1"/>
        <v>2</v>
      </c>
      <c r="H45" s="4">
        <f>G45/(COUNTA(Clearances!$A:$A)-1)</f>
        <v>3.616636528028933E-3</v>
      </c>
    </row>
    <row r="46" spans="1:8" ht="15" customHeight="1" x14ac:dyDescent="0.25">
      <c r="A46" t="s">
        <v>287</v>
      </c>
      <c r="B46" t="s">
        <v>138</v>
      </c>
      <c r="C46">
        <f>COUNTIFS(Clearances!$E:$E,$A46,Clearances!$B:$B,"Tower A")</f>
        <v>4</v>
      </c>
      <c r="D46" s="4">
        <f>C46/COUNTIF(Clearances!$B:$B,"Tower A")</f>
        <v>1.4336917562724014E-2</v>
      </c>
      <c r="E46">
        <f>COUNTIFS(Clearances!$E:$E,$A46,Clearances!$B:$B,"Tower B")</f>
        <v>0</v>
      </c>
      <c r="F46" s="4">
        <f>E46/COUNTIF(Clearances!$B:$B,"Tower B")</f>
        <v>0</v>
      </c>
      <c r="G46">
        <f t="shared" si="1"/>
        <v>4</v>
      </c>
      <c r="H46" s="4">
        <f>G46/(COUNTA(Clearances!$A:$A)-1)</f>
        <v>7.2332730560578659E-3</v>
      </c>
    </row>
    <row r="47" spans="1:8" ht="15" customHeight="1" x14ac:dyDescent="0.25">
      <c r="A47" t="s">
        <v>719</v>
      </c>
      <c r="B47" t="s">
        <v>49</v>
      </c>
      <c r="C47">
        <f>COUNTIFS(Clearances!$E:$E,$A47,Clearances!$B:$B,"Tower A")</f>
        <v>0</v>
      </c>
      <c r="D47" s="4">
        <f>C47/COUNTIF(Clearances!$B:$B,"Tower A")</f>
        <v>0</v>
      </c>
      <c r="E47">
        <f>COUNTIFS(Clearances!$E:$E,$A47,Clearances!$B:$B,"Tower B")</f>
        <v>1</v>
      </c>
      <c r="F47" s="4">
        <f>E47/COUNTIF(Clearances!$B:$B,"Tower B")</f>
        <v>3.6496350364963502E-3</v>
      </c>
      <c r="G47">
        <f t="shared" si="1"/>
        <v>1</v>
      </c>
      <c r="H47" s="4">
        <f>G47/(COUNTA(Clearances!$A:$A)-1)</f>
        <v>1.8083182640144665E-3</v>
      </c>
    </row>
    <row r="48" spans="1:8" ht="15" customHeight="1" x14ac:dyDescent="0.25">
      <c r="A48" t="s">
        <v>722</v>
      </c>
      <c r="B48" t="s">
        <v>49</v>
      </c>
      <c r="C48">
        <f>COUNTIFS(Clearances!$E:$E,$A48,Clearances!$B:$B,"Tower A")</f>
        <v>0</v>
      </c>
      <c r="D48" s="4">
        <f>C48/COUNTIF(Clearances!$B:$B,"Tower A")</f>
        <v>0</v>
      </c>
      <c r="E48">
        <f>COUNTIFS(Clearances!$E:$E,$A48,Clearances!$B:$B,"Tower B")</f>
        <v>1</v>
      </c>
      <c r="F48" s="4">
        <f>E48/COUNTIF(Clearances!$B:$B,"Tower B")</f>
        <v>3.6496350364963502E-3</v>
      </c>
      <c r="G48">
        <f t="shared" si="1"/>
        <v>1</v>
      </c>
      <c r="H48" s="4">
        <f>G48/(COUNTA(Clearances!$A:$A)-1)</f>
        <v>1.8083182640144665E-3</v>
      </c>
    </row>
    <row r="49" spans="1:8" ht="15" customHeight="1" x14ac:dyDescent="0.25">
      <c r="A49" t="s">
        <v>725</v>
      </c>
      <c r="B49" t="s">
        <v>49</v>
      </c>
      <c r="C49">
        <f>COUNTIFS(Clearances!$E:$E,$A49,Clearances!$B:$B,"Tower A")</f>
        <v>0</v>
      </c>
      <c r="D49" s="4">
        <f>C49/COUNTIF(Clearances!$B:$B,"Tower A")</f>
        <v>0</v>
      </c>
      <c r="E49">
        <f>COUNTIFS(Clearances!$E:$E,$A49,Clearances!$B:$B,"Tower B")</f>
        <v>8</v>
      </c>
      <c r="F49" s="4">
        <f>E49/COUNTIF(Clearances!$B:$B,"Tower B")</f>
        <v>2.9197080291970802E-2</v>
      </c>
      <c r="G49">
        <f t="shared" si="1"/>
        <v>8</v>
      </c>
      <c r="H49" s="4">
        <f>G49/(COUNTA(Clearances!$A:$A)-1)</f>
        <v>1.4466546112115732E-2</v>
      </c>
    </row>
    <row r="50" spans="1:8" ht="15" customHeight="1" x14ac:dyDescent="0.25">
      <c r="A50" t="s">
        <v>728</v>
      </c>
      <c r="B50" t="s">
        <v>49</v>
      </c>
      <c r="C50">
        <f>COUNTIFS(Clearances!$E:$E,$A50,Clearances!$B:$B,"Tower A")</f>
        <v>0</v>
      </c>
      <c r="D50" s="4">
        <f>C50/COUNTIF(Clearances!$B:$B,"Tower A")</f>
        <v>0</v>
      </c>
      <c r="E50">
        <f>COUNTIFS(Clearances!$E:$E,$A50,Clearances!$B:$B,"Tower B")</f>
        <v>1</v>
      </c>
      <c r="F50" s="4">
        <f>E50/COUNTIF(Clearances!$B:$B,"Tower B")</f>
        <v>3.6496350364963502E-3</v>
      </c>
      <c r="G50">
        <f t="shared" si="1"/>
        <v>1</v>
      </c>
      <c r="H50" s="4">
        <f>G50/(COUNTA(Clearances!$A:$A)-1)</f>
        <v>1.8083182640144665E-3</v>
      </c>
    </row>
    <row r="51" spans="1:8" ht="15" customHeight="1" x14ac:dyDescent="0.25">
      <c r="A51" t="s">
        <v>141</v>
      </c>
      <c r="B51" t="s">
        <v>49</v>
      </c>
      <c r="C51">
        <f>COUNTIFS(Clearances!$E:$E,$A51,Clearances!$B:$B,"Tower A")</f>
        <v>8</v>
      </c>
      <c r="D51" s="4">
        <f>C51/COUNTIF(Clearances!$B:$B,"Tower A")</f>
        <v>2.8673835125448029E-2</v>
      </c>
      <c r="E51">
        <f>COUNTIFS(Clearances!$E:$E,$A51,Clearances!$B:$B,"Tower B")</f>
        <v>0</v>
      </c>
      <c r="F51" s="4">
        <f>E51/COUNTIF(Clearances!$B:$B,"Tower B")</f>
        <v>0</v>
      </c>
      <c r="G51">
        <f t="shared" si="1"/>
        <v>8</v>
      </c>
      <c r="H51" s="4">
        <f>G51/(COUNTA(Clearances!$A:$A)-1)</f>
        <v>1.4466546112115732E-2</v>
      </c>
    </row>
    <row r="52" spans="1:8" ht="15" customHeight="1" x14ac:dyDescent="0.25">
      <c r="A52" t="s">
        <v>144</v>
      </c>
      <c r="B52" t="s">
        <v>49</v>
      </c>
      <c r="C52">
        <f>COUNTIFS(Clearances!$E:$E,$A52,Clearances!$B:$B,"Tower A")</f>
        <v>8</v>
      </c>
      <c r="D52" s="4">
        <f>C52/COUNTIF(Clearances!$B:$B,"Tower A")</f>
        <v>2.8673835125448029E-2</v>
      </c>
      <c r="E52">
        <f>COUNTIFS(Clearances!$E:$E,$A52,Clearances!$B:$B,"Tower B")</f>
        <v>0</v>
      </c>
      <c r="F52" s="4">
        <f>E52/COUNTIF(Clearances!$B:$B,"Tower B")</f>
        <v>0</v>
      </c>
      <c r="G52">
        <f t="shared" si="1"/>
        <v>8</v>
      </c>
      <c r="H52" s="4">
        <f>G52/(COUNTA(Clearances!$A:$A)-1)</f>
        <v>1.4466546112115732E-2</v>
      </c>
    </row>
    <row r="53" spans="1:8" ht="15" customHeight="1" x14ac:dyDescent="0.25">
      <c r="A53" t="s">
        <v>799</v>
      </c>
      <c r="B53" t="s">
        <v>49</v>
      </c>
      <c r="C53">
        <f>COUNTIFS(Clearances!$E:$E,$A53,Clearances!$B:$B,"Tower A")</f>
        <v>0</v>
      </c>
      <c r="D53" s="4">
        <f>C53/COUNTIF(Clearances!$B:$B,"Tower A")</f>
        <v>0</v>
      </c>
      <c r="E53">
        <f>COUNTIFS(Clearances!$E:$E,$A53,Clearances!$B:$B,"Tower B")</f>
        <v>5</v>
      </c>
      <c r="F53" s="4">
        <f>E53/COUNTIF(Clearances!$B:$B,"Tower B")</f>
        <v>1.824817518248175E-2</v>
      </c>
      <c r="G53">
        <f t="shared" si="1"/>
        <v>5</v>
      </c>
      <c r="H53" s="4">
        <f>G53/(COUNTA(Clearances!$A:$A)-1)</f>
        <v>9.0415913200723331E-3</v>
      </c>
    </row>
    <row r="54" spans="1:8" ht="15" customHeight="1" x14ac:dyDescent="0.25">
      <c r="A54" t="s">
        <v>505</v>
      </c>
      <c r="B54" t="s">
        <v>49</v>
      </c>
      <c r="C54">
        <f>COUNTIFS(Clearances!$E:$E,$A54,Clearances!$B:$B,"Tower A")</f>
        <v>3</v>
      </c>
      <c r="D54" s="4">
        <f>C54/COUNTIF(Clearances!$B:$B,"Tower A")</f>
        <v>1.0752688172043012E-2</v>
      </c>
      <c r="E54">
        <f>COUNTIFS(Clearances!$E:$E,$A54,Clearances!$B:$B,"Tower B")</f>
        <v>0</v>
      </c>
      <c r="F54" s="4">
        <f>E54/COUNTIF(Clearances!$B:$B,"Tower B")</f>
        <v>0</v>
      </c>
      <c r="G54">
        <f t="shared" si="1"/>
        <v>3</v>
      </c>
      <c r="H54" s="4">
        <f>G54/(COUNTA(Clearances!$A:$A)-1)</f>
        <v>5.4249547920433997E-3</v>
      </c>
    </row>
    <row r="55" spans="1:8" ht="15" customHeight="1" x14ac:dyDescent="0.25">
      <c r="A55" t="s">
        <v>509</v>
      </c>
      <c r="B55" t="s">
        <v>49</v>
      </c>
      <c r="C55">
        <f>COUNTIFS(Clearances!$E:$E,$A55,Clearances!$B:$B,"Tower A")</f>
        <v>3</v>
      </c>
      <c r="D55" s="4">
        <f>C55/COUNTIF(Clearances!$B:$B,"Tower A")</f>
        <v>1.0752688172043012E-2</v>
      </c>
      <c r="E55">
        <f>COUNTIFS(Clearances!$E:$E,$A55,Clearances!$B:$B,"Tower B")</f>
        <v>0</v>
      </c>
      <c r="F55" s="4">
        <f>E55/COUNTIF(Clearances!$B:$B,"Tower B")</f>
        <v>0</v>
      </c>
      <c r="G55">
        <f t="shared" si="1"/>
        <v>3</v>
      </c>
      <c r="H55" s="4">
        <f>G55/(COUNTA(Clearances!$A:$A)-1)</f>
        <v>5.4249547920433997E-3</v>
      </c>
    </row>
    <row r="56" spans="1:8" ht="15" customHeight="1" x14ac:dyDescent="0.25">
      <c r="A56" t="s">
        <v>1131</v>
      </c>
      <c r="B56" t="s">
        <v>49</v>
      </c>
      <c r="C56">
        <f>COUNTIFS(Clearances!$E:$E,$A56,Clearances!$B:$B,"Tower A")</f>
        <v>0</v>
      </c>
      <c r="D56" s="4">
        <f>C56/COUNTIF(Clearances!$B:$B,"Tower A")</f>
        <v>0</v>
      </c>
      <c r="E56">
        <f>COUNTIFS(Clearances!$E:$E,$A56,Clearances!$B:$B,"Tower B")</f>
        <v>3</v>
      </c>
      <c r="F56" s="4">
        <f>E56/COUNTIF(Clearances!$B:$B,"Tower B")</f>
        <v>1.0948905109489052E-2</v>
      </c>
      <c r="G56">
        <f t="shared" si="1"/>
        <v>3</v>
      </c>
      <c r="H56" s="4">
        <f>G56/(COUNTA(Clearances!$A:$A)-1)</f>
        <v>5.4249547920433997E-3</v>
      </c>
    </row>
    <row r="57" spans="1:8" ht="15" customHeight="1" x14ac:dyDescent="0.25">
      <c r="A57" t="s">
        <v>1134</v>
      </c>
      <c r="B57" t="s">
        <v>49</v>
      </c>
      <c r="C57">
        <f>COUNTIFS(Clearances!$E:$E,$A57,Clearances!$B:$B,"Tower A")</f>
        <v>0</v>
      </c>
      <c r="D57" s="4">
        <f>C57/COUNTIF(Clearances!$B:$B,"Tower A")</f>
        <v>0</v>
      </c>
      <c r="E57">
        <f>COUNTIFS(Clearances!$E:$E,$A57,Clearances!$B:$B,"Tower B")</f>
        <v>3</v>
      </c>
      <c r="F57" s="4">
        <f>E57/COUNTIF(Clearances!$B:$B,"Tower B")</f>
        <v>1.0948905109489052E-2</v>
      </c>
      <c r="G57">
        <f t="shared" si="1"/>
        <v>3</v>
      </c>
      <c r="H57" s="4">
        <f>G57/(COUNTA(Clearances!$A:$A)-1)</f>
        <v>5.4249547920433997E-3</v>
      </c>
    </row>
    <row r="58" spans="1:8" ht="15" customHeight="1" x14ac:dyDescent="0.25">
      <c r="A58" t="s">
        <v>802</v>
      </c>
      <c r="B58" t="s">
        <v>803</v>
      </c>
      <c r="C58">
        <f>COUNTIFS(Clearances!$E:$E,$A58,Clearances!$B:$B,"Tower A")</f>
        <v>0</v>
      </c>
      <c r="D58" s="4">
        <f>C58/COUNTIF(Clearances!$B:$B,"Tower A")</f>
        <v>0</v>
      </c>
      <c r="E58">
        <f>COUNTIFS(Clearances!$E:$E,$A58,Clearances!$B:$B,"Tower B")</f>
        <v>1</v>
      </c>
      <c r="F58" s="4">
        <f>E58/COUNTIF(Clearances!$B:$B,"Tower B")</f>
        <v>3.6496350364963502E-3</v>
      </c>
      <c r="G58">
        <f t="shared" si="1"/>
        <v>1</v>
      </c>
      <c r="H58" s="4">
        <f>G58/(COUNTA(Clearances!$A:$A)-1)</f>
        <v>1.8083182640144665E-3</v>
      </c>
    </row>
    <row r="59" spans="1:8" ht="15" customHeight="1" x14ac:dyDescent="0.25">
      <c r="A59" t="s">
        <v>48</v>
      </c>
      <c r="B59" t="s">
        <v>49</v>
      </c>
      <c r="C59">
        <f>COUNTIFS(Clearances!$E:$E,$A59,Clearances!$B:$B,"Tower A")</f>
        <v>1</v>
      </c>
      <c r="D59" s="4">
        <f>C59/COUNTIF(Clearances!$B:$B,"Tower A")</f>
        <v>3.5842293906810036E-3</v>
      </c>
      <c r="E59">
        <f>COUNTIFS(Clearances!$E:$E,$A59,Clearances!$B:$B,"Tower B")</f>
        <v>0</v>
      </c>
      <c r="F59" s="4">
        <f>E59/COUNTIF(Clearances!$B:$B,"Tower B")</f>
        <v>0</v>
      </c>
      <c r="G59">
        <f t="shared" si="1"/>
        <v>1</v>
      </c>
      <c r="H59" s="4">
        <f>G59/(COUNTA(Clearances!$A:$A)-1)</f>
        <v>1.8083182640144665E-3</v>
      </c>
    </row>
    <row r="60" spans="1:8" ht="15" customHeight="1" x14ac:dyDescent="0.25">
      <c r="A60" t="s">
        <v>686</v>
      </c>
      <c r="B60" t="s">
        <v>687</v>
      </c>
      <c r="C60">
        <f>COUNTIFS(Clearances!$E:$E,$A60,Clearances!$B:$B,"Tower A")</f>
        <v>0</v>
      </c>
      <c r="D60" s="4">
        <f>C60/COUNTIF(Clearances!$B:$B,"Tower A")</f>
        <v>0</v>
      </c>
      <c r="E60">
        <f>COUNTIFS(Clearances!$E:$E,$A60,Clearances!$B:$B,"Tower B")</f>
        <v>2</v>
      </c>
      <c r="F60" s="4">
        <f>E60/COUNTIF(Clearances!$B:$B,"Tower B")</f>
        <v>7.2992700729927005E-3</v>
      </c>
      <c r="G60">
        <f t="shared" si="1"/>
        <v>2</v>
      </c>
      <c r="H60" s="4">
        <f>G60/(COUNTA(Clearances!$A:$A)-1)</f>
        <v>3.616636528028933E-3</v>
      </c>
    </row>
    <row r="61" spans="1:8" ht="15" customHeight="1" x14ac:dyDescent="0.25">
      <c r="A61" t="s">
        <v>1100</v>
      </c>
      <c r="B61" t="s">
        <v>687</v>
      </c>
      <c r="C61">
        <f>COUNTIFS(Clearances!$E:$E,$A61,Clearances!$B:$B,"Tower A")</f>
        <v>0</v>
      </c>
      <c r="D61" s="4">
        <f>C61/COUNTIF(Clearances!$B:$B,"Tower A")</f>
        <v>0</v>
      </c>
      <c r="E61">
        <f>COUNTIFS(Clearances!$E:$E,$A61,Clearances!$B:$B,"Tower B")</f>
        <v>3</v>
      </c>
      <c r="F61" s="4">
        <f>E61/COUNTIF(Clearances!$B:$B,"Tower B")</f>
        <v>1.0948905109489052E-2</v>
      </c>
      <c r="G61">
        <f t="shared" si="1"/>
        <v>3</v>
      </c>
      <c r="H61" s="4">
        <f>G61/(COUNTA(Clearances!$A:$A)-1)</f>
        <v>5.4249547920433997E-3</v>
      </c>
    </row>
    <row r="62" spans="1:8" ht="15" customHeight="1" x14ac:dyDescent="0.25">
      <c r="A62" t="s">
        <v>1103</v>
      </c>
      <c r="B62" t="s">
        <v>687</v>
      </c>
      <c r="C62">
        <f>COUNTIFS(Clearances!$E:$E,$A62,Clearances!$B:$B,"Tower A")</f>
        <v>0</v>
      </c>
      <c r="D62" s="4">
        <f>C62/COUNTIF(Clearances!$B:$B,"Tower A")</f>
        <v>0</v>
      </c>
      <c r="E62">
        <f>COUNTIFS(Clearances!$E:$E,$A62,Clearances!$B:$B,"Tower B")</f>
        <v>6</v>
      </c>
      <c r="F62" s="4">
        <f>E62/COUNTIF(Clearances!$B:$B,"Tower B")</f>
        <v>2.1897810218978103E-2</v>
      </c>
      <c r="G62">
        <f t="shared" si="1"/>
        <v>6</v>
      </c>
      <c r="H62" s="4">
        <f>G62/(COUNTA(Clearances!$A:$A)-1)</f>
        <v>1.0849909584086799E-2</v>
      </c>
    </row>
    <row r="63" spans="1:8" ht="15" customHeight="1" x14ac:dyDescent="0.25">
      <c r="A63" s="5" t="s">
        <v>1670</v>
      </c>
      <c r="C63" s="5">
        <f>SUM(C2:C62)</f>
        <v>279</v>
      </c>
      <c r="E63" s="5">
        <f>SUM(E2:E62)</f>
        <v>288</v>
      </c>
      <c r="G63" s="5">
        <f>SUM(G2:G62)</f>
        <v>567</v>
      </c>
    </row>
  </sheetData>
  <sheetProtection password="D6EA" sheet="1" objects="1" scenarios="1" formatCells="0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9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8.7109375" defaultRowHeight="15" x14ac:dyDescent="0.25"/>
  <cols>
    <col min="1" max="1" width="30" customWidth="1"/>
    <col min="2" max="2" width="12" customWidth="1"/>
    <col min="3" max="3" width="60" customWidth="1"/>
    <col min="4" max="4" width="14" customWidth="1"/>
    <col min="5" max="5" width="22" customWidth="1"/>
    <col min="6" max="6" width="12" customWidth="1"/>
  </cols>
  <sheetData>
    <row r="1" spans="1:6" ht="33.75" customHeight="1" x14ac:dyDescent="0.25">
      <c r="A1" s="16" t="s">
        <v>1255</v>
      </c>
      <c r="B1" s="16" t="s">
        <v>1671</v>
      </c>
      <c r="C1" s="16" t="s">
        <v>1672</v>
      </c>
      <c r="D1" s="16" t="s">
        <v>1673</v>
      </c>
      <c r="E1" s="16" t="s">
        <v>1674</v>
      </c>
      <c r="F1" s="16" t="s">
        <v>1671</v>
      </c>
    </row>
    <row r="2" spans="1:6" ht="15" customHeight="1" x14ac:dyDescent="0.25">
      <c r="A2" t="s">
        <v>1675</v>
      </c>
      <c r="B2" s="11" t="s">
        <v>1676</v>
      </c>
      <c r="C2" t="s">
        <v>1677</v>
      </c>
      <c r="D2" t="s">
        <v>1678</v>
      </c>
      <c r="E2" t="s">
        <v>55</v>
      </c>
      <c r="F2" t="s">
        <v>1679</v>
      </c>
    </row>
    <row r="3" spans="1:6" ht="15" customHeight="1" x14ac:dyDescent="0.25">
      <c r="A3" t="s">
        <v>1258</v>
      </c>
      <c r="B3" s="11" t="s">
        <v>1676</v>
      </c>
      <c r="C3" t="s">
        <v>1680</v>
      </c>
      <c r="D3" t="s">
        <v>1678</v>
      </c>
      <c r="E3" t="s">
        <v>1681</v>
      </c>
      <c r="F3" t="s">
        <v>1682</v>
      </c>
    </row>
    <row r="4" spans="1:6" ht="15" customHeight="1" x14ac:dyDescent="0.25">
      <c r="A4" t="s">
        <v>1260</v>
      </c>
      <c r="B4" s="12" t="s">
        <v>1683</v>
      </c>
      <c r="C4" t="s">
        <v>1684</v>
      </c>
      <c r="D4" t="s">
        <v>1685</v>
      </c>
      <c r="E4" t="s">
        <v>1686</v>
      </c>
      <c r="F4" t="s">
        <v>1687</v>
      </c>
    </row>
    <row r="5" spans="1:6" ht="15" customHeight="1" x14ac:dyDescent="0.25">
      <c r="A5" t="s">
        <v>1286</v>
      </c>
      <c r="B5" s="13" t="s">
        <v>1688</v>
      </c>
      <c r="C5" t="s">
        <v>1689</v>
      </c>
      <c r="D5" t="s">
        <v>1690</v>
      </c>
      <c r="E5" t="s">
        <v>1691</v>
      </c>
      <c r="F5" t="s">
        <v>1692</v>
      </c>
    </row>
    <row r="6" spans="1:6" ht="15" customHeight="1" x14ac:dyDescent="0.25">
      <c r="A6" t="s">
        <v>1269</v>
      </c>
      <c r="B6" s="14" t="s">
        <v>1693</v>
      </c>
      <c r="C6" t="s">
        <v>1694</v>
      </c>
      <c r="D6" t="s">
        <v>1695</v>
      </c>
      <c r="E6" t="s">
        <v>1696</v>
      </c>
      <c r="F6" t="s">
        <v>1692</v>
      </c>
    </row>
    <row r="7" spans="1:6" ht="15" customHeight="1" x14ac:dyDescent="0.25">
      <c r="A7" t="s">
        <v>1697</v>
      </c>
      <c r="B7" s="15" t="s">
        <v>1698</v>
      </c>
      <c r="C7" t="s">
        <v>1699</v>
      </c>
      <c r="D7" t="s">
        <v>1700</v>
      </c>
    </row>
    <row r="8" spans="1:6" ht="15" customHeight="1" x14ac:dyDescent="0.25">
      <c r="A8" s="8"/>
      <c r="B8" s="8"/>
      <c r="C8" s="8"/>
      <c r="D8" s="8"/>
    </row>
    <row r="9" spans="1:6" ht="15" customHeight="1" x14ac:dyDescent="0.25">
      <c r="A9" s="8"/>
      <c r="B9" s="8"/>
      <c r="C9" s="8"/>
      <c r="D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8"/>
      <c r="D11" s="8"/>
      <c r="E11" s="8"/>
      <c r="F11" s="8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5" spans="1:6" x14ac:dyDescent="0.25">
      <c r="A15" s="8"/>
      <c r="B15" s="8"/>
      <c r="C15" s="8"/>
      <c r="D15" s="8"/>
      <c r="E15" s="8"/>
      <c r="F15" s="8"/>
    </row>
    <row r="16" spans="1:6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8"/>
      <c r="B20" s="8"/>
      <c r="C20" s="8"/>
      <c r="D20" s="8"/>
      <c r="E20" s="8"/>
      <c r="F20" s="8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8"/>
      <c r="B22" s="8"/>
      <c r="C22" s="8"/>
      <c r="D22" s="8"/>
      <c r="E22" s="8"/>
      <c r="F22" s="8"/>
    </row>
    <row r="23" spans="1:6" x14ac:dyDescent="0.25">
      <c r="A23" s="8"/>
      <c r="B23" s="8"/>
      <c r="C23" s="8"/>
      <c r="D23" s="8"/>
      <c r="E23" s="8"/>
      <c r="F23" s="8"/>
    </row>
    <row r="24" spans="1:6" x14ac:dyDescent="0.25">
      <c r="A24" s="8"/>
      <c r="B24" s="8"/>
      <c r="C24" s="8"/>
      <c r="D24" s="8"/>
      <c r="E24" s="8"/>
      <c r="F24" s="8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8"/>
      <c r="B26" s="8"/>
      <c r="C26" s="8"/>
      <c r="D26" s="8"/>
      <c r="E26" s="8"/>
      <c r="F26" s="8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8"/>
      <c r="B28" s="8"/>
      <c r="C28" s="8"/>
      <c r="D28" s="8"/>
      <c r="E28" s="8"/>
      <c r="F28" s="8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8"/>
      <c r="B30" s="8"/>
      <c r="C30" s="8"/>
      <c r="D30" s="8"/>
      <c r="E30" s="8"/>
      <c r="F30" s="8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8"/>
      <c r="B40" s="8"/>
      <c r="C40" s="8"/>
      <c r="D40" s="8"/>
      <c r="E40" s="8"/>
      <c r="F40" s="8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8"/>
      <c r="B42" s="8"/>
      <c r="C42" s="8"/>
      <c r="D42" s="8"/>
      <c r="E42" s="8"/>
      <c r="F42" s="8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8"/>
      <c r="B44" s="8"/>
      <c r="C44" s="8"/>
      <c r="D44" s="8"/>
      <c r="E44" s="8"/>
      <c r="F44" s="8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8"/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8"/>
      <c r="B52" s="8"/>
      <c r="C52" s="8"/>
      <c r="D52" s="8"/>
      <c r="E52" s="8"/>
      <c r="F52" s="8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8"/>
      <c r="B56" s="8"/>
      <c r="C56" s="8"/>
      <c r="D56" s="8"/>
      <c r="E56" s="8"/>
      <c r="F56" s="8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8"/>
      <c r="B58" s="8"/>
      <c r="C58" s="8"/>
      <c r="D58" s="8"/>
      <c r="E58" s="8"/>
      <c r="F58" s="8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8"/>
      <c r="B62" s="8"/>
      <c r="C62" s="8"/>
      <c r="D62" s="8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8"/>
      <c r="B64" s="8"/>
      <c r="C64" s="8"/>
      <c r="D64" s="8"/>
      <c r="E64" s="8"/>
      <c r="F64" s="8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8"/>
      <c r="B66" s="8"/>
      <c r="C66" s="8"/>
      <c r="D66" s="8"/>
      <c r="E66" s="8"/>
      <c r="F66" s="8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8"/>
      <c r="B68" s="8"/>
      <c r="C68" s="8"/>
      <c r="D68" s="8"/>
      <c r="E68" s="8"/>
      <c r="F68" s="8"/>
    </row>
    <row r="69" spans="1:6" x14ac:dyDescent="0.25">
      <c r="A69" s="8"/>
      <c r="B69" s="8"/>
      <c r="C69" s="8"/>
      <c r="D69" s="8"/>
      <c r="E69" s="8"/>
      <c r="F69" s="8"/>
    </row>
  </sheetData>
  <sheetProtection password="D6EA" sheet="1" objects="1" scenarios="1" formatCells="0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70" customWidth="1"/>
    <col min="3" max="3" width="60" customWidth="1"/>
  </cols>
  <sheetData>
    <row r="1" spans="1:3" ht="33.75" customHeight="1" x14ac:dyDescent="0.25">
      <c r="A1" s="16" t="s">
        <v>1701</v>
      </c>
      <c r="B1" s="16" t="s">
        <v>1702</v>
      </c>
      <c r="C1" s="16" t="s">
        <v>1623</v>
      </c>
    </row>
    <row r="2" spans="1:3" ht="15" customHeight="1" x14ac:dyDescent="0.25">
      <c r="A2" s="24" t="s">
        <v>1703</v>
      </c>
      <c r="B2" s="24" t="s">
        <v>1704</v>
      </c>
      <c r="C2" s="24" t="s">
        <v>1705</v>
      </c>
    </row>
    <row r="3" spans="1:3" ht="15" customHeight="1" x14ac:dyDescent="0.25">
      <c r="A3" s="24" t="s">
        <v>1706</v>
      </c>
      <c r="B3" s="24" t="s">
        <v>1707</v>
      </c>
      <c r="C3" s="24" t="s">
        <v>1708</v>
      </c>
    </row>
    <row r="4" spans="1:3" ht="15" customHeight="1" x14ac:dyDescent="0.25">
      <c r="A4" s="24" t="s">
        <v>1709</v>
      </c>
      <c r="B4" s="25"/>
      <c r="C4" s="24" t="s">
        <v>1710</v>
      </c>
    </row>
    <row r="5" spans="1:3" ht="15" customHeight="1" x14ac:dyDescent="0.25">
      <c r="A5" s="24" t="s">
        <v>1711</v>
      </c>
      <c r="B5" s="25" t="s">
        <v>1712</v>
      </c>
      <c r="C5" s="24"/>
    </row>
    <row r="6" spans="1:3" ht="15" customHeight="1" x14ac:dyDescent="0.25">
      <c r="A6" s="24" t="s">
        <v>1713</v>
      </c>
      <c r="B6" s="24" t="s">
        <v>1714</v>
      </c>
      <c r="C6" s="24"/>
    </row>
  </sheetData>
  <sheetProtection password="D6EA" sheet="1" objects="1" scenarios="1" formatCells="0" formatColumns="0" formatRows="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Clearances</vt:lpstr>
      <vt:lpstr>Shop Drawings</vt:lpstr>
      <vt:lpstr>FLS</vt:lpstr>
      <vt:lpstr>FLS Rooms</vt:lpstr>
      <vt:lpstr>Fields</vt:lpstr>
      <vt:lpstr>Summary</vt:lpstr>
      <vt:lpstr>Lists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Emad Khalaf</cp:lastModifiedBy>
  <cp:revision>0</cp:revision>
  <dcterms:created xsi:type="dcterms:W3CDTF">2026-10-09T10:34:06Z</dcterms:created>
  <dcterms:modified xsi:type="dcterms:W3CDTF">2026-10-25T11:05:57Z</dcterms:modified>
  <cp:category/>
  <cp:contentStatus/>
</cp:coreProperties>
</file>